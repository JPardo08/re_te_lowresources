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ardo/Desktop/Relation_low_resources/"/>
    </mc:Choice>
  </mc:AlternateContent>
  <xr:revisionPtr revIDLastSave="0" documentId="13_ncr:1_{8DDB3D77-C6BC-B043-973E-DE2FE022B367}" xr6:coauthVersionLast="47" xr6:coauthVersionMax="47" xr10:uidLastSave="{00000000-0000-0000-0000-000000000000}"/>
  <bookViews>
    <workbookView xWindow="3440" yWindow="500" windowWidth="30160" windowHeight="20500" activeTab="7" xr2:uid="{C9EDA97C-CF5E-1244-9D11-D7F0F55965F3}"/>
  </bookViews>
  <sheets>
    <sheet name="RQs" sheetId="1" r:id="rId1"/>
    <sheet name="RQs (2)" sheetId="8" r:id="rId2"/>
    <sheet name="Inclusion_Exclusion" sheetId="9" r:id="rId3"/>
    <sheet name="Designing queries" sheetId="12" r:id="rId4"/>
    <sheet name="Queries (full)" sheetId="7" r:id="rId5"/>
    <sheet name="Queries" sheetId="6" r:id="rId6"/>
    <sheet name="Query2" sheetId="10" r:id="rId7"/>
    <sheet name="Other names" sheetId="11" r:id="rId8"/>
    <sheet name="Characteristics" sheetId="13" r:id="rId9"/>
    <sheet name="Data Extraction (1)" sheetId="3" r:id="rId10"/>
    <sheet name="Data Extraction (2)" sheetId="5" r:id="rId11"/>
    <sheet name="Quality Assesment" sheetId="2" r:id="rId12"/>
  </sheets>
  <definedNames>
    <definedName name="characteristics" localSheetId="8">Characteristics!$A$1:$A$49</definedName>
    <definedName name="data_extraction" localSheetId="9">'Data Extraction (1)'!$A$1:$L$4</definedName>
    <definedName name="data_extraction2" localSheetId="10">'Data Extraction (2)'!$A$1:$K$4</definedName>
    <definedName name="quality_assesment" localSheetId="11">'Quality Assesment'!$A$1:$G$2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0" l="1"/>
  <c r="L18" i="10" l="1"/>
  <c r="L16" i="10"/>
  <c r="C2" i="13"/>
  <c r="B50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J12" i="10"/>
  <c r="H11" i="10"/>
  <c r="G11" i="10"/>
  <c r="E11" i="10"/>
  <c r="D11" i="10"/>
  <c r="I10" i="10"/>
  <c r="F10" i="10"/>
  <c r="I9" i="10"/>
  <c r="F9" i="10"/>
  <c r="I8" i="10"/>
  <c r="F8" i="10"/>
  <c r="I7" i="10"/>
  <c r="F7" i="10"/>
  <c r="I6" i="10"/>
  <c r="F6" i="10"/>
  <c r="I5" i="10"/>
  <c r="F5" i="10"/>
  <c r="I4" i="10"/>
  <c r="F4" i="10"/>
  <c r="I3" i="10"/>
  <c r="F3" i="10"/>
  <c r="Q23" i="6"/>
  <c r="P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N23" i="6"/>
  <c r="M23" i="6"/>
  <c r="O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L4" i="6"/>
  <c r="L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3" i="6"/>
  <c r="K23" i="6"/>
  <c r="J23" i="6"/>
  <c r="H23" i="6"/>
  <c r="G23" i="6"/>
  <c r="E23" i="6"/>
  <c r="D23" i="6"/>
  <c r="I11" i="10" l="1"/>
  <c r="I13" i="10" s="1"/>
  <c r="F11" i="10"/>
  <c r="J11" i="10" s="1"/>
  <c r="F23" i="6"/>
  <c r="O23" i="6"/>
  <c r="R23" i="6"/>
  <c r="L23" i="6"/>
  <c r="I23" i="6"/>
  <c r="F13" i="10" l="1"/>
  <c r="J13" i="10" s="1"/>
  <c r="L15" i="10" s="1"/>
  <c r="I24" i="6"/>
  <c r="O24" i="6"/>
  <c r="R24" i="6"/>
  <c r="L2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939898-72EC-114D-A74C-2C4EF078A110}" name="characteristics" type="6" refreshedVersion="8" background="1" saveData="1">
    <textPr sourceFile="/Users/jpardo/Desktop/Relation_low_resources/papers2/characteristics.csv" decimal="," thousands="." comma="1">
      <textFields count="2">
        <textField type="skip"/>
        <textField/>
      </textFields>
    </textPr>
  </connection>
  <connection id="2" xr16:uid="{1B555127-AF81-8541-95B3-B0799C0C8895}" name="data_extraction" type="6" refreshedVersion="8" background="1" saveData="1">
    <textPr sourceFile="/Users/jpardo/Desktop/Relation low resources/data_extraction.csv" decimal="," thousands=".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B9D13982-8C9C-2641-A4A0-964EACD2AAAA}" name="data_extraction2" type="6" refreshedVersion="8" background="1" saveData="1">
    <textPr sourceFile="/Users/jpardo/Desktop/Relation low resources/data_extraction2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BABFD7DA-73F4-F247-85C0-F937F5230F38}" name="quality_assesment" type="6" refreshedVersion="8" background="1" saveData="1">
    <textPr sourceFile="/Users/jpardo/Desktop/Relation low resources/quality_assesment.csv" decimal="," thousands=".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<sst xmlns="http://schemas.openxmlformats.org/spreadsheetml/2006/main" count="671" uniqueCount="451">
  <si>
    <t>RQ</t>
  </si>
  <si>
    <t>ID</t>
  </si>
  <si>
    <t>How do generative approaches (e.g., GPT, Llama) compare with discriminative approaches (e.g., BERT, RoBERTa) in relation extraction with sparse data?</t>
  </si>
  <si>
    <t>What role do pre-trained multilingual models (e.g., XLM-R, mBERT) play in relation extraction with sparse data in low-resource languages?</t>
  </si>
  <si>
    <t>What are the fundamental differences between triplet extraction and relation extraction in terms of approaches, models and evaluation in data-poor scenarios?</t>
  </si>
  <si>
    <t>Which benchmarks or public datasets best evaluate relation extraction in low-resource scenarios?</t>
  </si>
  <si>
    <t>How can KOS be used to improve relation extraction in specific domains, such as biomedicine or finance, with limited data?</t>
  </si>
  <si>
    <t>Is it possible to combine generative and discriminative approaches in a hybrid model to improve relation extraction in data-poor environments, and what are the key factors that determine its success? How can generative and discriminative models be combined to improve relation extraction in data-poor scenarios?</t>
  </si>
  <si>
    <t>Theme</t>
  </si>
  <si>
    <t>Generative</t>
  </si>
  <si>
    <t>How can pre-trained language models (PLMs) such as BERT or RoBERTa and pre-trained large language models (LLMs) such as GPT-4 or Llama be used to improve relation extraction in data-poor scenarios?</t>
  </si>
  <si>
    <t>PLMs &amp; LLMs</t>
  </si>
  <si>
    <t>Language</t>
  </si>
  <si>
    <t>Triplet vs Relation</t>
  </si>
  <si>
    <t>Datasets and resources</t>
  </si>
  <si>
    <t>Challenges &amp; Techniques</t>
  </si>
  <si>
    <t>Seq2Seq</t>
  </si>
  <si>
    <t>Paper ID</t>
  </si>
  <si>
    <t>Title</t>
  </si>
  <si>
    <t>Authors</t>
  </si>
  <si>
    <t>Year</t>
  </si>
  <si>
    <t>Venue</t>
  </si>
  <si>
    <t>RQ1: Challenges in Data-Scarce Environments</t>
  </si>
  <si>
    <t>RQ2: Generative vs. Discriminative Approaches</t>
  </si>
  <si>
    <t>RQ3: PLMs and LLMs in Data-Poor Scenarios</t>
  </si>
  <si>
    <t>RQ4: Multilingual Models in Low-Resource Languages</t>
  </si>
  <si>
    <t>RQ5: Triplet vs. Relation Extraction</t>
  </si>
  <si>
    <t>RQ6: Benchmarks and Datasets</t>
  </si>
  <si>
    <t>RQ7: KOS in Domain-Specific RE</t>
  </si>
  <si>
    <t>Main challenges identified</t>
  </si>
  <si>
    <t>Generative approaches used</t>
  </si>
  <si>
    <t>PLMs/LLMs employed</t>
  </si>
  <si>
    <t>Multilingual models used</t>
  </si>
  <si>
    <t>Differences in approaches/models</t>
  </si>
  <si>
    <t>Benchmarks/datasets used</t>
  </si>
  <si>
    <t>KOS type and domain</t>
  </si>
  <si>
    <t>Techniques proposed to mitigate challenges</t>
  </si>
  <si>
    <t>Discriminative approaches used</t>
  </si>
  <si>
    <t>Improvements achieved</t>
  </si>
  <si>
    <t>Performance in low-resource languages</t>
  </si>
  <si>
    <t>Evaluation methods</t>
  </si>
  <si>
    <t>Suitability for low-resource</t>
  </si>
  <si>
    <t>Integration method</t>
  </si>
  <si>
    <t>Evaluation of proposed techniques</t>
  </si>
  <si>
    <t>Comparison results</t>
  </si>
  <si>
    <t>Limitations</t>
  </si>
  <si>
    <t>Overall Score (1-5)</t>
  </si>
  <si>
    <t>Notes</t>
  </si>
  <si>
    <t>Relevance to RE in Low-Resource Scenarios</t>
  </si>
  <si>
    <t>Methodological Rigor</t>
  </si>
  <si>
    <t>Reproducibility</t>
  </si>
  <si>
    <t>Impact</t>
  </si>
  <si>
    <t>Study Details</t>
  </si>
  <si>
    <t>Techniques</t>
  </si>
  <si>
    <t>Datasets</t>
  </si>
  <si>
    <t>Evaluation Metrics</t>
  </si>
  <si>
    <t>What are the main challenges facing relation extraction approaches in data-scarce environments? What techniques can mitigate these limitations?</t>
  </si>
  <si>
    <t>Generica</t>
  </si>
  <si>
    <t xml:space="preserve">Se basa mas en herramientas, metodologias.  Muy dificil de comprobar. No hay nuevas arquitecturas encoders mientras los decoders cada dia son mas grandes o hay mas investigacion. </t>
  </si>
  <si>
    <t>Distant supervision</t>
  </si>
  <si>
    <t>What do you mean by low-resource scenario? (data, annotated data/ domain, kos, ontologies, languages)</t>
  </si>
  <si>
    <t>3.1</t>
  </si>
  <si>
    <t>3.2</t>
  </si>
  <si>
    <t>Do they use distinct relations from the common ones (taxonomy, meronimics, so on)?</t>
  </si>
  <si>
    <t>Once (What are the fundamental differences between triplet extraction and relation extraction in terms of approaches, models and evaluation in data-poor scenarios?) is solved, what techniques are used to perform triplet extraction?</t>
  </si>
  <si>
    <t xml:space="preserve">How can the triplet extraction sota face the main challenge on relation extraction in low-resource scenarios? </t>
  </si>
  <si>
    <t>Justification</t>
  </si>
  <si>
    <t>Round 2</t>
  </si>
  <si>
    <t>Round 1</t>
  </si>
  <si>
    <t>Principal</t>
  </si>
  <si>
    <t>Rejected</t>
  </si>
  <si>
    <t>Accepted</t>
  </si>
  <si>
    <t>Lingusitico</t>
  </si>
  <si>
    <t>ID R1</t>
  </si>
  <si>
    <t>Generative Vs Discrminative = PLM Vs LLM</t>
  </si>
  <si>
    <t>Distant supervision, Language</t>
  </si>
  <si>
    <t>1, 4, 7</t>
  </si>
  <si>
    <t>RQ1: Triplet vs. Relation Extraction</t>
  </si>
  <si>
    <t>RQ2: Techniques for Triplet Extraction</t>
  </si>
  <si>
    <t>RQ3: Triplet Extraction SOTA and Low-Resource Challenges</t>
  </si>
  <si>
    <t>RQ4: Definition of Low-Resource Scenarios</t>
  </si>
  <si>
    <t>RQ5: Use of Distinct Relations</t>
  </si>
  <si>
    <t>Triplet extraction techniques</t>
  </si>
  <si>
    <t>SOTA techniques</t>
  </si>
  <si>
    <t>Low-resource definition</t>
  </si>
  <si>
    <t>Relation types</t>
  </si>
  <si>
    <t>Performance metrics</t>
  </si>
  <si>
    <t>Challenges addressed</t>
  </si>
  <si>
    <t>Types of resources lacking</t>
  </si>
  <si>
    <t>Distinct relations</t>
  </si>
  <si>
    <t>Description</t>
  </si>
  <si>
    <t>Query</t>
  </si>
  <si>
    <t>Query ID</t>
  </si>
  <si>
    <t>Query String</t>
  </si>
  <si>
    <t>Q1</t>
  </si>
  <si>
    <t>"Relation Extraction" AND "Low-resource"</t>
  </si>
  <si>
    <t>Q2</t>
  </si>
  <si>
    <t>"Relation Extraction" AND "Data scarcity"</t>
  </si>
  <si>
    <t>Q3</t>
  </si>
  <si>
    <t>"Relation Extraction" AND "Limited data"</t>
  </si>
  <si>
    <t>Q4</t>
  </si>
  <si>
    <t>"Relation Extraction" AND "Sparse data"</t>
  </si>
  <si>
    <t>Q5</t>
  </si>
  <si>
    <t>"Triplet Extraction" AND "Low-resource"</t>
  </si>
  <si>
    <t>Q6</t>
  </si>
  <si>
    <t>"Triplet Extraction" AND "Data scarcity"</t>
  </si>
  <si>
    <t>Q7</t>
  </si>
  <si>
    <t>"Triplet Extraction" AND "Limited data"</t>
  </si>
  <si>
    <t>Q8</t>
  </si>
  <si>
    <t>"Triplet Extraction" AND "Sparse data"</t>
  </si>
  <si>
    <t>Q9</t>
  </si>
  <si>
    <t>"Information Extraction" AND "Low-resource"</t>
  </si>
  <si>
    <t>Q10</t>
  </si>
  <si>
    <t>"Information Extraction" AND "Data scarcity"</t>
  </si>
  <si>
    <t>Q11</t>
  </si>
  <si>
    <t>"Information Extraction" AND "Limited data"</t>
  </si>
  <si>
    <t>Q12</t>
  </si>
  <si>
    <t>"Information Extraction" AND "Sparse data"</t>
  </si>
  <si>
    <t>Q13</t>
  </si>
  <si>
    <t>"Relation Generation" AND "Low-resource"</t>
  </si>
  <si>
    <t>Q14</t>
  </si>
  <si>
    <t>"Relation Generation" AND "Data scarcity"</t>
  </si>
  <si>
    <t>Q15</t>
  </si>
  <si>
    <t>"Relation Generation" AND "Limited data"</t>
  </si>
  <si>
    <t>Q16</t>
  </si>
  <si>
    <t>"Relation Generation" AND "Sparse data"</t>
  </si>
  <si>
    <t>Q17</t>
  </si>
  <si>
    <t>"Triplet Generation" AND "Low-resource"</t>
  </si>
  <si>
    <t>Q18</t>
  </si>
  <si>
    <t>"Triplet Generation" AND "Data scarcity"</t>
  </si>
  <si>
    <t>Q19</t>
  </si>
  <si>
    <t>"Triplet Generation" AND "Limited data"</t>
  </si>
  <si>
    <t>Q20</t>
  </si>
  <si>
    <t>"Triplet Generation" AND "Sparse data"</t>
  </si>
  <si>
    <t>Q21</t>
  </si>
  <si>
    <t>"Relation Extraction" AND ("Low-resource" OR "Data scarcity")</t>
  </si>
  <si>
    <t>Q22</t>
  </si>
  <si>
    <t>"Triplet Extraction" AND ("Limited data" OR "Sparse data")</t>
  </si>
  <si>
    <t>Q23</t>
  </si>
  <si>
    <t>"Information Extraction" AND ("Low-resource" OR "Data scarcity")</t>
  </si>
  <si>
    <t>Q24</t>
  </si>
  <si>
    <t>"Relation Generation" AND ("Limited data" OR "Sparse data")</t>
  </si>
  <si>
    <t>Q25</t>
  </si>
  <si>
    <t>"Triplet Generation" AND ("Low-resource" OR "Data scarcity")</t>
  </si>
  <si>
    <t>Relation Extraction, Low-resource</t>
  </si>
  <si>
    <t>Relation Extraction, Data scarcity</t>
  </si>
  <si>
    <t>Relation Extraction, Limited data</t>
  </si>
  <si>
    <t>Relation Extraction, Sparse data</t>
  </si>
  <si>
    <t>Relation Extraction, Low-resource, Data scarcity</t>
  </si>
  <si>
    <t>Relation Extraction, Low-resource, Limited data</t>
  </si>
  <si>
    <t>"Relation Extraction" AND ("Low-resource" OR "Limited data")</t>
  </si>
  <si>
    <t>Relation Extraction, Low-resource, Sparse data</t>
  </si>
  <si>
    <t>"Relation Extraction" AND ("Low-resource" OR "Sparse data")</t>
  </si>
  <si>
    <t>Relation Extraction, Data scarcity, Limited data</t>
  </si>
  <si>
    <t>"Relation Extraction" AND ("Data scarcity" OR "Limited data")</t>
  </si>
  <si>
    <t>Relation Extraction, Data scarcity, Sparse data</t>
  </si>
  <si>
    <t>"Relation Extraction" AND ("Data scarcity" OR "Sparse data")</t>
  </si>
  <si>
    <t>Relation Extraction, Limited data, Sparse data</t>
  </si>
  <si>
    <t>"Relation Extraction" AND ("Limited data" OR "Sparse data")</t>
  </si>
  <si>
    <t>Relation Extraction, Low-resource, Data scarcity, Limited data</t>
  </si>
  <si>
    <t>"Relation Extraction" AND ("Low-resource" OR "Data scarcity" OR "Limited data")</t>
  </si>
  <si>
    <t>Relation Extraction, Low-resource, Data scarcity, Sparse data</t>
  </si>
  <si>
    <t>"Relation Extraction" AND ("Low-resource" OR "Data scarcity" OR "Sparse data")</t>
  </si>
  <si>
    <t>Relation Extraction, Low-resource, Limited data, Sparse data</t>
  </si>
  <si>
    <t>"Relation Extraction" AND ("Low-resource" OR "Limited data" OR "Sparse data")</t>
  </si>
  <si>
    <t>Relation Extraction, Data scarcity, Limited data, Sparse data</t>
  </si>
  <si>
    <t>"Relation Extraction" AND ("Data scarcity" OR "Limited data" OR "Sparse data")</t>
  </si>
  <si>
    <t>Relation Extraction, Low-resource, Data scarcity, Limited data, Sparse data</t>
  </si>
  <si>
    <t>"Relation Extraction" AND ("Low-resource" OR "Data scarcity" OR "Limited data" OR "Sparse data")</t>
  </si>
  <si>
    <t>Triplet Extraction, Low-resource</t>
  </si>
  <si>
    <t>Triplet Extraction, Data scarcity</t>
  </si>
  <si>
    <t>Triplet Extraction, Limited data</t>
  </si>
  <si>
    <t>Triplet Extraction, Sparse data</t>
  </si>
  <si>
    <t>Triplet Extraction, Low-resource, Data scarcity</t>
  </si>
  <si>
    <t>"Triplet Extraction" AND ("Low-resource" OR "Data scarcity")</t>
  </si>
  <si>
    <t>Triplet Extraction, Low-resource, Limited data</t>
  </si>
  <si>
    <t>"Triplet Extraction" AND ("Low-resource" OR "Limited data")</t>
  </si>
  <si>
    <t>Triplet Extraction, Low-resource, Sparse data</t>
  </si>
  <si>
    <t>"Triplet Extraction" AND ("Low-resource" OR "Sparse data")</t>
  </si>
  <si>
    <t>Triplet Extraction, Data scarcity, Limited data</t>
  </si>
  <si>
    <t>"Triplet Extraction" AND ("Data scarcity" OR "Limited data")</t>
  </si>
  <si>
    <t>Triplet Extraction, Data scarcity, Sparse data</t>
  </si>
  <si>
    <t>"Triplet Extraction" AND ("Data scarcity" OR "Sparse data")</t>
  </si>
  <si>
    <t>Triplet Extraction, Limited data, Sparse data</t>
  </si>
  <si>
    <t>Q26</t>
  </si>
  <si>
    <t>Triplet Extraction, Low-resource, Data scarcity, Limited data</t>
  </si>
  <si>
    <t>"Triplet Extraction" AND ("Low-resource" OR "Data scarcity" OR "Limited data")</t>
  </si>
  <si>
    <t>Q27</t>
  </si>
  <si>
    <t>Triplet Extraction, Low-resource, Data scarcity, Sparse data</t>
  </si>
  <si>
    <t>"Triplet Extraction" AND ("Low-resource" OR "Data scarcity" OR "Sparse data")</t>
  </si>
  <si>
    <t>Q28</t>
  </si>
  <si>
    <t>Triplet Extraction, Low-resource, Limited data, Sparse data</t>
  </si>
  <si>
    <t>"Triplet Extraction" AND ("Low-resource" OR "Limited data" OR "Sparse data")</t>
  </si>
  <si>
    <t>Q29</t>
  </si>
  <si>
    <t>Triplet Extraction, Data scarcity, Limited data, Sparse data</t>
  </si>
  <si>
    <t>"Triplet Extraction" AND ("Data scarcity" OR "Limited data" OR "Sparse data")</t>
  </si>
  <si>
    <t>Q30</t>
  </si>
  <si>
    <t>Triplet Extraction, Low-resource, Data scarcity, Limited data, Sparse data</t>
  </si>
  <si>
    <t>"Triplet Extraction" AND ("Low-resource" OR "Data scarcity" OR "Limited data" OR "Sparse data")</t>
  </si>
  <si>
    <t>Q31</t>
  </si>
  <si>
    <t>Information Extraction, Low-resource</t>
  </si>
  <si>
    <t>Q32</t>
  </si>
  <si>
    <t>Information Extraction, Data scarcity</t>
  </si>
  <si>
    <t>Q33</t>
  </si>
  <si>
    <t>Information Extraction, Limited data</t>
  </si>
  <si>
    <t>Q34</t>
  </si>
  <si>
    <t>Information Extraction, Sparse data</t>
  </si>
  <si>
    <t>Q35</t>
  </si>
  <si>
    <t>Information Extraction, Low-resource, Data scarcity</t>
  </si>
  <si>
    <t>Q36</t>
  </si>
  <si>
    <t>Information Extraction, Low-resource, Limited data</t>
  </si>
  <si>
    <t>"Information Extraction" AND ("Low-resource" OR "Limited data")</t>
  </si>
  <si>
    <t>Q37</t>
  </si>
  <si>
    <t>Information Extraction, Low-resource, Sparse data</t>
  </si>
  <si>
    <t>"Information Extraction" AND ("Low-resource" OR "Sparse data")</t>
  </si>
  <si>
    <t>Q38</t>
  </si>
  <si>
    <t>Information Extraction, Data scarcity, Limited data</t>
  </si>
  <si>
    <t>"Information Extraction" AND ("Data scarcity" OR "Limited data")</t>
  </si>
  <si>
    <t>Q39</t>
  </si>
  <si>
    <t>Information Extraction, Data scarcity, Sparse data</t>
  </si>
  <si>
    <t>"Information Extraction" AND ("Data scarcity" OR "Sparse data")</t>
  </si>
  <si>
    <t>Q40</t>
  </si>
  <si>
    <t>Information Extraction, Limited data, Sparse data</t>
  </si>
  <si>
    <t>"Information Extraction" AND ("Limited data" OR "Sparse data")</t>
  </si>
  <si>
    <t>Q41</t>
  </si>
  <si>
    <t>Information Extraction, Low-resource, Data scarcity, Limited data</t>
  </si>
  <si>
    <t>"Information Extraction" AND ("Low-resource" OR "Data scarcity" OR "Limited data")</t>
  </si>
  <si>
    <t>Q42</t>
  </si>
  <si>
    <t>Information Extraction, Low-resource, Data scarcity, Sparse data</t>
  </si>
  <si>
    <t>"Information Extraction" AND ("Low-resource" OR "Data scarcity" OR "Sparse data")</t>
  </si>
  <si>
    <t>Q43</t>
  </si>
  <si>
    <t>Information Extraction, Low-resource, Limited data, Sparse data</t>
  </si>
  <si>
    <t>"Information Extraction" AND ("Low-resource" OR "Limited data" OR "Sparse data")</t>
  </si>
  <si>
    <t>Q44</t>
  </si>
  <si>
    <t>Information Extraction, Data scarcity, Limited data, Sparse data</t>
  </si>
  <si>
    <t>"Information Extraction" AND ("Data scarcity" OR "Limited data" OR "Sparse data")</t>
  </si>
  <si>
    <t>Q45</t>
  </si>
  <si>
    <t>Information Extraction, Low-resource, Data scarcity, Limited data, Sparse data</t>
  </si>
  <si>
    <t>"Information Extraction" AND ("Low-resource" OR "Data scarcity" OR "Limited data" OR "Sparse data")</t>
  </si>
  <si>
    <t>Q46</t>
  </si>
  <si>
    <t>Relation Generation, Low-resource</t>
  </si>
  <si>
    <t>Q47</t>
  </si>
  <si>
    <t>Relation Generation, Data scarcity</t>
  </si>
  <si>
    <t>Q48</t>
  </si>
  <si>
    <t>Relation Generation, Limited data</t>
  </si>
  <si>
    <t>Q49</t>
  </si>
  <si>
    <t>Relation Generation, Sparse data</t>
  </si>
  <si>
    <t>Q50</t>
  </si>
  <si>
    <t>Relation Generation, Low-resource, Data scarcity</t>
  </si>
  <si>
    <t>"Relation Generation" AND ("Low-resource" OR "Data scarcity")</t>
  </si>
  <si>
    <t>Q51</t>
  </si>
  <si>
    <t>Relation Generation, Low-resource, Limited data</t>
  </si>
  <si>
    <t>"Relation Generation" AND ("Low-resource" OR "Limited data")</t>
  </si>
  <si>
    <t>Q52</t>
  </si>
  <si>
    <t>Relation Generation, Low-resource, Sparse data</t>
  </si>
  <si>
    <t>"Relation Generation" AND ("Low-resource" OR "Sparse data")</t>
  </si>
  <si>
    <t>Q53</t>
  </si>
  <si>
    <t>Relation Generation, Data scarcity, Limited data</t>
  </si>
  <si>
    <t>"Relation Generation" AND ("Data scarcity" OR "Limited data")</t>
  </si>
  <si>
    <t>Q54</t>
  </si>
  <si>
    <t>Relation Generation, Data scarcity, Sparse data</t>
  </si>
  <si>
    <t>"Relation Generation" AND ("Data scarcity" OR "Sparse data")</t>
  </si>
  <si>
    <t>Q55</t>
  </si>
  <si>
    <t>Relation Generation, Limited data, Sparse data</t>
  </si>
  <si>
    <t>Q56</t>
  </si>
  <si>
    <t>Relation Generation, Low-resource, Data scarcity, Limited data</t>
  </si>
  <si>
    <t>"Relation Generation" AND ("Low-resource" OR "Data scarcity" OR "Limited data")</t>
  </si>
  <si>
    <t>Q57</t>
  </si>
  <si>
    <t>Relation Generation, Low-resource, Data scarcity, Sparse data</t>
  </si>
  <si>
    <t>"Relation Generation" AND ("Low-resource" OR "Data scarcity" OR "Sparse data")</t>
  </si>
  <si>
    <t>Q58</t>
  </si>
  <si>
    <t>Relation Generation, Low-resource, Limited data, Sparse data</t>
  </si>
  <si>
    <t>"Relation Generation" AND ("Low-resource" OR "Limited data" OR "Sparse data")</t>
  </si>
  <si>
    <t>Q59</t>
  </si>
  <si>
    <t>Relation Generation, Data scarcity, Limited data, Sparse data</t>
  </si>
  <si>
    <t>"Relation Generation" AND ("Data scarcity" OR "Limited data" OR "Sparse data")</t>
  </si>
  <si>
    <t>Q60</t>
  </si>
  <si>
    <t>Relation Generation, Low-resource, Data scarcity, Limited data, Sparse data</t>
  </si>
  <si>
    <t>"Relation Generation" AND ("Low-resource" OR "Data scarcity" OR "Limited data" OR "Sparse data")</t>
  </si>
  <si>
    <t>Q61</t>
  </si>
  <si>
    <t>Triplet Generation, Low-resource</t>
  </si>
  <si>
    <t>Q62</t>
  </si>
  <si>
    <t>Triplet Generation, Data scarcity</t>
  </si>
  <si>
    <t>Q63</t>
  </si>
  <si>
    <t>Triplet Generation, Limited data</t>
  </si>
  <si>
    <t>Q64</t>
  </si>
  <si>
    <t>Triplet Generation, Sparse data</t>
  </si>
  <si>
    <t>Q65</t>
  </si>
  <si>
    <t>Triplet Generation, Low-resource, Data scarcity</t>
  </si>
  <si>
    <t>Q66</t>
  </si>
  <si>
    <t>Triplet Generation, Low-resource, Limited data</t>
  </si>
  <si>
    <t>"Triplet Generation" AND ("Low-resource" OR "Limited data")</t>
  </si>
  <si>
    <t>Q67</t>
  </si>
  <si>
    <t>Triplet Generation, Low-resource, Sparse data</t>
  </si>
  <si>
    <t>"Triplet Generation" AND ("Low-resource" OR "Sparse data")</t>
  </si>
  <si>
    <t>Q68</t>
  </si>
  <si>
    <t>Triplet Generation, Data scarcity, Limited data</t>
  </si>
  <si>
    <t>"Triplet Generation" AND ("Data scarcity" OR "Limited data")</t>
  </si>
  <si>
    <t>Q69</t>
  </si>
  <si>
    <t>Triplet Generation, Data scarcity, Sparse data</t>
  </si>
  <si>
    <t>"Triplet Generation" AND ("Data scarcity" OR "Sparse data")</t>
  </si>
  <si>
    <t>Q70</t>
  </si>
  <si>
    <t>Triplet Generation, Limited data, Sparse data</t>
  </si>
  <si>
    <t>"Triplet Generation" AND ("Limited data" OR "Sparse data")</t>
  </si>
  <si>
    <t>Q71</t>
  </si>
  <si>
    <t>Triplet Generation, Low-resource, Data scarcity, Limited data</t>
  </si>
  <si>
    <t>"Triplet Generation" AND ("Low-resource" OR "Data scarcity" OR "Limited data")</t>
  </si>
  <si>
    <t>Q72</t>
  </si>
  <si>
    <t>Triplet Generation, Low-resource, Data scarcity, Sparse data</t>
  </si>
  <si>
    <t>"Triplet Generation" AND ("Low-resource" OR "Data scarcity" OR "Sparse data")</t>
  </si>
  <si>
    <t>Q73</t>
  </si>
  <si>
    <t>Triplet Generation, Low-resource, Limited data, Sparse data</t>
  </si>
  <si>
    <t>"Triplet Generation" AND ("Low-resource" OR "Limited data" OR "Sparse data")</t>
  </si>
  <si>
    <t>Q74</t>
  </si>
  <si>
    <t>Triplet Generation, Data scarcity, Limited data, Sparse data</t>
  </si>
  <si>
    <t>"Triplet Generation" AND ("Data scarcity" OR "Limited data" OR "Sparse data")</t>
  </si>
  <si>
    <t>Q75</t>
  </si>
  <si>
    <t>Triplet Generation, Low-resource, Data scarcity, Limited data, Sparse data</t>
  </si>
  <si>
    <t>"Triplet Generation" AND ("Low-resource" OR "Data scarcity" OR "Limited data" OR "Sparse data")</t>
  </si>
  <si>
    <t>Semantic Scholar</t>
  </si>
  <si>
    <t>Inclusion</t>
  </si>
  <si>
    <t>Exclusion</t>
  </si>
  <si>
    <t>Core &gt; Task terms</t>
  </si>
  <si>
    <t>Core &gt; Scenario Terms</t>
  </si>
  <si>
    <t>Written in english</t>
  </si>
  <si>
    <t>Full text available</t>
  </si>
  <si>
    <t>Exact match</t>
  </si>
  <si>
    <t>Abstract</t>
  </si>
  <si>
    <t>Task + Scenario</t>
  </si>
  <si>
    <t>/</t>
  </si>
  <si>
    <t>Task</t>
  </si>
  <si>
    <t>Scenario</t>
  </si>
  <si>
    <t>-</t>
  </si>
  <si>
    <t>None</t>
  </si>
  <si>
    <t>Non-english publications</t>
  </si>
  <si>
    <t>Studies without a focus on low resource scenarios</t>
  </si>
  <si>
    <t>Studies not related with NLP, RE or Triplet Extraction</t>
  </si>
  <si>
    <t>Partial match or synonim terms</t>
  </si>
  <si>
    <t>A</t>
  </si>
  <si>
    <t>B</t>
  </si>
  <si>
    <t>Total</t>
  </si>
  <si>
    <t>Queries</t>
  </si>
  <si>
    <t>Relation identification</t>
  </si>
  <si>
    <t>Relation classification</t>
  </si>
  <si>
    <t>Relation extraction</t>
  </si>
  <si>
    <t>Relation triplet extaction</t>
  </si>
  <si>
    <t>Paid</t>
  </si>
  <si>
    <t>Free or access by institution easily</t>
  </si>
  <si>
    <t>Google Scholar</t>
  </si>
  <si>
    <t>Relation extractors</t>
  </si>
  <si>
    <t>Relationship extraction</t>
  </si>
  <si>
    <t>Relational extraction</t>
  </si>
  <si>
    <t>Puedo encontrar trabajos que hablan de eso pero que no cumplen con las caracteristicas</t>
  </si>
  <si>
    <t>No encuentro trabajos</t>
  </si>
  <si>
    <t>Encuentro muchos trabajos</t>
  </si>
  <si>
    <t>lower-resource</t>
  </si>
  <si>
    <t>text-to-triplet translation</t>
  </si>
  <si>
    <t>Text extraction</t>
  </si>
  <si>
    <t>Text mining</t>
  </si>
  <si>
    <t>Relational extractors</t>
  </si>
  <si>
    <t>Relation clustering</t>
  </si>
  <si>
    <t>Triplet-based approach</t>
  </si>
  <si>
    <t>ACL Anthology</t>
  </si>
  <si>
    <t>Triplet extraction</t>
  </si>
  <si>
    <t>Information extraction</t>
  </si>
  <si>
    <t>Low resource</t>
  </si>
  <si>
    <t>Paginas</t>
  </si>
  <si>
    <t>Min</t>
  </si>
  <si>
    <t>Max</t>
  </si>
  <si>
    <t>Scopus</t>
  </si>
  <si>
    <t>Web of Science</t>
  </si>
  <si>
    <t>Web</t>
  </si>
  <si>
    <t xml:space="preserve"> </t>
  </si>
  <si>
    <t xml:space="preserve">Peer-review venues </t>
  </si>
  <si>
    <t>Duplicate, overlapping studies, or proceedings</t>
  </si>
  <si>
    <t>Only partial text</t>
  </si>
  <si>
    <t>Tablas encasillando caracteristicas comunes de los papers</t>
  </si>
  <si>
    <t>characteristics</t>
  </si>
  <si>
    <t>authors</t>
  </si>
  <si>
    <t>author full names</t>
  </si>
  <si>
    <t>author(s) id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</si>
  <si>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</si>
  <si>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</si>
  <si>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</si>
  <si>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</si>
  <si>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</si>
  <si>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</si>
  <si>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</si>
  <si>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</si>
  <si>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page count</t>
  </si>
  <si>
    <t>cited by</t>
  </si>
  <si>
    <t>doi</t>
  </si>
  <si>
    <t>link</t>
  </si>
  <si>
    <t>affiliations</t>
  </si>
  <si>
    <t>authors with affiliations</t>
  </si>
  <si>
    <t>abstract</t>
  </si>
  <si>
    <t>author keywords</t>
  </si>
  <si>
    <t>index keywords</t>
  </si>
  <si>
    <t>molecular sequence numbers</t>
  </si>
  <si>
    <t>chemicals/cas</t>
  </si>
  <si>
    <t>tradenames</t>
  </si>
  <si>
    <t>manufacturers</t>
  </si>
  <si>
    <t>funding details</t>
  </si>
  <si>
    <t>funding texts</t>
  </si>
  <si>
    <t>references</t>
  </si>
  <si>
    <t>correspondence address</t>
  </si>
  <si>
    <t>editors</t>
  </si>
  <si>
    <t>publisher</t>
  </si>
  <si>
    <t>sponsors</t>
  </si>
  <si>
    <t>conference name</t>
  </si>
  <si>
    <t>conference date</t>
  </si>
  <si>
    <t>conference location</t>
  </si>
  <si>
    <t>conference code</t>
  </si>
  <si>
    <t>issn</t>
  </si>
  <si>
    <t>isbn</t>
  </si>
  <si>
    <t>coden</t>
  </si>
  <si>
    <t>pubmed id</t>
  </si>
  <si>
    <t>language of original document</t>
  </si>
  <si>
    <t>abbreviated source title</t>
  </si>
  <si>
    <t>document type</t>
  </si>
  <si>
    <t>publication stage</t>
  </si>
  <si>
    <t>open access</t>
  </si>
  <si>
    <t>source</t>
  </si>
  <si>
    <t>eid</t>
  </si>
  <si>
    <t>query</t>
  </si>
  <si>
    <t>search_engine</t>
  </si>
  <si>
    <t>choosen</t>
  </si>
  <si>
    <t>selected</t>
  </si>
  <si>
    <t>Join platforms</t>
  </si>
  <si>
    <t>Duplicates platforms</t>
  </si>
  <si>
    <t>Inclusion/ exclusion filters</t>
  </si>
  <si>
    <t>Other names</t>
  </si>
  <si>
    <t>(+8)</t>
  </si>
  <si>
    <t>Limited</t>
  </si>
  <si>
    <t>Code</t>
  </si>
  <si>
    <t>Automatic</t>
  </si>
  <si>
    <t>Duplicates removed on mendeley</t>
  </si>
  <si>
    <t>English</t>
  </si>
  <si>
    <t>Remove proceedigns</t>
  </si>
  <si>
    <t>Peer review</t>
  </si>
  <si>
    <t>Free</t>
  </si>
  <si>
    <t>Duplicates</t>
  </si>
  <si>
    <t>Without duplicates</t>
  </si>
  <si>
    <t>Parece que todos, pero revisar.</t>
  </si>
  <si>
    <t>?</t>
  </si>
  <si>
    <t>Total removed</t>
  </si>
  <si>
    <t>Manual</t>
  </si>
  <si>
    <t>Input</t>
  </si>
  <si>
    <t>Inference</t>
  </si>
  <si>
    <t>Output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</si>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</sst>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1" fillId="0" borderId="0" xfId="0" applyFont="1"/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  <xf numFmtId="0" fontId="1" fillId="0" borderId="4" xfId="0" applyFont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6" borderId="1" xfId="0" applyFill="1" applyBorder="1"/>
    <xf numFmtId="0" fontId="1" fillId="0" borderId="5" xfId="0" applyFont="1" applyBorder="1"/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9" borderId="1" xfId="0" applyFill="1" applyBorder="1"/>
    <xf numFmtId="0" fontId="0" fillId="0" borderId="12" xfId="0" applyBorder="1"/>
    <xf numFmtId="0" fontId="0" fillId="0" borderId="3" xfId="0" applyBorder="1"/>
    <xf numFmtId="0" fontId="0" fillId="3" borderId="3" xfId="0" applyFill="1" applyBorder="1"/>
    <xf numFmtId="0" fontId="0" fillId="3" borderId="10" xfId="0" applyFill="1" applyBorder="1"/>
    <xf numFmtId="0" fontId="0" fillId="9" borderId="12" xfId="0" applyFill="1" applyBorder="1"/>
    <xf numFmtId="0" fontId="1" fillId="9" borderId="12" xfId="0" applyFont="1" applyFill="1" applyBorder="1"/>
    <xf numFmtId="0" fontId="1" fillId="9" borderId="9" xfId="0" applyFont="1" applyFill="1" applyBorder="1"/>
    <xf numFmtId="0" fontId="0" fillId="9" borderId="4" xfId="0" applyFill="1" applyBorder="1"/>
    <xf numFmtId="0" fontId="0" fillId="9" borderId="6" xfId="0" applyFill="1" applyBorder="1"/>
    <xf numFmtId="0" fontId="1" fillId="9" borderId="6" xfId="0" applyFont="1" applyFill="1" applyBorder="1"/>
    <xf numFmtId="0" fontId="1" fillId="9" borderId="7" xfId="0" applyFont="1" applyFill="1" applyBorder="1"/>
    <xf numFmtId="0" fontId="0" fillId="9" borderId="7" xfId="0" applyFill="1" applyBorder="1"/>
    <xf numFmtId="0" fontId="0" fillId="0" borderId="8" xfId="0" applyBorder="1" applyAlignment="1">
      <alignment horizontal="center" wrapText="1"/>
    </xf>
    <xf numFmtId="0" fontId="1" fillId="0" borderId="3" xfId="0" applyFont="1" applyBorder="1"/>
    <xf numFmtId="0" fontId="0" fillId="0" borderId="1" xfId="0" applyBorder="1" applyAlignment="1">
      <alignment vertical="center" wrapText="1"/>
    </xf>
    <xf numFmtId="0" fontId="3" fillId="0" borderId="13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10" borderId="1" xfId="0" applyFill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0" fillId="11" borderId="1" xfId="0" applyFill="1" applyBorder="1"/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9A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aracteristics" connectionId="1" xr16:uid="{0CAE6755-F53C-364E-982A-0F5352B7648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extraction" connectionId="2" xr16:uid="{EB9626D2-167C-7243-AC10-76BF3EFB331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extraction2" connectionId="3" xr16:uid="{302FD0BD-FC12-5F44-965C-B5EB90F67A69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ality_assesment" connectionId="4" xr16:uid="{3498B1A1-19D0-EA4B-A55E-F9F48B8DDC4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F28D-4D1C-7143-A899-C41E8F53852F}">
  <dimension ref="A1:I19"/>
  <sheetViews>
    <sheetView zoomScale="140" zoomScaleNormal="140" workbookViewId="0">
      <selection activeCell="B22" sqref="B22"/>
    </sheetView>
  </sheetViews>
  <sheetFormatPr baseColWidth="10" defaultRowHeight="16" x14ac:dyDescent="0.2"/>
  <cols>
    <col min="2" max="2" width="124.83203125" customWidth="1"/>
    <col min="3" max="3" width="17" customWidth="1"/>
    <col min="4" max="4" width="31.33203125" style="19" customWidth="1"/>
  </cols>
  <sheetData>
    <row r="1" spans="1:9" ht="17" customHeight="1" x14ac:dyDescent="0.2">
      <c r="A1" s="66" t="s">
        <v>68</v>
      </c>
      <c r="B1" s="66"/>
      <c r="C1" s="66"/>
      <c r="D1" s="66"/>
    </row>
    <row r="2" spans="1:9" x14ac:dyDescent="0.2">
      <c r="A2" s="15" t="s">
        <v>1</v>
      </c>
      <c r="B2" s="15" t="s">
        <v>0</v>
      </c>
      <c r="C2" s="15" t="s">
        <v>8</v>
      </c>
      <c r="D2" s="14" t="s">
        <v>66</v>
      </c>
    </row>
    <row r="3" spans="1:9" ht="102" customHeight="1" x14ac:dyDescent="0.2">
      <c r="A3" s="5">
        <v>1</v>
      </c>
      <c r="B3" s="12" t="s">
        <v>56</v>
      </c>
      <c r="C3" s="6" t="s">
        <v>15</v>
      </c>
      <c r="D3" s="5" t="s">
        <v>57</v>
      </c>
    </row>
    <row r="4" spans="1:9" ht="102" customHeight="1" x14ac:dyDescent="0.2">
      <c r="A4" s="5">
        <v>2</v>
      </c>
      <c r="B4" s="10" t="s">
        <v>2</v>
      </c>
      <c r="C4" s="6" t="s">
        <v>9</v>
      </c>
      <c r="D4" s="63" t="s">
        <v>58</v>
      </c>
    </row>
    <row r="5" spans="1:9" ht="34" x14ac:dyDescent="0.2">
      <c r="A5" s="5">
        <v>3</v>
      </c>
      <c r="B5" s="10" t="s">
        <v>10</v>
      </c>
      <c r="C5" s="6" t="s">
        <v>11</v>
      </c>
      <c r="D5" s="64"/>
    </row>
    <row r="6" spans="1:9" ht="17" x14ac:dyDescent="0.2">
      <c r="A6" s="5">
        <v>4</v>
      </c>
      <c r="B6" s="10" t="s">
        <v>3</v>
      </c>
      <c r="C6" s="6" t="s">
        <v>12</v>
      </c>
      <c r="D6" s="65"/>
    </row>
    <row r="7" spans="1:9" ht="34" x14ac:dyDescent="0.2">
      <c r="A7" s="5">
        <v>5</v>
      </c>
      <c r="B7" s="11" t="s">
        <v>4</v>
      </c>
      <c r="C7" s="6" t="s">
        <v>13</v>
      </c>
      <c r="D7" s="5"/>
    </row>
    <row r="8" spans="1:9" ht="34" x14ac:dyDescent="0.2">
      <c r="A8" s="5">
        <v>6</v>
      </c>
      <c r="B8" s="11" t="s">
        <v>5</v>
      </c>
      <c r="C8" s="6" t="s">
        <v>14</v>
      </c>
      <c r="D8" s="5"/>
    </row>
    <row r="9" spans="1:9" ht="17" x14ac:dyDescent="0.2">
      <c r="A9" s="5">
        <v>7</v>
      </c>
      <c r="B9" s="11" t="s">
        <v>6</v>
      </c>
      <c r="C9" s="6" t="s">
        <v>59</v>
      </c>
      <c r="D9" s="5"/>
    </row>
    <row r="10" spans="1:9" ht="51" x14ac:dyDescent="0.2">
      <c r="A10" s="7">
        <v>8</v>
      </c>
      <c r="B10" s="8" t="s">
        <v>7</v>
      </c>
      <c r="C10" s="7" t="s">
        <v>16</v>
      </c>
      <c r="D10" s="5"/>
    </row>
    <row r="11" spans="1:9" x14ac:dyDescent="0.2">
      <c r="H11" s="16"/>
      <c r="I11" s="5" t="s">
        <v>69</v>
      </c>
    </row>
    <row r="12" spans="1:9" x14ac:dyDescent="0.2">
      <c r="A12" s="27"/>
      <c r="B12" s="27"/>
      <c r="C12" s="27"/>
      <c r="D12" s="27"/>
      <c r="H12" s="17"/>
      <c r="I12" s="5" t="s">
        <v>70</v>
      </c>
    </row>
    <row r="13" spans="1:9" x14ac:dyDescent="0.2">
      <c r="A13" s="21"/>
      <c r="B13" s="21"/>
      <c r="C13" s="21"/>
      <c r="D13" s="21"/>
      <c r="H13" s="18"/>
      <c r="I13" s="5" t="s">
        <v>71</v>
      </c>
    </row>
    <row r="14" spans="1:9" x14ac:dyDescent="0.2">
      <c r="A14" s="19"/>
      <c r="B14" s="23"/>
      <c r="C14" s="19"/>
      <c r="D14" s="22"/>
    </row>
    <row r="15" spans="1:9" x14ac:dyDescent="0.2">
      <c r="A15" s="19"/>
      <c r="B15" s="25"/>
      <c r="C15" s="19"/>
      <c r="D15" s="22"/>
    </row>
    <row r="16" spans="1:9" x14ac:dyDescent="0.2">
      <c r="A16" s="19"/>
      <c r="B16" s="23"/>
      <c r="C16" s="26"/>
      <c r="D16" s="22"/>
    </row>
    <row r="17" spans="1:4" x14ac:dyDescent="0.2">
      <c r="A17" s="19"/>
      <c r="B17" s="23"/>
      <c r="C17" s="26"/>
      <c r="D17" s="22"/>
    </row>
    <row r="18" spans="1:4" x14ac:dyDescent="0.2">
      <c r="A18" s="19"/>
      <c r="C18" s="26"/>
    </row>
    <row r="19" spans="1:4" x14ac:dyDescent="0.2">
      <c r="A19" s="19"/>
      <c r="B19" s="23"/>
      <c r="C19" s="19"/>
      <c r="D19" s="22"/>
    </row>
  </sheetData>
  <mergeCells count="2">
    <mergeCell ref="D4:D6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5C37-898A-3444-8434-5A240F4AEDB9}">
  <dimension ref="A1:G10"/>
  <sheetViews>
    <sheetView zoomScale="140" zoomScaleNormal="140" workbookViewId="0">
      <selection activeCell="B12" sqref="B12"/>
    </sheetView>
  </sheetViews>
  <sheetFormatPr baseColWidth="10" defaultRowHeight="16" x14ac:dyDescent="0.2"/>
  <cols>
    <col min="2" max="2" width="124.83203125" customWidth="1"/>
    <col min="3" max="3" width="17" customWidth="1"/>
    <col min="4" max="4" width="31.33203125" style="19" customWidth="1"/>
  </cols>
  <sheetData>
    <row r="1" spans="1:7" ht="17" customHeight="1" x14ac:dyDescent="0.2">
      <c r="A1" s="67" t="s">
        <v>67</v>
      </c>
      <c r="B1" s="67"/>
      <c r="C1" s="67"/>
      <c r="D1" s="67"/>
    </row>
    <row r="2" spans="1:7" x14ac:dyDescent="0.2">
      <c r="A2" s="4" t="s">
        <v>1</v>
      </c>
      <c r="B2" s="4" t="s">
        <v>0</v>
      </c>
      <c r="C2" s="4" t="s">
        <v>73</v>
      </c>
      <c r="D2" s="15" t="s">
        <v>8</v>
      </c>
    </row>
    <row r="3" spans="1:7" ht="102" customHeight="1" x14ac:dyDescent="0.2">
      <c r="A3" s="5">
        <v>1</v>
      </c>
      <c r="B3" s="13" t="s">
        <v>4</v>
      </c>
      <c r="C3" s="5">
        <v>5</v>
      </c>
      <c r="D3" s="6" t="s">
        <v>13</v>
      </c>
    </row>
    <row r="4" spans="1:7" ht="102" customHeight="1" x14ac:dyDescent="0.2">
      <c r="A4" s="5">
        <v>2</v>
      </c>
      <c r="B4" s="13" t="s">
        <v>64</v>
      </c>
      <c r="C4" s="5">
        <v>2.2999999999999998</v>
      </c>
      <c r="D4" s="6" t="s">
        <v>74</v>
      </c>
    </row>
    <row r="5" spans="1:7" ht="17" x14ac:dyDescent="0.2">
      <c r="A5" s="5">
        <v>3</v>
      </c>
      <c r="B5" s="13" t="s">
        <v>65</v>
      </c>
      <c r="C5" s="68" t="s">
        <v>76</v>
      </c>
      <c r="D5" s="6" t="s">
        <v>15</v>
      </c>
      <c r="F5" s="16"/>
      <c r="G5" s="5" t="s">
        <v>69</v>
      </c>
    </row>
    <row r="6" spans="1:7" ht="17" x14ac:dyDescent="0.2">
      <c r="A6" s="5" t="s">
        <v>61</v>
      </c>
      <c r="B6" s="13" t="s">
        <v>60</v>
      </c>
      <c r="C6" s="69"/>
      <c r="D6" s="6" t="s">
        <v>75</v>
      </c>
      <c r="F6" s="17"/>
      <c r="G6" s="5" t="s">
        <v>70</v>
      </c>
    </row>
    <row r="7" spans="1:7" x14ac:dyDescent="0.2">
      <c r="A7" s="5" t="s">
        <v>62</v>
      </c>
      <c r="B7" s="24" t="s">
        <v>63</v>
      </c>
      <c r="C7" s="70"/>
      <c r="D7" s="5" t="s">
        <v>72</v>
      </c>
      <c r="F7" s="18"/>
      <c r="G7" s="5" t="s">
        <v>71</v>
      </c>
    </row>
    <row r="8" spans="1:7" ht="17" x14ac:dyDescent="0.2">
      <c r="A8" s="5">
        <v>4</v>
      </c>
      <c r="B8" s="13" t="s">
        <v>5</v>
      </c>
      <c r="C8" s="5">
        <v>6</v>
      </c>
      <c r="D8" s="6" t="s">
        <v>14</v>
      </c>
    </row>
    <row r="9" spans="1:7" x14ac:dyDescent="0.2">
      <c r="A9" s="19"/>
      <c r="B9" s="23"/>
      <c r="C9" s="22"/>
    </row>
    <row r="10" spans="1:7" x14ac:dyDescent="0.2">
      <c r="A10" s="19"/>
      <c r="B10" s="23"/>
      <c r="C10" s="19"/>
    </row>
  </sheetData>
  <mergeCells count="2">
    <mergeCell ref="A1:D1"/>
    <mergeCell ref="C5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95CE-557B-7642-8600-7B2BCF56E0BB}">
  <dimension ref="A1:D7"/>
  <sheetViews>
    <sheetView zoomScale="192" zoomScaleNormal="192" workbookViewId="0">
      <selection activeCell="C7" sqref="C7:D7"/>
    </sheetView>
  </sheetViews>
  <sheetFormatPr baseColWidth="10" defaultRowHeight="16" x14ac:dyDescent="0.2"/>
  <cols>
    <col min="1" max="1" width="40.83203125" customWidth="1"/>
    <col min="2" max="2" width="44.5" customWidth="1"/>
    <col min="4" max="4" width="11.6640625" customWidth="1"/>
  </cols>
  <sheetData>
    <row r="1" spans="1:4" x14ac:dyDescent="0.2">
      <c r="A1" s="67" t="s">
        <v>320</v>
      </c>
      <c r="B1" s="67"/>
      <c r="C1" s="72" t="s">
        <v>321</v>
      </c>
      <c r="D1" s="72"/>
    </row>
    <row r="2" spans="1:4" ht="33" customHeight="1" x14ac:dyDescent="0.2">
      <c r="A2" s="75" t="s">
        <v>322</v>
      </c>
      <c r="B2" s="75"/>
      <c r="C2" s="73" t="s">
        <v>336</v>
      </c>
      <c r="D2" s="73"/>
    </row>
    <row r="3" spans="1:4" ht="32" customHeight="1" x14ac:dyDescent="0.2">
      <c r="A3" s="75" t="s">
        <v>323</v>
      </c>
      <c r="B3" s="75"/>
      <c r="C3" s="73" t="s">
        <v>335</v>
      </c>
      <c r="D3" s="73"/>
    </row>
    <row r="4" spans="1:4" ht="21" customHeight="1" x14ac:dyDescent="0.2">
      <c r="A4" s="75" t="s">
        <v>324</v>
      </c>
      <c r="B4" s="75"/>
      <c r="C4" s="74" t="s">
        <v>334</v>
      </c>
      <c r="D4" s="74"/>
    </row>
    <row r="5" spans="1:4" ht="31" customHeight="1" x14ac:dyDescent="0.2">
      <c r="A5" s="75" t="s">
        <v>373</v>
      </c>
      <c r="B5" s="75"/>
      <c r="C5" s="73" t="s">
        <v>374</v>
      </c>
      <c r="D5" s="73"/>
    </row>
    <row r="6" spans="1:4" ht="34" customHeight="1" x14ac:dyDescent="0.2">
      <c r="A6" s="75" t="s">
        <v>325</v>
      </c>
      <c r="B6" s="75"/>
      <c r="C6" s="73" t="s">
        <v>375</v>
      </c>
      <c r="D6" s="73"/>
    </row>
    <row r="7" spans="1:4" ht="31" customHeight="1" x14ac:dyDescent="0.2">
      <c r="A7" s="71" t="s">
        <v>347</v>
      </c>
      <c r="B7" s="71"/>
      <c r="C7" s="71" t="s">
        <v>346</v>
      </c>
      <c r="D7" s="71"/>
    </row>
  </sheetData>
  <mergeCells count="14">
    <mergeCell ref="A7:B7"/>
    <mergeCell ref="C7:D7"/>
    <mergeCell ref="C1:D1"/>
    <mergeCell ref="C2:D2"/>
    <mergeCell ref="C3:D3"/>
    <mergeCell ref="C4:D4"/>
    <mergeCell ref="C5:D5"/>
    <mergeCell ref="C6:D6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E306-9E79-CB43-80F3-1440546C6A05}">
  <dimension ref="A1:D4"/>
  <sheetViews>
    <sheetView workbookViewId="0">
      <selection activeCell="A5" sqref="A5"/>
    </sheetView>
  </sheetViews>
  <sheetFormatPr baseColWidth="10" defaultRowHeight="16" x14ac:dyDescent="0.2"/>
  <cols>
    <col min="1" max="1" width="26" customWidth="1"/>
    <col min="2" max="2" width="27.83203125" customWidth="1"/>
    <col min="4" max="4" width="24.33203125" customWidth="1"/>
  </cols>
  <sheetData>
    <row r="1" spans="1:4" x14ac:dyDescent="0.2">
      <c r="A1" s="76" t="s">
        <v>326</v>
      </c>
      <c r="B1" s="76"/>
      <c r="C1" s="77" t="s">
        <v>337</v>
      </c>
      <c r="D1" s="77"/>
    </row>
    <row r="2" spans="1:4" x14ac:dyDescent="0.2">
      <c r="A2" s="28" t="s">
        <v>18</v>
      </c>
      <c r="B2" s="28" t="s">
        <v>327</v>
      </c>
      <c r="C2" s="28" t="s">
        <v>18</v>
      </c>
      <c r="D2" s="28" t="s">
        <v>327</v>
      </c>
    </row>
    <row r="3" spans="1:4" x14ac:dyDescent="0.2">
      <c r="A3" s="2" t="s">
        <v>328</v>
      </c>
      <c r="B3" s="2" t="s">
        <v>329</v>
      </c>
      <c r="C3" s="2" t="s">
        <v>331</v>
      </c>
      <c r="D3" s="2" t="s">
        <v>332</v>
      </c>
    </row>
    <row r="4" spans="1:4" x14ac:dyDescent="0.2">
      <c r="A4" s="2" t="s">
        <v>330</v>
      </c>
      <c r="B4" s="2" t="s">
        <v>328</v>
      </c>
      <c r="C4" s="2" t="s">
        <v>333</v>
      </c>
      <c r="D4" s="2" t="s">
        <v>332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883B-A421-4340-B16C-E5B4FED87FB4}">
  <dimension ref="A1:C76"/>
  <sheetViews>
    <sheetView workbookViewId="0">
      <selection activeCell="E57" sqref="E57"/>
    </sheetView>
  </sheetViews>
  <sheetFormatPr baseColWidth="10" defaultRowHeight="16" x14ac:dyDescent="0.2"/>
  <cols>
    <col min="2" max="2" width="68.1640625" customWidth="1"/>
    <col min="3" max="3" width="90.5" customWidth="1"/>
  </cols>
  <sheetData>
    <row r="1" spans="1:3" x14ac:dyDescent="0.2">
      <c r="A1" s="20" t="s">
        <v>92</v>
      </c>
      <c r="B1" s="20" t="s">
        <v>90</v>
      </c>
      <c r="C1" s="20" t="s">
        <v>93</v>
      </c>
    </row>
    <row r="2" spans="1:3" x14ac:dyDescent="0.2">
      <c r="A2" t="s">
        <v>94</v>
      </c>
      <c r="B2" t="s">
        <v>144</v>
      </c>
      <c r="C2" t="s">
        <v>95</v>
      </c>
    </row>
    <row r="3" spans="1:3" x14ac:dyDescent="0.2">
      <c r="A3" t="s">
        <v>96</v>
      </c>
      <c r="B3" t="s">
        <v>145</v>
      </c>
      <c r="C3" t="s">
        <v>97</v>
      </c>
    </row>
    <row r="4" spans="1:3" x14ac:dyDescent="0.2">
      <c r="A4" t="s">
        <v>98</v>
      </c>
      <c r="B4" t="s">
        <v>146</v>
      </c>
      <c r="C4" t="s">
        <v>99</v>
      </c>
    </row>
    <row r="5" spans="1:3" x14ac:dyDescent="0.2">
      <c r="A5" t="s">
        <v>100</v>
      </c>
      <c r="B5" t="s">
        <v>147</v>
      </c>
      <c r="C5" t="s">
        <v>101</v>
      </c>
    </row>
    <row r="6" spans="1:3" x14ac:dyDescent="0.2">
      <c r="A6" t="s">
        <v>102</v>
      </c>
      <c r="B6" t="s">
        <v>148</v>
      </c>
      <c r="C6" t="s">
        <v>135</v>
      </c>
    </row>
    <row r="7" spans="1:3" x14ac:dyDescent="0.2">
      <c r="A7" t="s">
        <v>104</v>
      </c>
      <c r="B7" t="s">
        <v>149</v>
      </c>
      <c r="C7" t="s">
        <v>150</v>
      </c>
    </row>
    <row r="8" spans="1:3" x14ac:dyDescent="0.2">
      <c r="A8" t="s">
        <v>106</v>
      </c>
      <c r="B8" t="s">
        <v>151</v>
      </c>
      <c r="C8" t="s">
        <v>152</v>
      </c>
    </row>
    <row r="9" spans="1:3" x14ac:dyDescent="0.2">
      <c r="A9" t="s">
        <v>108</v>
      </c>
      <c r="B9" t="s">
        <v>153</v>
      </c>
      <c r="C9" t="s">
        <v>154</v>
      </c>
    </row>
    <row r="10" spans="1:3" x14ac:dyDescent="0.2">
      <c r="A10" t="s">
        <v>110</v>
      </c>
      <c r="B10" t="s">
        <v>155</v>
      </c>
      <c r="C10" t="s">
        <v>156</v>
      </c>
    </row>
    <row r="11" spans="1:3" x14ac:dyDescent="0.2">
      <c r="A11" t="s">
        <v>112</v>
      </c>
      <c r="B11" t="s">
        <v>157</v>
      </c>
      <c r="C11" t="s">
        <v>158</v>
      </c>
    </row>
    <row r="12" spans="1:3" x14ac:dyDescent="0.2">
      <c r="A12" t="s">
        <v>114</v>
      </c>
      <c r="B12" t="s">
        <v>159</v>
      </c>
      <c r="C12" t="s">
        <v>160</v>
      </c>
    </row>
    <row r="13" spans="1:3" x14ac:dyDescent="0.2">
      <c r="A13" t="s">
        <v>116</v>
      </c>
      <c r="B13" t="s">
        <v>161</v>
      </c>
      <c r="C13" t="s">
        <v>162</v>
      </c>
    </row>
    <row r="14" spans="1:3" x14ac:dyDescent="0.2">
      <c r="A14" t="s">
        <v>118</v>
      </c>
      <c r="B14" t="s">
        <v>163</v>
      </c>
      <c r="C14" t="s">
        <v>164</v>
      </c>
    </row>
    <row r="15" spans="1:3" x14ac:dyDescent="0.2">
      <c r="A15" t="s">
        <v>120</v>
      </c>
      <c r="B15" t="s">
        <v>165</v>
      </c>
      <c r="C15" t="s">
        <v>166</v>
      </c>
    </row>
    <row r="16" spans="1:3" x14ac:dyDescent="0.2">
      <c r="A16" t="s">
        <v>122</v>
      </c>
      <c r="B16" t="s">
        <v>167</v>
      </c>
      <c r="C16" t="s">
        <v>168</v>
      </c>
    </row>
    <row r="17" spans="1:3" x14ac:dyDescent="0.2">
      <c r="A17" t="s">
        <v>124</v>
      </c>
      <c r="B17" t="s">
        <v>169</v>
      </c>
      <c r="C17" t="s">
        <v>103</v>
      </c>
    </row>
    <row r="18" spans="1:3" x14ac:dyDescent="0.2">
      <c r="A18" t="s">
        <v>126</v>
      </c>
      <c r="B18" t="s">
        <v>170</v>
      </c>
      <c r="C18" t="s">
        <v>105</v>
      </c>
    </row>
    <row r="19" spans="1:3" x14ac:dyDescent="0.2">
      <c r="A19" t="s">
        <v>128</v>
      </c>
      <c r="B19" t="s">
        <v>171</v>
      </c>
      <c r="C19" t="s">
        <v>107</v>
      </c>
    </row>
    <row r="20" spans="1:3" x14ac:dyDescent="0.2">
      <c r="A20" t="s">
        <v>130</v>
      </c>
      <c r="B20" t="s">
        <v>172</v>
      </c>
      <c r="C20" t="s">
        <v>109</v>
      </c>
    </row>
    <row r="21" spans="1:3" x14ac:dyDescent="0.2">
      <c r="A21" t="s">
        <v>132</v>
      </c>
      <c r="B21" t="s">
        <v>173</v>
      </c>
      <c r="C21" t="s">
        <v>174</v>
      </c>
    </row>
    <row r="22" spans="1:3" x14ac:dyDescent="0.2">
      <c r="A22" t="s">
        <v>134</v>
      </c>
      <c r="B22" t="s">
        <v>175</v>
      </c>
      <c r="C22" t="s">
        <v>176</v>
      </c>
    </row>
    <row r="23" spans="1:3" x14ac:dyDescent="0.2">
      <c r="A23" t="s">
        <v>136</v>
      </c>
      <c r="B23" t="s">
        <v>177</v>
      </c>
      <c r="C23" t="s">
        <v>178</v>
      </c>
    </row>
    <row r="24" spans="1:3" x14ac:dyDescent="0.2">
      <c r="A24" t="s">
        <v>138</v>
      </c>
      <c r="B24" t="s">
        <v>179</v>
      </c>
      <c r="C24" t="s">
        <v>180</v>
      </c>
    </row>
    <row r="25" spans="1:3" x14ac:dyDescent="0.2">
      <c r="A25" t="s">
        <v>140</v>
      </c>
      <c r="B25" t="s">
        <v>181</v>
      </c>
      <c r="C25" t="s">
        <v>182</v>
      </c>
    </row>
    <row r="26" spans="1:3" x14ac:dyDescent="0.2">
      <c r="A26" t="s">
        <v>142</v>
      </c>
      <c r="B26" t="s">
        <v>183</v>
      </c>
      <c r="C26" t="s">
        <v>137</v>
      </c>
    </row>
    <row r="27" spans="1:3" x14ac:dyDescent="0.2">
      <c r="A27" t="s">
        <v>184</v>
      </c>
      <c r="B27" t="s">
        <v>185</v>
      </c>
      <c r="C27" t="s">
        <v>186</v>
      </c>
    </row>
    <row r="28" spans="1:3" x14ac:dyDescent="0.2">
      <c r="A28" t="s">
        <v>187</v>
      </c>
      <c r="B28" t="s">
        <v>188</v>
      </c>
      <c r="C28" t="s">
        <v>189</v>
      </c>
    </row>
    <row r="29" spans="1:3" x14ac:dyDescent="0.2">
      <c r="A29" t="s">
        <v>190</v>
      </c>
      <c r="B29" t="s">
        <v>191</v>
      </c>
      <c r="C29" t="s">
        <v>192</v>
      </c>
    </row>
    <row r="30" spans="1:3" x14ac:dyDescent="0.2">
      <c r="A30" t="s">
        <v>193</v>
      </c>
      <c r="B30" t="s">
        <v>194</v>
      </c>
      <c r="C30" t="s">
        <v>195</v>
      </c>
    </row>
    <row r="31" spans="1:3" x14ac:dyDescent="0.2">
      <c r="A31" t="s">
        <v>196</v>
      </c>
      <c r="B31" t="s">
        <v>197</v>
      </c>
      <c r="C31" t="s">
        <v>198</v>
      </c>
    </row>
    <row r="32" spans="1:3" x14ac:dyDescent="0.2">
      <c r="A32" t="s">
        <v>199</v>
      </c>
      <c r="B32" t="s">
        <v>200</v>
      </c>
      <c r="C32" t="s">
        <v>111</v>
      </c>
    </row>
    <row r="33" spans="1:3" x14ac:dyDescent="0.2">
      <c r="A33" t="s">
        <v>201</v>
      </c>
      <c r="B33" t="s">
        <v>202</v>
      </c>
      <c r="C33" t="s">
        <v>113</v>
      </c>
    </row>
    <row r="34" spans="1:3" x14ac:dyDescent="0.2">
      <c r="A34" t="s">
        <v>203</v>
      </c>
      <c r="B34" t="s">
        <v>204</v>
      </c>
      <c r="C34" t="s">
        <v>115</v>
      </c>
    </row>
    <row r="35" spans="1:3" x14ac:dyDescent="0.2">
      <c r="A35" t="s">
        <v>205</v>
      </c>
      <c r="B35" t="s">
        <v>206</v>
      </c>
      <c r="C35" t="s">
        <v>117</v>
      </c>
    </row>
    <row r="36" spans="1:3" x14ac:dyDescent="0.2">
      <c r="A36" t="s">
        <v>207</v>
      </c>
      <c r="B36" t="s">
        <v>208</v>
      </c>
      <c r="C36" t="s">
        <v>139</v>
      </c>
    </row>
    <row r="37" spans="1:3" x14ac:dyDescent="0.2">
      <c r="A37" t="s">
        <v>209</v>
      </c>
      <c r="B37" t="s">
        <v>210</v>
      </c>
      <c r="C37" t="s">
        <v>211</v>
      </c>
    </row>
    <row r="38" spans="1:3" x14ac:dyDescent="0.2">
      <c r="A38" t="s">
        <v>212</v>
      </c>
      <c r="B38" t="s">
        <v>213</v>
      </c>
      <c r="C38" t="s">
        <v>214</v>
      </c>
    </row>
    <row r="39" spans="1:3" x14ac:dyDescent="0.2">
      <c r="A39" t="s">
        <v>215</v>
      </c>
      <c r="B39" t="s">
        <v>216</v>
      </c>
      <c r="C39" t="s">
        <v>217</v>
      </c>
    </row>
    <row r="40" spans="1:3" x14ac:dyDescent="0.2">
      <c r="A40" t="s">
        <v>218</v>
      </c>
      <c r="B40" t="s">
        <v>219</v>
      </c>
      <c r="C40" t="s">
        <v>220</v>
      </c>
    </row>
    <row r="41" spans="1:3" x14ac:dyDescent="0.2">
      <c r="A41" t="s">
        <v>221</v>
      </c>
      <c r="B41" t="s">
        <v>222</v>
      </c>
      <c r="C41" t="s">
        <v>223</v>
      </c>
    </row>
    <row r="42" spans="1:3" x14ac:dyDescent="0.2">
      <c r="A42" t="s">
        <v>224</v>
      </c>
      <c r="B42" t="s">
        <v>225</v>
      </c>
      <c r="C42" t="s">
        <v>226</v>
      </c>
    </row>
    <row r="43" spans="1:3" x14ac:dyDescent="0.2">
      <c r="A43" t="s">
        <v>227</v>
      </c>
      <c r="B43" t="s">
        <v>228</v>
      </c>
      <c r="C43" t="s">
        <v>229</v>
      </c>
    </row>
    <row r="44" spans="1:3" x14ac:dyDescent="0.2">
      <c r="A44" t="s">
        <v>230</v>
      </c>
      <c r="B44" t="s">
        <v>231</v>
      </c>
      <c r="C44" t="s">
        <v>232</v>
      </c>
    </row>
    <row r="45" spans="1:3" x14ac:dyDescent="0.2">
      <c r="A45" t="s">
        <v>233</v>
      </c>
      <c r="B45" t="s">
        <v>234</v>
      </c>
      <c r="C45" t="s">
        <v>235</v>
      </c>
    </row>
    <row r="46" spans="1:3" x14ac:dyDescent="0.2">
      <c r="A46" t="s">
        <v>236</v>
      </c>
      <c r="B46" t="s">
        <v>237</v>
      </c>
      <c r="C46" t="s">
        <v>238</v>
      </c>
    </row>
    <row r="47" spans="1:3" x14ac:dyDescent="0.2">
      <c r="A47" t="s">
        <v>239</v>
      </c>
      <c r="B47" t="s">
        <v>240</v>
      </c>
      <c r="C47" t="s">
        <v>119</v>
      </c>
    </row>
    <row r="48" spans="1:3" x14ac:dyDescent="0.2">
      <c r="A48" t="s">
        <v>241</v>
      </c>
      <c r="B48" t="s">
        <v>242</v>
      </c>
      <c r="C48" t="s">
        <v>121</v>
      </c>
    </row>
    <row r="49" spans="1:3" x14ac:dyDescent="0.2">
      <c r="A49" t="s">
        <v>243</v>
      </c>
      <c r="B49" t="s">
        <v>244</v>
      </c>
      <c r="C49" t="s">
        <v>123</v>
      </c>
    </row>
    <row r="50" spans="1:3" x14ac:dyDescent="0.2">
      <c r="A50" t="s">
        <v>245</v>
      </c>
      <c r="B50" t="s">
        <v>246</v>
      </c>
      <c r="C50" t="s">
        <v>125</v>
      </c>
    </row>
    <row r="51" spans="1:3" x14ac:dyDescent="0.2">
      <c r="A51" t="s">
        <v>247</v>
      </c>
      <c r="B51" t="s">
        <v>248</v>
      </c>
      <c r="C51" t="s">
        <v>249</v>
      </c>
    </row>
    <row r="52" spans="1:3" x14ac:dyDescent="0.2">
      <c r="A52" t="s">
        <v>250</v>
      </c>
      <c r="B52" t="s">
        <v>251</v>
      </c>
      <c r="C52" t="s">
        <v>252</v>
      </c>
    </row>
    <row r="53" spans="1:3" x14ac:dyDescent="0.2">
      <c r="A53" t="s">
        <v>253</v>
      </c>
      <c r="B53" t="s">
        <v>254</v>
      </c>
      <c r="C53" t="s">
        <v>255</v>
      </c>
    </row>
    <row r="54" spans="1:3" x14ac:dyDescent="0.2">
      <c r="A54" t="s">
        <v>256</v>
      </c>
      <c r="B54" t="s">
        <v>257</v>
      </c>
      <c r="C54" t="s">
        <v>258</v>
      </c>
    </row>
    <row r="55" spans="1:3" x14ac:dyDescent="0.2">
      <c r="A55" t="s">
        <v>259</v>
      </c>
      <c r="B55" t="s">
        <v>260</v>
      </c>
      <c r="C55" t="s">
        <v>261</v>
      </c>
    </row>
    <row r="56" spans="1:3" x14ac:dyDescent="0.2">
      <c r="A56" t="s">
        <v>262</v>
      </c>
      <c r="B56" t="s">
        <v>263</v>
      </c>
      <c r="C56" t="s">
        <v>141</v>
      </c>
    </row>
    <row r="57" spans="1:3" x14ac:dyDescent="0.2">
      <c r="A57" t="s">
        <v>264</v>
      </c>
      <c r="B57" t="s">
        <v>265</v>
      </c>
      <c r="C57" t="s">
        <v>266</v>
      </c>
    </row>
    <row r="58" spans="1:3" x14ac:dyDescent="0.2">
      <c r="A58" t="s">
        <v>267</v>
      </c>
      <c r="B58" t="s">
        <v>268</v>
      </c>
      <c r="C58" t="s">
        <v>269</v>
      </c>
    </row>
    <row r="59" spans="1:3" x14ac:dyDescent="0.2">
      <c r="A59" t="s">
        <v>270</v>
      </c>
      <c r="B59" t="s">
        <v>271</v>
      </c>
      <c r="C59" t="s">
        <v>272</v>
      </c>
    </row>
    <row r="60" spans="1:3" x14ac:dyDescent="0.2">
      <c r="A60" t="s">
        <v>273</v>
      </c>
      <c r="B60" t="s">
        <v>274</v>
      </c>
      <c r="C60" t="s">
        <v>275</v>
      </c>
    </row>
    <row r="61" spans="1:3" x14ac:dyDescent="0.2">
      <c r="A61" t="s">
        <v>276</v>
      </c>
      <c r="B61" t="s">
        <v>277</v>
      </c>
      <c r="C61" t="s">
        <v>278</v>
      </c>
    </row>
    <row r="62" spans="1:3" x14ac:dyDescent="0.2">
      <c r="A62" t="s">
        <v>279</v>
      </c>
      <c r="B62" t="s">
        <v>280</v>
      </c>
      <c r="C62" t="s">
        <v>127</v>
      </c>
    </row>
    <row r="63" spans="1:3" x14ac:dyDescent="0.2">
      <c r="A63" t="s">
        <v>281</v>
      </c>
      <c r="B63" t="s">
        <v>282</v>
      </c>
      <c r="C63" t="s">
        <v>129</v>
      </c>
    </row>
    <row r="64" spans="1:3" x14ac:dyDescent="0.2">
      <c r="A64" t="s">
        <v>283</v>
      </c>
      <c r="B64" t="s">
        <v>284</v>
      </c>
      <c r="C64" t="s">
        <v>131</v>
      </c>
    </row>
    <row r="65" spans="1:3" x14ac:dyDescent="0.2">
      <c r="A65" t="s">
        <v>285</v>
      </c>
      <c r="B65" t="s">
        <v>286</v>
      </c>
      <c r="C65" t="s">
        <v>133</v>
      </c>
    </row>
    <row r="66" spans="1:3" x14ac:dyDescent="0.2">
      <c r="A66" t="s">
        <v>287</v>
      </c>
      <c r="B66" t="s">
        <v>288</v>
      </c>
      <c r="C66" t="s">
        <v>143</v>
      </c>
    </row>
    <row r="67" spans="1:3" x14ac:dyDescent="0.2">
      <c r="A67" t="s">
        <v>289</v>
      </c>
      <c r="B67" t="s">
        <v>290</v>
      </c>
      <c r="C67" t="s">
        <v>291</v>
      </c>
    </row>
    <row r="68" spans="1:3" x14ac:dyDescent="0.2">
      <c r="A68" t="s">
        <v>292</v>
      </c>
      <c r="B68" t="s">
        <v>293</v>
      </c>
      <c r="C68" t="s">
        <v>294</v>
      </c>
    </row>
    <row r="69" spans="1:3" x14ac:dyDescent="0.2">
      <c r="A69" t="s">
        <v>295</v>
      </c>
      <c r="B69" t="s">
        <v>296</v>
      </c>
      <c r="C69" t="s">
        <v>297</v>
      </c>
    </row>
    <row r="70" spans="1:3" x14ac:dyDescent="0.2">
      <c r="A70" t="s">
        <v>298</v>
      </c>
      <c r="B70" t="s">
        <v>299</v>
      </c>
      <c r="C70" t="s">
        <v>300</v>
      </c>
    </row>
    <row r="71" spans="1:3" x14ac:dyDescent="0.2">
      <c r="A71" t="s">
        <v>301</v>
      </c>
      <c r="B71" t="s">
        <v>302</v>
      </c>
      <c r="C71" t="s">
        <v>303</v>
      </c>
    </row>
    <row r="72" spans="1:3" x14ac:dyDescent="0.2">
      <c r="A72" t="s">
        <v>304</v>
      </c>
      <c r="B72" t="s">
        <v>305</v>
      </c>
      <c r="C72" t="s">
        <v>306</v>
      </c>
    </row>
    <row r="73" spans="1:3" x14ac:dyDescent="0.2">
      <c r="A73" t="s">
        <v>307</v>
      </c>
      <c r="B73" t="s">
        <v>308</v>
      </c>
      <c r="C73" t="s">
        <v>309</v>
      </c>
    </row>
    <row r="74" spans="1:3" x14ac:dyDescent="0.2">
      <c r="A74" t="s">
        <v>310</v>
      </c>
      <c r="B74" t="s">
        <v>311</v>
      </c>
      <c r="C74" t="s">
        <v>312</v>
      </c>
    </row>
    <row r="75" spans="1:3" x14ac:dyDescent="0.2">
      <c r="A75" t="s">
        <v>313</v>
      </c>
      <c r="B75" t="s">
        <v>314</v>
      </c>
      <c r="C75" t="s">
        <v>315</v>
      </c>
    </row>
    <row r="76" spans="1:3" x14ac:dyDescent="0.2">
      <c r="A76" t="s">
        <v>316</v>
      </c>
      <c r="B76" t="s">
        <v>317</v>
      </c>
      <c r="C76" t="s">
        <v>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3867-709B-874D-9AB7-6076D7520F8B}">
  <dimension ref="A1:AI53"/>
  <sheetViews>
    <sheetView zoomScale="125" zoomScaleNormal="180" workbookViewId="0">
      <pane xSplit="1" topLeftCell="B1" activePane="topRight" state="frozen"/>
      <selection pane="topRight" activeCell="A11" sqref="A11"/>
    </sheetView>
  </sheetViews>
  <sheetFormatPr baseColWidth="10" defaultRowHeight="16" x14ac:dyDescent="0.2"/>
  <cols>
    <col min="1" max="1" width="14.83203125" customWidth="1"/>
    <col min="2" max="2" width="69.83203125" bestFit="1" customWidth="1"/>
    <col min="3" max="3" width="57.5" customWidth="1"/>
    <col min="4" max="4" width="18.5" customWidth="1"/>
    <col min="6" max="7" width="13.1640625" customWidth="1"/>
    <col min="9" max="9" width="13.1640625" customWidth="1"/>
    <col min="12" max="12" width="13.6640625" customWidth="1"/>
    <col min="24" max="24" width="16.83203125" customWidth="1"/>
    <col min="30" max="30" width="10.83203125" customWidth="1"/>
    <col min="31" max="31" width="27.1640625" customWidth="1"/>
  </cols>
  <sheetData>
    <row r="1" spans="1:35" x14ac:dyDescent="0.2">
      <c r="A1" s="67" t="s">
        <v>341</v>
      </c>
      <c r="B1" s="84"/>
      <c r="C1" s="84"/>
      <c r="D1" s="81" t="s">
        <v>319</v>
      </c>
      <c r="E1" s="82"/>
      <c r="F1" s="83"/>
      <c r="G1" s="81" t="s">
        <v>348</v>
      </c>
      <c r="H1" s="82"/>
      <c r="I1" s="83"/>
      <c r="J1" s="78" t="s">
        <v>362</v>
      </c>
      <c r="K1" s="78"/>
      <c r="L1" s="78"/>
      <c r="M1" s="78" t="s">
        <v>369</v>
      </c>
      <c r="N1" s="78"/>
      <c r="O1" s="78"/>
      <c r="P1" s="78" t="s">
        <v>370</v>
      </c>
      <c r="Q1" s="78"/>
      <c r="R1" s="78"/>
    </row>
    <row r="2" spans="1:35" x14ac:dyDescent="0.2">
      <c r="A2" s="28" t="s">
        <v>92</v>
      </c>
      <c r="B2" s="28" t="s">
        <v>90</v>
      </c>
      <c r="C2" s="28" t="s">
        <v>93</v>
      </c>
      <c r="D2" s="29" t="s">
        <v>338</v>
      </c>
      <c r="E2" s="29" t="s">
        <v>339</v>
      </c>
      <c r="F2" s="33" t="s">
        <v>340</v>
      </c>
      <c r="G2" s="29" t="s">
        <v>338</v>
      </c>
      <c r="H2" s="29" t="s">
        <v>339</v>
      </c>
      <c r="I2" s="33" t="s">
        <v>340</v>
      </c>
      <c r="J2" s="29" t="s">
        <v>338</v>
      </c>
      <c r="K2" s="29" t="s">
        <v>339</v>
      </c>
      <c r="L2" s="33" t="s">
        <v>340</v>
      </c>
      <c r="M2" s="29" t="s">
        <v>338</v>
      </c>
      <c r="N2" s="29" t="s">
        <v>339</v>
      </c>
      <c r="O2" s="33" t="s">
        <v>340</v>
      </c>
      <c r="P2" s="29" t="s">
        <v>338</v>
      </c>
      <c r="Q2" s="29" t="s">
        <v>339</v>
      </c>
      <c r="R2" s="33" t="s">
        <v>340</v>
      </c>
    </row>
    <row r="3" spans="1:35" x14ac:dyDescent="0.2">
      <c r="A3" s="2" t="s">
        <v>94</v>
      </c>
      <c r="B3" s="2" t="s">
        <v>144</v>
      </c>
      <c r="C3" s="2" t="s">
        <v>95</v>
      </c>
      <c r="D3" s="31">
        <v>24</v>
      </c>
      <c r="E3" s="31">
        <v>18</v>
      </c>
      <c r="F3" s="34">
        <f t="shared" ref="F3:F23" si="0">D3+E3</f>
        <v>42</v>
      </c>
      <c r="G3" s="31">
        <v>16</v>
      </c>
      <c r="H3" s="31">
        <v>68</v>
      </c>
      <c r="I3" s="34">
        <f t="shared" ref="I3:I23" si="1">G3+H3</f>
        <v>84</v>
      </c>
      <c r="J3" s="31">
        <v>8</v>
      </c>
      <c r="K3" s="31">
        <v>24</v>
      </c>
      <c r="L3" s="34">
        <f>J3+K3</f>
        <v>32</v>
      </c>
      <c r="M3" s="31">
        <v>24</v>
      </c>
      <c r="N3" s="31">
        <v>134</v>
      </c>
      <c r="O3" s="34">
        <f t="shared" ref="O3:O22" si="2">M3+N3</f>
        <v>158</v>
      </c>
      <c r="P3" s="31">
        <v>16</v>
      </c>
      <c r="Q3" s="31">
        <v>44</v>
      </c>
      <c r="R3" s="34">
        <f t="shared" ref="R3:R23" si="3">P3+Q3</f>
        <v>60</v>
      </c>
    </row>
    <row r="4" spans="1:35" x14ac:dyDescent="0.2">
      <c r="A4" s="2" t="s">
        <v>96</v>
      </c>
      <c r="B4" s="2" t="s">
        <v>145</v>
      </c>
      <c r="C4" s="2" t="s">
        <v>97</v>
      </c>
      <c r="D4" s="2">
        <v>1</v>
      </c>
      <c r="E4" s="2">
        <v>5</v>
      </c>
      <c r="F4" s="34">
        <f t="shared" si="0"/>
        <v>6</v>
      </c>
      <c r="G4" s="2">
        <v>1</v>
      </c>
      <c r="H4" s="2">
        <v>51</v>
      </c>
      <c r="I4" s="34">
        <f t="shared" si="1"/>
        <v>52</v>
      </c>
      <c r="J4" s="2">
        <v>0</v>
      </c>
      <c r="K4" s="2">
        <v>2</v>
      </c>
      <c r="L4" s="34">
        <f>J4+K4</f>
        <v>2</v>
      </c>
      <c r="M4" s="2">
        <v>1</v>
      </c>
      <c r="N4" s="2">
        <v>12</v>
      </c>
      <c r="O4" s="34">
        <f t="shared" si="2"/>
        <v>13</v>
      </c>
      <c r="P4" s="2">
        <v>1</v>
      </c>
      <c r="Q4" s="2">
        <v>7</v>
      </c>
      <c r="R4" s="34">
        <f t="shared" si="3"/>
        <v>8</v>
      </c>
    </row>
    <row r="5" spans="1:35" x14ac:dyDescent="0.2">
      <c r="A5" s="2" t="s">
        <v>98</v>
      </c>
      <c r="B5" s="2" t="s">
        <v>146</v>
      </c>
      <c r="C5" s="2" t="s">
        <v>99</v>
      </c>
      <c r="D5" s="2">
        <v>1</v>
      </c>
      <c r="E5" s="2">
        <v>6</v>
      </c>
      <c r="F5" s="34">
        <f t="shared" si="0"/>
        <v>7</v>
      </c>
      <c r="G5" s="2">
        <v>1</v>
      </c>
      <c r="H5" s="2">
        <v>59</v>
      </c>
      <c r="I5" s="34">
        <f t="shared" si="1"/>
        <v>60</v>
      </c>
      <c r="J5" s="2">
        <v>1</v>
      </c>
      <c r="K5" s="2">
        <v>1</v>
      </c>
      <c r="L5" s="34">
        <f t="shared" ref="L5:L22" si="4">J5+K5</f>
        <v>2</v>
      </c>
      <c r="M5" s="2">
        <v>1</v>
      </c>
      <c r="N5" s="2">
        <v>14</v>
      </c>
      <c r="O5" s="34">
        <f t="shared" si="2"/>
        <v>15</v>
      </c>
      <c r="P5" s="2">
        <v>1</v>
      </c>
      <c r="Q5" s="2">
        <v>6</v>
      </c>
      <c r="R5" s="34">
        <f t="shared" si="3"/>
        <v>7</v>
      </c>
    </row>
    <row r="6" spans="1:35" x14ac:dyDescent="0.2">
      <c r="A6" s="2" t="s">
        <v>100</v>
      </c>
      <c r="B6" s="2" t="s">
        <v>147</v>
      </c>
      <c r="C6" s="2" t="s">
        <v>101</v>
      </c>
      <c r="D6" s="2">
        <v>1</v>
      </c>
      <c r="E6" s="2">
        <v>1</v>
      </c>
      <c r="F6" s="34">
        <f t="shared" si="0"/>
        <v>2</v>
      </c>
      <c r="G6" s="2">
        <v>2</v>
      </c>
      <c r="H6" s="2">
        <v>33</v>
      </c>
      <c r="I6" s="34">
        <f t="shared" si="1"/>
        <v>35</v>
      </c>
      <c r="J6" s="2">
        <v>1</v>
      </c>
      <c r="K6" s="2">
        <v>0</v>
      </c>
      <c r="L6" s="34">
        <f t="shared" si="4"/>
        <v>1</v>
      </c>
      <c r="M6" s="2">
        <v>2</v>
      </c>
      <c r="N6" s="2">
        <v>6</v>
      </c>
      <c r="O6" s="34">
        <f t="shared" si="2"/>
        <v>8</v>
      </c>
      <c r="P6" s="2">
        <v>1</v>
      </c>
      <c r="Q6" s="2">
        <v>1</v>
      </c>
      <c r="R6" s="34">
        <f t="shared" si="3"/>
        <v>2</v>
      </c>
    </row>
    <row r="7" spans="1:35" x14ac:dyDescent="0.2">
      <c r="A7" s="2" t="s">
        <v>124</v>
      </c>
      <c r="B7" s="2" t="s">
        <v>169</v>
      </c>
      <c r="C7" s="2" t="s">
        <v>103</v>
      </c>
      <c r="D7" s="2">
        <v>1</v>
      </c>
      <c r="E7" s="2">
        <v>2</v>
      </c>
      <c r="F7" s="34">
        <f t="shared" si="0"/>
        <v>3</v>
      </c>
      <c r="G7" s="35">
        <v>0</v>
      </c>
      <c r="H7" s="35">
        <v>7</v>
      </c>
      <c r="I7" s="34">
        <f t="shared" si="1"/>
        <v>7</v>
      </c>
      <c r="J7" s="2">
        <v>0</v>
      </c>
      <c r="K7" s="2">
        <v>1</v>
      </c>
      <c r="L7" s="34">
        <f t="shared" si="4"/>
        <v>1</v>
      </c>
      <c r="M7" s="2">
        <v>0</v>
      </c>
      <c r="N7" s="2">
        <v>7</v>
      </c>
      <c r="O7" s="34">
        <f t="shared" si="2"/>
        <v>7</v>
      </c>
      <c r="P7" s="2">
        <v>0</v>
      </c>
      <c r="Q7" s="2">
        <v>1</v>
      </c>
      <c r="R7" s="34">
        <f t="shared" si="3"/>
        <v>1</v>
      </c>
    </row>
    <row r="8" spans="1:35" x14ac:dyDescent="0.2">
      <c r="A8" s="2" t="s">
        <v>126</v>
      </c>
      <c r="B8" s="2" t="s">
        <v>170</v>
      </c>
      <c r="C8" s="2" t="s">
        <v>105</v>
      </c>
      <c r="D8" s="30">
        <v>0</v>
      </c>
      <c r="E8" s="30">
        <v>0</v>
      </c>
      <c r="F8" s="34">
        <f t="shared" si="0"/>
        <v>0</v>
      </c>
      <c r="G8" s="35">
        <v>0</v>
      </c>
      <c r="H8" s="35">
        <v>8</v>
      </c>
      <c r="I8" s="34">
        <f t="shared" si="1"/>
        <v>8</v>
      </c>
      <c r="J8" s="2">
        <v>0</v>
      </c>
      <c r="K8" s="2">
        <v>0</v>
      </c>
      <c r="L8" s="34">
        <f t="shared" si="4"/>
        <v>0</v>
      </c>
      <c r="M8" s="2">
        <v>0</v>
      </c>
      <c r="N8" s="2">
        <v>3</v>
      </c>
      <c r="O8" s="34">
        <f t="shared" si="2"/>
        <v>3</v>
      </c>
      <c r="P8" s="2">
        <v>0</v>
      </c>
      <c r="Q8" s="2">
        <v>1</v>
      </c>
      <c r="R8" s="34">
        <f t="shared" si="3"/>
        <v>1</v>
      </c>
    </row>
    <row r="9" spans="1:35" x14ac:dyDescent="0.2">
      <c r="A9" s="2" t="s">
        <v>128</v>
      </c>
      <c r="B9" s="2" t="s">
        <v>171</v>
      </c>
      <c r="C9" s="2" t="s">
        <v>107</v>
      </c>
      <c r="D9" s="30">
        <v>0</v>
      </c>
      <c r="E9" s="30">
        <v>0</v>
      </c>
      <c r="F9" s="34">
        <f t="shared" si="0"/>
        <v>0</v>
      </c>
      <c r="G9" s="30">
        <v>0</v>
      </c>
      <c r="H9" s="30">
        <v>1</v>
      </c>
      <c r="I9" s="34">
        <f t="shared" si="1"/>
        <v>1</v>
      </c>
      <c r="J9" s="2">
        <v>0</v>
      </c>
      <c r="K9" s="2">
        <v>0</v>
      </c>
      <c r="L9" s="34">
        <f t="shared" si="4"/>
        <v>0</v>
      </c>
      <c r="M9" s="2">
        <v>0</v>
      </c>
      <c r="N9" s="2">
        <v>0</v>
      </c>
      <c r="O9" s="34">
        <f t="shared" si="2"/>
        <v>0</v>
      </c>
      <c r="P9" s="2">
        <v>0</v>
      </c>
      <c r="Q9" s="2">
        <v>0</v>
      </c>
      <c r="R9" s="34">
        <f t="shared" si="3"/>
        <v>0</v>
      </c>
    </row>
    <row r="10" spans="1:35" x14ac:dyDescent="0.2">
      <c r="A10" s="2" t="s">
        <v>130</v>
      </c>
      <c r="B10" s="2" t="s">
        <v>172</v>
      </c>
      <c r="C10" s="2" t="s">
        <v>109</v>
      </c>
      <c r="D10" s="30">
        <v>0</v>
      </c>
      <c r="E10" s="30">
        <v>0</v>
      </c>
      <c r="F10" s="34">
        <f t="shared" si="0"/>
        <v>0</v>
      </c>
      <c r="G10" s="30">
        <v>0</v>
      </c>
      <c r="H10" s="30">
        <v>0</v>
      </c>
      <c r="I10" s="34">
        <f t="shared" si="1"/>
        <v>0</v>
      </c>
      <c r="J10" s="2">
        <v>0</v>
      </c>
      <c r="K10" s="2">
        <v>0</v>
      </c>
      <c r="L10" s="34">
        <f t="shared" si="4"/>
        <v>0</v>
      </c>
      <c r="M10" s="2">
        <v>0</v>
      </c>
      <c r="N10" s="2">
        <v>0</v>
      </c>
      <c r="O10" s="34">
        <f t="shared" si="2"/>
        <v>0</v>
      </c>
      <c r="P10" s="2">
        <v>0</v>
      </c>
      <c r="Q10" s="2">
        <v>0</v>
      </c>
      <c r="R10" s="34">
        <f t="shared" si="3"/>
        <v>0</v>
      </c>
    </row>
    <row r="11" spans="1:35" x14ac:dyDescent="0.2">
      <c r="A11" s="2" t="s">
        <v>199</v>
      </c>
      <c r="B11" s="2" t="s">
        <v>200</v>
      </c>
      <c r="C11" s="2" t="s">
        <v>111</v>
      </c>
      <c r="D11" s="31">
        <v>14</v>
      </c>
      <c r="E11" s="31">
        <v>18</v>
      </c>
      <c r="F11" s="34">
        <f t="shared" si="0"/>
        <v>32</v>
      </c>
      <c r="G11" s="31">
        <v>10</v>
      </c>
      <c r="H11" s="31">
        <v>68</v>
      </c>
      <c r="I11" s="34">
        <f t="shared" si="1"/>
        <v>78</v>
      </c>
      <c r="J11" s="31">
        <v>3</v>
      </c>
      <c r="K11" s="31">
        <v>15</v>
      </c>
      <c r="L11" s="34">
        <f t="shared" si="4"/>
        <v>18</v>
      </c>
      <c r="M11" s="31">
        <v>9</v>
      </c>
      <c r="N11" s="31">
        <v>181</v>
      </c>
      <c r="O11" s="34">
        <f t="shared" si="2"/>
        <v>190</v>
      </c>
      <c r="P11" s="31">
        <v>5</v>
      </c>
      <c r="Q11" s="31">
        <v>20</v>
      </c>
      <c r="R11" s="34">
        <f t="shared" si="3"/>
        <v>25</v>
      </c>
      <c r="AI11" t="s">
        <v>372</v>
      </c>
    </row>
    <row r="12" spans="1:35" x14ac:dyDescent="0.2">
      <c r="A12" s="2" t="s">
        <v>201</v>
      </c>
      <c r="B12" s="2" t="s">
        <v>202</v>
      </c>
      <c r="C12" s="2" t="s">
        <v>113</v>
      </c>
      <c r="D12" s="2">
        <v>1</v>
      </c>
      <c r="E12" s="2">
        <v>2</v>
      </c>
      <c r="F12" s="34">
        <f t="shared" si="0"/>
        <v>3</v>
      </c>
      <c r="G12" s="2">
        <v>1</v>
      </c>
      <c r="H12" s="2">
        <v>35</v>
      </c>
      <c r="I12" s="34">
        <f t="shared" si="1"/>
        <v>36</v>
      </c>
      <c r="J12" s="2">
        <v>0</v>
      </c>
      <c r="K12" s="2">
        <v>0</v>
      </c>
      <c r="L12" s="34">
        <f t="shared" si="4"/>
        <v>0</v>
      </c>
      <c r="M12" s="2">
        <v>2</v>
      </c>
      <c r="N12" s="2">
        <v>34</v>
      </c>
      <c r="O12" s="34">
        <f t="shared" si="2"/>
        <v>36</v>
      </c>
      <c r="P12" s="2">
        <v>2</v>
      </c>
      <c r="Q12" s="2">
        <v>6</v>
      </c>
      <c r="R12" s="34">
        <f t="shared" si="3"/>
        <v>8</v>
      </c>
    </row>
    <row r="13" spans="1:35" x14ac:dyDescent="0.2">
      <c r="A13" s="2" t="s">
        <v>203</v>
      </c>
      <c r="B13" s="2" t="s">
        <v>204</v>
      </c>
      <c r="C13" s="2" t="s">
        <v>115</v>
      </c>
      <c r="D13" s="2">
        <v>5</v>
      </c>
      <c r="E13" s="2">
        <v>4</v>
      </c>
      <c r="F13" s="34">
        <f t="shared" si="0"/>
        <v>9</v>
      </c>
      <c r="G13" s="2">
        <v>2</v>
      </c>
      <c r="H13" s="2">
        <v>58</v>
      </c>
      <c r="I13" s="34">
        <f t="shared" si="1"/>
        <v>60</v>
      </c>
      <c r="J13" s="2">
        <v>1</v>
      </c>
      <c r="K13" s="2">
        <v>0</v>
      </c>
      <c r="L13" s="34">
        <f t="shared" si="4"/>
        <v>1</v>
      </c>
      <c r="M13" s="2">
        <v>4</v>
      </c>
      <c r="N13" s="2">
        <v>33</v>
      </c>
      <c r="O13" s="34">
        <f t="shared" si="2"/>
        <v>37</v>
      </c>
      <c r="P13" s="2">
        <v>3</v>
      </c>
      <c r="Q13" s="2">
        <v>4</v>
      </c>
      <c r="R13" s="34">
        <f t="shared" si="3"/>
        <v>7</v>
      </c>
    </row>
    <row r="14" spans="1:35" ht="17" customHeight="1" x14ac:dyDescent="0.2">
      <c r="A14" s="2" t="s">
        <v>205</v>
      </c>
      <c r="B14" s="2" t="s">
        <v>206</v>
      </c>
      <c r="C14" s="2" t="s">
        <v>117</v>
      </c>
      <c r="D14" s="30">
        <v>0</v>
      </c>
      <c r="E14" s="30">
        <v>1</v>
      </c>
      <c r="F14" s="34">
        <f t="shared" si="0"/>
        <v>1</v>
      </c>
      <c r="G14" s="35">
        <v>0</v>
      </c>
      <c r="H14" s="35">
        <v>61</v>
      </c>
      <c r="I14" s="34">
        <f t="shared" si="1"/>
        <v>61</v>
      </c>
      <c r="J14" s="30">
        <v>0</v>
      </c>
      <c r="K14" s="30">
        <v>0</v>
      </c>
      <c r="L14" s="34">
        <f t="shared" si="4"/>
        <v>0</v>
      </c>
      <c r="M14" s="2">
        <v>0</v>
      </c>
      <c r="N14" s="2">
        <v>9</v>
      </c>
      <c r="O14" s="34">
        <f t="shared" si="2"/>
        <v>9</v>
      </c>
      <c r="P14" s="2">
        <v>0</v>
      </c>
      <c r="Q14" s="2">
        <v>1</v>
      </c>
      <c r="R14" s="34">
        <f t="shared" si="3"/>
        <v>1</v>
      </c>
    </row>
    <row r="15" spans="1:35" x14ac:dyDescent="0.2">
      <c r="A15" s="2" t="s">
        <v>239</v>
      </c>
      <c r="B15" s="2" t="s">
        <v>240</v>
      </c>
      <c r="C15" s="2" t="s">
        <v>119</v>
      </c>
      <c r="D15" s="30">
        <v>0</v>
      </c>
      <c r="E15" s="30">
        <v>0</v>
      </c>
      <c r="F15" s="34">
        <f t="shared" si="0"/>
        <v>0</v>
      </c>
      <c r="G15" s="30">
        <v>0</v>
      </c>
      <c r="H15" s="30">
        <v>0</v>
      </c>
      <c r="I15" s="34">
        <f t="shared" si="1"/>
        <v>0</v>
      </c>
      <c r="J15" s="30">
        <v>0</v>
      </c>
      <c r="K15" s="30">
        <v>0</v>
      </c>
      <c r="L15" s="34">
        <f t="shared" si="4"/>
        <v>0</v>
      </c>
      <c r="M15" s="30">
        <v>0</v>
      </c>
      <c r="N15" s="30">
        <v>1</v>
      </c>
      <c r="O15" s="34">
        <f t="shared" si="2"/>
        <v>1</v>
      </c>
      <c r="P15" s="30">
        <v>0</v>
      </c>
      <c r="Q15" s="30">
        <v>0</v>
      </c>
      <c r="R15" s="34">
        <f t="shared" si="3"/>
        <v>0</v>
      </c>
    </row>
    <row r="16" spans="1:35" x14ac:dyDescent="0.2">
      <c r="A16" s="2" t="s">
        <v>241</v>
      </c>
      <c r="B16" s="2" t="s">
        <v>242</v>
      </c>
      <c r="C16" s="2" t="s">
        <v>121</v>
      </c>
      <c r="D16" s="30">
        <v>0</v>
      </c>
      <c r="E16" s="30">
        <v>0</v>
      </c>
      <c r="F16" s="34">
        <f t="shared" si="0"/>
        <v>0</v>
      </c>
      <c r="G16" s="30">
        <v>0</v>
      </c>
      <c r="H16" s="30">
        <v>0</v>
      </c>
      <c r="I16" s="34">
        <f t="shared" si="1"/>
        <v>0</v>
      </c>
      <c r="J16" s="30">
        <v>0</v>
      </c>
      <c r="K16" s="30">
        <v>0</v>
      </c>
      <c r="L16" s="34">
        <f t="shared" si="4"/>
        <v>0</v>
      </c>
      <c r="M16" s="30">
        <v>0</v>
      </c>
      <c r="N16" s="30">
        <v>1</v>
      </c>
      <c r="O16" s="34">
        <f t="shared" si="2"/>
        <v>1</v>
      </c>
      <c r="P16" s="30">
        <v>0</v>
      </c>
      <c r="Q16" s="30">
        <v>0</v>
      </c>
      <c r="R16" s="34">
        <f t="shared" si="3"/>
        <v>0</v>
      </c>
    </row>
    <row r="17" spans="1:18" x14ac:dyDescent="0.2">
      <c r="A17" s="2" t="s">
        <v>243</v>
      </c>
      <c r="B17" s="2" t="s">
        <v>244</v>
      </c>
      <c r="C17" s="2" t="s">
        <v>123</v>
      </c>
      <c r="D17" s="30">
        <v>0</v>
      </c>
      <c r="E17" s="30">
        <v>0</v>
      </c>
      <c r="F17" s="34">
        <f t="shared" si="0"/>
        <v>0</v>
      </c>
      <c r="G17" s="30">
        <v>0</v>
      </c>
      <c r="H17" s="30">
        <v>0</v>
      </c>
      <c r="I17" s="34">
        <f t="shared" si="1"/>
        <v>0</v>
      </c>
      <c r="J17" s="30">
        <v>0</v>
      </c>
      <c r="K17" s="30">
        <v>0</v>
      </c>
      <c r="L17" s="34">
        <f t="shared" si="4"/>
        <v>0</v>
      </c>
      <c r="M17" s="30">
        <v>0</v>
      </c>
      <c r="N17" s="30">
        <v>0</v>
      </c>
      <c r="O17" s="34">
        <f t="shared" si="2"/>
        <v>0</v>
      </c>
      <c r="P17" s="30">
        <v>0</v>
      </c>
      <c r="Q17" s="30">
        <v>0</v>
      </c>
      <c r="R17" s="34">
        <f t="shared" si="3"/>
        <v>0</v>
      </c>
    </row>
    <row r="18" spans="1:18" x14ac:dyDescent="0.2">
      <c r="A18" s="2" t="s">
        <v>245</v>
      </c>
      <c r="B18" s="2" t="s">
        <v>246</v>
      </c>
      <c r="C18" s="2" t="s">
        <v>125</v>
      </c>
      <c r="D18" s="30">
        <v>0</v>
      </c>
      <c r="E18" s="30">
        <v>0</v>
      </c>
      <c r="F18" s="34">
        <f t="shared" si="0"/>
        <v>0</v>
      </c>
      <c r="G18" s="30">
        <v>0</v>
      </c>
      <c r="H18" s="30">
        <v>0</v>
      </c>
      <c r="I18" s="34">
        <f t="shared" si="1"/>
        <v>0</v>
      </c>
      <c r="J18" s="30">
        <v>0</v>
      </c>
      <c r="K18" s="30">
        <v>0</v>
      </c>
      <c r="L18" s="34">
        <f t="shared" si="4"/>
        <v>0</v>
      </c>
      <c r="M18" s="30">
        <v>0</v>
      </c>
      <c r="N18" s="30">
        <v>0</v>
      </c>
      <c r="O18" s="34">
        <f t="shared" si="2"/>
        <v>0</v>
      </c>
      <c r="P18" s="30">
        <v>0</v>
      </c>
      <c r="Q18" s="30">
        <v>0</v>
      </c>
      <c r="R18" s="34">
        <f t="shared" si="3"/>
        <v>0</v>
      </c>
    </row>
    <row r="19" spans="1:18" x14ac:dyDescent="0.2">
      <c r="A19" s="2" t="s">
        <v>279</v>
      </c>
      <c r="B19" s="2" t="s">
        <v>280</v>
      </c>
      <c r="C19" s="2" t="s">
        <v>127</v>
      </c>
      <c r="D19" s="30">
        <v>0</v>
      </c>
      <c r="E19" s="30">
        <v>0</v>
      </c>
      <c r="F19" s="34">
        <f t="shared" si="0"/>
        <v>0</v>
      </c>
      <c r="G19" s="35">
        <v>0</v>
      </c>
      <c r="H19" s="35">
        <v>0</v>
      </c>
      <c r="I19" s="34">
        <f t="shared" si="1"/>
        <v>0</v>
      </c>
      <c r="J19" s="30">
        <v>0</v>
      </c>
      <c r="K19" s="30">
        <v>0</v>
      </c>
      <c r="L19" s="34">
        <f t="shared" si="4"/>
        <v>0</v>
      </c>
      <c r="M19" s="30">
        <v>0</v>
      </c>
      <c r="N19" s="30">
        <v>0</v>
      </c>
      <c r="O19" s="34">
        <f t="shared" si="2"/>
        <v>0</v>
      </c>
      <c r="P19" s="30">
        <v>0</v>
      </c>
      <c r="Q19" s="30">
        <v>0</v>
      </c>
      <c r="R19" s="34">
        <f t="shared" si="3"/>
        <v>0</v>
      </c>
    </row>
    <row r="20" spans="1:18" x14ac:dyDescent="0.2">
      <c r="A20" s="2" t="s">
        <v>281</v>
      </c>
      <c r="B20" s="2" t="s">
        <v>282</v>
      </c>
      <c r="C20" s="2" t="s">
        <v>129</v>
      </c>
      <c r="D20" s="30">
        <v>0</v>
      </c>
      <c r="E20" s="30">
        <v>0</v>
      </c>
      <c r="F20" s="34">
        <f t="shared" si="0"/>
        <v>0</v>
      </c>
      <c r="G20" s="30">
        <v>0</v>
      </c>
      <c r="H20" s="30">
        <v>0</v>
      </c>
      <c r="I20" s="34">
        <f t="shared" si="1"/>
        <v>0</v>
      </c>
      <c r="J20" s="30">
        <v>0</v>
      </c>
      <c r="K20" s="30">
        <v>0</v>
      </c>
      <c r="L20" s="34">
        <f t="shared" si="4"/>
        <v>0</v>
      </c>
      <c r="M20" s="30">
        <v>0</v>
      </c>
      <c r="N20" s="30">
        <v>1</v>
      </c>
      <c r="O20" s="34">
        <f t="shared" si="2"/>
        <v>1</v>
      </c>
      <c r="P20" s="30">
        <v>0</v>
      </c>
      <c r="Q20" s="30">
        <v>0</v>
      </c>
      <c r="R20" s="34">
        <f t="shared" si="3"/>
        <v>0</v>
      </c>
    </row>
    <row r="21" spans="1:18" x14ac:dyDescent="0.2">
      <c r="A21" s="2" t="s">
        <v>283</v>
      </c>
      <c r="B21" s="2" t="s">
        <v>284</v>
      </c>
      <c r="C21" s="2" t="s">
        <v>131</v>
      </c>
      <c r="D21" s="30">
        <v>0</v>
      </c>
      <c r="E21" s="30">
        <v>0</v>
      </c>
      <c r="F21" s="34">
        <f t="shared" si="0"/>
        <v>0</v>
      </c>
      <c r="G21" s="30">
        <v>0</v>
      </c>
      <c r="H21" s="30">
        <v>0</v>
      </c>
      <c r="I21" s="34">
        <f t="shared" si="1"/>
        <v>0</v>
      </c>
      <c r="J21" s="30">
        <v>0</v>
      </c>
      <c r="K21" s="30">
        <v>0</v>
      </c>
      <c r="L21" s="34">
        <f t="shared" si="4"/>
        <v>0</v>
      </c>
      <c r="M21" s="30">
        <v>0</v>
      </c>
      <c r="N21" s="30">
        <v>0</v>
      </c>
      <c r="O21" s="34">
        <f t="shared" si="2"/>
        <v>0</v>
      </c>
      <c r="P21" s="30">
        <v>0</v>
      </c>
      <c r="Q21" s="30">
        <v>0</v>
      </c>
      <c r="R21" s="34">
        <f t="shared" si="3"/>
        <v>0</v>
      </c>
    </row>
    <row r="22" spans="1:18" x14ac:dyDescent="0.2">
      <c r="A22" s="2" t="s">
        <v>285</v>
      </c>
      <c r="B22" s="2" t="s">
        <v>286</v>
      </c>
      <c r="C22" s="2" t="s">
        <v>133</v>
      </c>
      <c r="D22" s="30">
        <v>0</v>
      </c>
      <c r="E22" s="30">
        <v>0</v>
      </c>
      <c r="F22" s="34">
        <f t="shared" si="0"/>
        <v>0</v>
      </c>
      <c r="G22" s="30">
        <v>0</v>
      </c>
      <c r="H22" s="30">
        <v>0</v>
      </c>
      <c r="I22" s="34">
        <f t="shared" si="1"/>
        <v>0</v>
      </c>
      <c r="J22" s="30">
        <v>0</v>
      </c>
      <c r="K22" s="30">
        <v>0</v>
      </c>
      <c r="L22" s="34">
        <f t="shared" si="4"/>
        <v>0</v>
      </c>
      <c r="M22" s="30">
        <v>0</v>
      </c>
      <c r="N22" s="30">
        <v>0</v>
      </c>
      <c r="O22" s="34">
        <f t="shared" si="2"/>
        <v>0</v>
      </c>
      <c r="P22" s="30">
        <v>0</v>
      </c>
      <c r="Q22" s="30">
        <v>0</v>
      </c>
      <c r="R22" s="34">
        <f t="shared" si="3"/>
        <v>0</v>
      </c>
    </row>
    <row r="23" spans="1:18" x14ac:dyDescent="0.2">
      <c r="D23" s="2">
        <f>SUM(D3:D22)</f>
        <v>48</v>
      </c>
      <c r="E23" s="2">
        <f>SUM(E3:E22)</f>
        <v>57</v>
      </c>
      <c r="F23" s="34">
        <f t="shared" si="0"/>
        <v>105</v>
      </c>
      <c r="G23" s="2">
        <f>SUM(G3:G22)</f>
        <v>33</v>
      </c>
      <c r="H23" s="2">
        <f>SUM(H3:H22)</f>
        <v>449</v>
      </c>
      <c r="I23" s="34">
        <f t="shared" si="1"/>
        <v>482</v>
      </c>
      <c r="J23" s="2">
        <f>SUM(J3:J22)</f>
        <v>14</v>
      </c>
      <c r="K23" s="2">
        <f>SUM(K3:K22)</f>
        <v>43</v>
      </c>
      <c r="L23" s="34">
        <f>J23+K23</f>
        <v>57</v>
      </c>
      <c r="M23" s="2">
        <f>SUM(M3:M22)</f>
        <v>43</v>
      </c>
      <c r="N23" s="2">
        <f>SUM(N3:N22)</f>
        <v>436</v>
      </c>
      <c r="O23" s="34">
        <f>M23+N23</f>
        <v>479</v>
      </c>
      <c r="P23" s="2">
        <f>SUM(P3:P22)</f>
        <v>29</v>
      </c>
      <c r="Q23" s="2">
        <f>SUM(Q3:Q22)</f>
        <v>91</v>
      </c>
      <c r="R23" s="34">
        <f t="shared" si="3"/>
        <v>120</v>
      </c>
    </row>
    <row r="24" spans="1:18" x14ac:dyDescent="0.2">
      <c r="D24" s="4" t="s">
        <v>367</v>
      </c>
      <c r="E24" s="40" t="s">
        <v>368</v>
      </c>
      <c r="F24" s="41"/>
      <c r="G24" s="4" t="s">
        <v>367</v>
      </c>
      <c r="H24" s="40" t="s">
        <v>368</v>
      </c>
      <c r="I24">
        <f>F23+I23</f>
        <v>587</v>
      </c>
      <c r="J24" s="4" t="s">
        <v>367</v>
      </c>
      <c r="K24" s="40" t="s">
        <v>368</v>
      </c>
      <c r="L24" s="32">
        <f>F23+I23+L23</f>
        <v>644</v>
      </c>
      <c r="M24" s="4" t="s">
        <v>367</v>
      </c>
      <c r="N24" s="40" t="s">
        <v>368</v>
      </c>
      <c r="O24" s="32">
        <f>F23+I23+L23+O23</f>
        <v>1123</v>
      </c>
      <c r="P24" s="4" t="s">
        <v>367</v>
      </c>
      <c r="Q24" s="40" t="s">
        <v>368</v>
      </c>
      <c r="R24" s="32">
        <f>F23+I23+L23+O23+R23</f>
        <v>1243</v>
      </c>
    </row>
    <row r="25" spans="1:18" x14ac:dyDescent="0.2">
      <c r="B25" s="9"/>
      <c r="C25" s="36" t="s">
        <v>366</v>
      </c>
      <c r="D25" s="2">
        <v>1</v>
      </c>
      <c r="E25" s="2">
        <v>7</v>
      </c>
      <c r="G25" s="2">
        <v>1</v>
      </c>
      <c r="H25" s="2">
        <v>15</v>
      </c>
      <c r="J25" s="80" t="s">
        <v>435</v>
      </c>
      <c r="K25" s="80"/>
      <c r="M25" s="80" t="s">
        <v>435</v>
      </c>
      <c r="N25" s="80"/>
      <c r="P25" s="80" t="s">
        <v>435</v>
      </c>
      <c r="Q25" s="80"/>
    </row>
    <row r="26" spans="1:18" x14ac:dyDescent="0.2">
      <c r="H26" s="56" t="s">
        <v>433</v>
      </c>
      <c r="J26" s="79" t="s">
        <v>434</v>
      </c>
      <c r="K26" s="79"/>
      <c r="M26" s="80" t="s">
        <v>371</v>
      </c>
      <c r="N26" s="80"/>
      <c r="P26" s="80" t="s">
        <v>371</v>
      </c>
      <c r="Q26" s="80"/>
    </row>
    <row r="27" spans="1:18" x14ac:dyDescent="0.2">
      <c r="D27" s="72" t="s">
        <v>436</v>
      </c>
      <c r="E27" s="72"/>
      <c r="F27" s="72"/>
      <c r="G27" s="72"/>
      <c r="H27" s="72"/>
      <c r="I27" s="72"/>
      <c r="J27" s="72"/>
      <c r="K27" s="72"/>
      <c r="L27" s="72"/>
    </row>
    <row r="51" spans="1:2" ht="34" x14ac:dyDescent="0.2">
      <c r="A51" s="12"/>
      <c r="B51" s="13" t="s">
        <v>352</v>
      </c>
    </row>
    <row r="52" spans="1:2" ht="17" x14ac:dyDescent="0.2">
      <c r="A52" s="37"/>
      <c r="B52" s="13" t="s">
        <v>354</v>
      </c>
    </row>
    <row r="53" spans="1:2" ht="17" x14ac:dyDescent="0.2">
      <c r="A53" s="38"/>
      <c r="B53" s="13" t="s">
        <v>353</v>
      </c>
    </row>
  </sheetData>
  <mergeCells count="13">
    <mergeCell ref="D27:L27"/>
    <mergeCell ref="D1:F1"/>
    <mergeCell ref="G1:I1"/>
    <mergeCell ref="J1:L1"/>
    <mergeCell ref="A1:C1"/>
    <mergeCell ref="P1:R1"/>
    <mergeCell ref="J26:K26"/>
    <mergeCell ref="M25:N25"/>
    <mergeCell ref="M26:N26"/>
    <mergeCell ref="P25:Q25"/>
    <mergeCell ref="P26:Q26"/>
    <mergeCell ref="J25:K25"/>
    <mergeCell ref="M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C711-7DD1-1141-A4AE-7FA74687D0BF}">
  <dimension ref="A1:Q18"/>
  <sheetViews>
    <sheetView topLeftCell="C1" zoomScale="217" workbookViewId="0">
      <selection activeCell="E5" sqref="E5"/>
    </sheetView>
  </sheetViews>
  <sheetFormatPr baseColWidth="10" defaultRowHeight="16" x14ac:dyDescent="0.2"/>
  <cols>
    <col min="2" max="2" width="34" customWidth="1"/>
    <col min="3" max="3" width="35.1640625" customWidth="1"/>
    <col min="10" max="10" width="20.83203125" customWidth="1"/>
    <col min="12" max="12" width="13.5" customWidth="1"/>
  </cols>
  <sheetData>
    <row r="1" spans="1:17" x14ac:dyDescent="0.2">
      <c r="A1" s="67" t="s">
        <v>341</v>
      </c>
      <c r="B1" s="84"/>
      <c r="C1" s="84"/>
      <c r="D1" s="81" t="s">
        <v>369</v>
      </c>
      <c r="E1" s="82"/>
      <c r="F1" s="83"/>
      <c r="G1" s="78" t="s">
        <v>370</v>
      </c>
      <c r="H1" s="78"/>
      <c r="I1" s="78"/>
    </row>
    <row r="2" spans="1:17" x14ac:dyDescent="0.2">
      <c r="A2" s="28" t="s">
        <v>92</v>
      </c>
      <c r="B2" s="28" t="s">
        <v>90</v>
      </c>
      <c r="C2" s="28" t="s">
        <v>93</v>
      </c>
      <c r="D2" s="29" t="s">
        <v>338</v>
      </c>
      <c r="E2" s="29" t="s">
        <v>339</v>
      </c>
      <c r="F2" s="33" t="s">
        <v>340</v>
      </c>
      <c r="G2" s="29" t="s">
        <v>338</v>
      </c>
      <c r="H2" s="29" t="s">
        <v>339</v>
      </c>
      <c r="I2" s="33" t="s">
        <v>340</v>
      </c>
    </row>
    <row r="3" spans="1:17" x14ac:dyDescent="0.2">
      <c r="A3" s="2" t="s">
        <v>94</v>
      </c>
      <c r="B3" s="2" t="s">
        <v>144</v>
      </c>
      <c r="C3" s="2" t="s">
        <v>95</v>
      </c>
      <c r="D3" s="31">
        <v>24</v>
      </c>
      <c r="E3" s="31">
        <v>134</v>
      </c>
      <c r="F3" s="34">
        <f t="shared" ref="F3:F10" si="0">D3+E3</f>
        <v>158</v>
      </c>
      <c r="G3" s="31">
        <v>16</v>
      </c>
      <c r="H3" s="31">
        <v>44</v>
      </c>
      <c r="I3" s="34">
        <f t="shared" ref="I3:I10" si="1">G3+H3</f>
        <v>60</v>
      </c>
    </row>
    <row r="4" spans="1:17" x14ac:dyDescent="0.2">
      <c r="A4" s="2" t="s">
        <v>96</v>
      </c>
      <c r="B4" s="2" t="s">
        <v>145</v>
      </c>
      <c r="C4" s="2" t="s">
        <v>97</v>
      </c>
      <c r="D4" s="2">
        <v>1</v>
      </c>
      <c r="E4" s="2">
        <v>12</v>
      </c>
      <c r="F4" s="34">
        <f t="shared" si="0"/>
        <v>13</v>
      </c>
      <c r="G4" s="2">
        <v>1</v>
      </c>
      <c r="H4" s="2">
        <v>7</v>
      </c>
      <c r="I4" s="34">
        <f t="shared" si="1"/>
        <v>8</v>
      </c>
    </row>
    <row r="5" spans="1:17" x14ac:dyDescent="0.2">
      <c r="A5" s="2" t="s">
        <v>98</v>
      </c>
      <c r="B5" s="2" t="s">
        <v>146</v>
      </c>
      <c r="C5" s="2" t="s">
        <v>99</v>
      </c>
      <c r="D5" s="2">
        <v>1</v>
      </c>
      <c r="E5" s="2">
        <v>14</v>
      </c>
      <c r="F5" s="34">
        <f t="shared" si="0"/>
        <v>15</v>
      </c>
      <c r="G5" s="2">
        <v>1</v>
      </c>
      <c r="H5" s="2">
        <v>6</v>
      </c>
      <c r="I5" s="34">
        <f t="shared" si="1"/>
        <v>7</v>
      </c>
    </row>
    <row r="6" spans="1:17" x14ac:dyDescent="0.2">
      <c r="A6" s="2" t="s">
        <v>100</v>
      </c>
      <c r="B6" s="2" t="s">
        <v>147</v>
      </c>
      <c r="C6" s="2" t="s">
        <v>101</v>
      </c>
      <c r="D6" s="2">
        <v>2</v>
      </c>
      <c r="E6" s="2">
        <v>6</v>
      </c>
      <c r="F6" s="34">
        <f t="shared" si="0"/>
        <v>8</v>
      </c>
      <c r="G6" s="2">
        <v>1</v>
      </c>
      <c r="H6" s="2">
        <v>1</v>
      </c>
      <c r="I6" s="34">
        <f t="shared" si="1"/>
        <v>2</v>
      </c>
    </row>
    <row r="7" spans="1:17" x14ac:dyDescent="0.2">
      <c r="A7" s="2" t="s">
        <v>124</v>
      </c>
      <c r="B7" s="2" t="s">
        <v>169</v>
      </c>
      <c r="C7" s="2" t="s">
        <v>103</v>
      </c>
      <c r="D7" s="2">
        <v>0</v>
      </c>
      <c r="E7" s="2">
        <v>7</v>
      </c>
      <c r="F7" s="34">
        <f t="shared" si="0"/>
        <v>7</v>
      </c>
      <c r="G7" s="2">
        <v>0</v>
      </c>
      <c r="H7" s="2">
        <v>1</v>
      </c>
      <c r="I7" s="34">
        <f t="shared" si="1"/>
        <v>1</v>
      </c>
    </row>
    <row r="8" spans="1:17" x14ac:dyDescent="0.2">
      <c r="A8" s="2" t="s">
        <v>126</v>
      </c>
      <c r="B8" s="2" t="s">
        <v>170</v>
      </c>
      <c r="C8" s="2" t="s">
        <v>105</v>
      </c>
      <c r="D8" s="2">
        <v>0</v>
      </c>
      <c r="E8" s="2">
        <v>3</v>
      </c>
      <c r="F8" s="34">
        <f t="shared" si="0"/>
        <v>3</v>
      </c>
      <c r="G8" s="2">
        <v>0</v>
      </c>
      <c r="H8" s="2">
        <v>1</v>
      </c>
      <c r="I8" s="34">
        <f t="shared" si="1"/>
        <v>1</v>
      </c>
    </row>
    <row r="9" spans="1:17" x14ac:dyDescent="0.2">
      <c r="A9" s="2" t="s">
        <v>128</v>
      </c>
      <c r="B9" s="2" t="s">
        <v>171</v>
      </c>
      <c r="C9" s="2" t="s">
        <v>107</v>
      </c>
      <c r="D9" s="2">
        <v>0</v>
      </c>
      <c r="E9" s="2">
        <v>0</v>
      </c>
      <c r="F9" s="34">
        <f t="shared" si="0"/>
        <v>0</v>
      </c>
      <c r="G9" s="2">
        <v>0</v>
      </c>
      <c r="H9" s="2">
        <v>0</v>
      </c>
      <c r="I9" s="34">
        <f t="shared" si="1"/>
        <v>0</v>
      </c>
    </row>
    <row r="10" spans="1:17" x14ac:dyDescent="0.2">
      <c r="A10" s="2" t="s">
        <v>130</v>
      </c>
      <c r="B10" s="2" t="s">
        <v>172</v>
      </c>
      <c r="C10" s="2" t="s">
        <v>109</v>
      </c>
      <c r="D10" s="44">
        <v>0</v>
      </c>
      <c r="E10" s="44">
        <v>0</v>
      </c>
      <c r="F10" s="45">
        <f t="shared" si="0"/>
        <v>0</v>
      </c>
      <c r="G10" s="44">
        <v>0</v>
      </c>
      <c r="H10" s="44">
        <v>0</v>
      </c>
      <c r="I10" s="46">
        <f t="shared" si="1"/>
        <v>0</v>
      </c>
      <c r="J10" s="84" t="s">
        <v>428</v>
      </c>
      <c r="K10" s="84"/>
      <c r="L10" s="84"/>
      <c r="P10" s="19"/>
      <c r="Q10" s="19"/>
    </row>
    <row r="11" spans="1:17" x14ac:dyDescent="0.2">
      <c r="C11" s="42" t="s">
        <v>340</v>
      </c>
      <c r="D11" s="51">
        <f t="shared" ref="D11:I11" si="2">SUM(D3:D10)</f>
        <v>28</v>
      </c>
      <c r="E11" s="51">
        <f t="shared" si="2"/>
        <v>176</v>
      </c>
      <c r="F11" s="52">
        <f t="shared" si="2"/>
        <v>204</v>
      </c>
      <c r="G11" s="51">
        <f t="shared" si="2"/>
        <v>19</v>
      </c>
      <c r="H11" s="51">
        <f t="shared" si="2"/>
        <v>60</v>
      </c>
      <c r="I11" s="53">
        <f t="shared" si="2"/>
        <v>79</v>
      </c>
      <c r="J11" s="93">
        <f>F11+I11</f>
        <v>283</v>
      </c>
      <c r="K11" s="94"/>
      <c r="L11" s="85" t="s">
        <v>445</v>
      </c>
    </row>
    <row r="12" spans="1:17" x14ac:dyDescent="0.2">
      <c r="C12" s="42" t="s">
        <v>441</v>
      </c>
      <c r="D12" s="51"/>
      <c r="E12" s="51"/>
      <c r="F12" s="51">
        <v>40</v>
      </c>
      <c r="G12" s="51"/>
      <c r="H12" s="51"/>
      <c r="I12" s="54">
        <v>17</v>
      </c>
      <c r="J12" s="95">
        <f>I12+F12</f>
        <v>57</v>
      </c>
      <c r="K12" s="96"/>
      <c r="L12" s="86"/>
    </row>
    <row r="13" spans="1:17" x14ac:dyDescent="0.2">
      <c r="C13" s="50" t="s">
        <v>442</v>
      </c>
      <c r="D13" s="47"/>
      <c r="E13" s="47"/>
      <c r="F13" s="48">
        <f>F11-F12</f>
        <v>164</v>
      </c>
      <c r="G13" s="47"/>
      <c r="H13" s="47"/>
      <c r="I13" s="49">
        <f>I11-I12</f>
        <v>62</v>
      </c>
      <c r="J13" s="91">
        <f>I13+F13</f>
        <v>226</v>
      </c>
      <c r="K13" s="92"/>
      <c r="L13" s="87"/>
    </row>
    <row r="14" spans="1:17" x14ac:dyDescent="0.2">
      <c r="D14" s="55"/>
      <c r="E14" s="55"/>
      <c r="F14" s="55"/>
      <c r="I14" s="88" t="s">
        <v>435</v>
      </c>
      <c r="J14" s="58" t="s">
        <v>429</v>
      </c>
      <c r="K14" s="59">
        <f>J13-L14</f>
        <v>165</v>
      </c>
      <c r="L14" s="60">
        <v>61</v>
      </c>
    </row>
    <row r="15" spans="1:17" ht="17" x14ac:dyDescent="0.2">
      <c r="I15" s="89"/>
      <c r="J15" s="57" t="s">
        <v>437</v>
      </c>
      <c r="K15" s="61">
        <v>159</v>
      </c>
      <c r="L15" s="60">
        <f>K14-K15</f>
        <v>6</v>
      </c>
      <c r="M15" s="43" t="s">
        <v>430</v>
      </c>
      <c r="N15" s="43"/>
    </row>
    <row r="16" spans="1:17" x14ac:dyDescent="0.2">
      <c r="I16" s="88" t="s">
        <v>446</v>
      </c>
      <c r="J16" s="2" t="s">
        <v>438</v>
      </c>
      <c r="K16" s="59">
        <v>135</v>
      </c>
      <c r="L16" s="60">
        <f>K15-K16</f>
        <v>24</v>
      </c>
    </row>
    <row r="17" spans="9:14" x14ac:dyDescent="0.2">
      <c r="I17" s="90"/>
      <c r="J17" s="2" t="s">
        <v>439</v>
      </c>
      <c r="K17" s="59" t="s">
        <v>444</v>
      </c>
      <c r="L17" s="60" t="s">
        <v>444</v>
      </c>
      <c r="N17" t="s">
        <v>443</v>
      </c>
    </row>
    <row r="18" spans="9:14" x14ac:dyDescent="0.2">
      <c r="I18" s="90"/>
      <c r="J18" s="2" t="s">
        <v>440</v>
      </c>
      <c r="K18" s="59">
        <v>134</v>
      </c>
      <c r="L18" s="60">
        <f>K16-K18</f>
        <v>1</v>
      </c>
    </row>
  </sheetData>
  <mergeCells count="10">
    <mergeCell ref="L11:L13"/>
    <mergeCell ref="I14:I15"/>
    <mergeCell ref="I16:I18"/>
    <mergeCell ref="A1:C1"/>
    <mergeCell ref="J10:L10"/>
    <mergeCell ref="D1:F1"/>
    <mergeCell ref="G1:I1"/>
    <mergeCell ref="J13:K13"/>
    <mergeCell ref="J11:K11"/>
    <mergeCell ref="J12:K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9A1A-9547-BD45-8765-74E432024BF3}">
  <dimension ref="A2:B18"/>
  <sheetViews>
    <sheetView tabSelected="1" zoomScale="105" workbookViewId="0">
      <selection activeCell="B15" sqref="B15"/>
    </sheetView>
  </sheetViews>
  <sheetFormatPr baseColWidth="10" defaultRowHeight="16" x14ac:dyDescent="0.2"/>
  <cols>
    <col min="1" max="1" width="36" customWidth="1"/>
    <col min="2" max="2" width="46" customWidth="1"/>
  </cols>
  <sheetData>
    <row r="2" spans="1:2" x14ac:dyDescent="0.2">
      <c r="A2" s="72" t="s">
        <v>431</v>
      </c>
      <c r="B2" s="72"/>
    </row>
    <row r="3" spans="1:2" x14ac:dyDescent="0.2">
      <c r="A3" s="39" t="s">
        <v>344</v>
      </c>
      <c r="B3" s="2" t="s">
        <v>359</v>
      </c>
    </row>
    <row r="4" spans="1:2" x14ac:dyDescent="0.2">
      <c r="A4" s="39" t="s">
        <v>344</v>
      </c>
      <c r="B4" s="2" t="s">
        <v>349</v>
      </c>
    </row>
    <row r="5" spans="1:2" x14ac:dyDescent="0.2">
      <c r="A5" s="39" t="s">
        <v>344</v>
      </c>
      <c r="B5" s="2" t="s">
        <v>342</v>
      </c>
    </row>
    <row r="6" spans="1:2" x14ac:dyDescent="0.2">
      <c r="A6" s="39" t="s">
        <v>344</v>
      </c>
      <c r="B6" s="2" t="s">
        <v>343</v>
      </c>
    </row>
    <row r="7" spans="1:2" x14ac:dyDescent="0.2">
      <c r="A7" s="39" t="s">
        <v>344</v>
      </c>
      <c r="B7" s="2" t="s">
        <v>350</v>
      </c>
    </row>
    <row r="8" spans="1:2" x14ac:dyDescent="0.2">
      <c r="A8" s="39" t="s">
        <v>344</v>
      </c>
      <c r="B8" s="2" t="s">
        <v>351</v>
      </c>
    </row>
    <row r="9" spans="1:2" x14ac:dyDescent="0.2">
      <c r="A9" s="39" t="s">
        <v>344</v>
      </c>
      <c r="B9" s="2" t="s">
        <v>360</v>
      </c>
    </row>
    <row r="10" spans="1:2" x14ac:dyDescent="0.2">
      <c r="A10" s="39" t="s">
        <v>363</v>
      </c>
      <c r="B10" s="2" t="s">
        <v>345</v>
      </c>
    </row>
    <row r="11" spans="1:2" x14ac:dyDescent="0.2">
      <c r="A11" s="39" t="s">
        <v>363</v>
      </c>
      <c r="B11" s="2" t="s">
        <v>356</v>
      </c>
    </row>
    <row r="12" spans="1:2" x14ac:dyDescent="0.2">
      <c r="A12" s="39" t="s">
        <v>363</v>
      </c>
      <c r="B12" s="2" t="s">
        <v>361</v>
      </c>
    </row>
    <row r="13" spans="1:2" x14ac:dyDescent="0.2">
      <c r="A13" s="39" t="s">
        <v>364</v>
      </c>
      <c r="B13" s="2" t="s">
        <v>357</v>
      </c>
    </row>
    <row r="14" spans="1:2" x14ac:dyDescent="0.2">
      <c r="A14" s="39" t="s">
        <v>364</v>
      </c>
      <c r="B14" s="2" t="s">
        <v>358</v>
      </c>
    </row>
    <row r="15" spans="1:2" x14ac:dyDescent="0.2">
      <c r="A15" s="39" t="s">
        <v>365</v>
      </c>
      <c r="B15" s="2" t="s">
        <v>355</v>
      </c>
    </row>
    <row r="18" spans="2:2" x14ac:dyDescent="0.2">
      <c r="B18" t="s">
        <v>376</v>
      </c>
    </row>
  </sheetData>
  <mergeCells count="1"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4921-CF0D-894D-AC5F-AC40814D1409}">
  <dimension ref="A1:C50"/>
  <sheetViews>
    <sheetView topLeftCell="A28" workbookViewId="0">
      <selection activeCell="C51" sqref="C51"/>
    </sheetView>
  </sheetViews>
  <sheetFormatPr baseColWidth="10" defaultRowHeight="16" x14ac:dyDescent="0.2"/>
  <cols>
    <col min="1" max="1" width="25.33203125" bestFit="1" customWidth="1"/>
  </cols>
  <sheetData>
    <row r="1" spans="1:3" x14ac:dyDescent="0.2">
      <c r="A1" s="9" t="s">
        <v>377</v>
      </c>
      <c r="B1" s="9" t="s">
        <v>426</v>
      </c>
      <c r="C1" s="9" t="s">
        <v>427</v>
      </c>
    </row>
    <row r="2" spans="1:3" x14ac:dyDescent="0.2">
      <c r="A2" t="s">
        <v>378</v>
      </c>
      <c r="B2">
        <v>0</v>
      </c>
      <c r="C2" t="str">
        <f>IF(R2=1,"Yes","No")</f>
        <v>No</v>
      </c>
    </row>
    <row r="3" spans="1:3" x14ac:dyDescent="0.2">
      <c r="A3" t="s">
        <v>379</v>
      </c>
      <c r="B3">
        <v>0</v>
      </c>
      <c r="C3" t="str">
        <f t="shared" ref="C3:C49" si="0">IF(B3=1,"Yes","No")</f>
        <v>No</v>
      </c>
    </row>
    <row r="4" spans="1:3" x14ac:dyDescent="0.2">
      <c r="A4" t="s">
        <v>380</v>
      </c>
      <c r="B4">
        <v>0</v>
      </c>
      <c r="C4" t="str">
        <f t="shared" si="0"/>
        <v>No</v>
      </c>
    </row>
    <row r="5" spans="1:3" x14ac:dyDescent="0.2">
      <c r="A5" t="s">
        <v>381</v>
      </c>
      <c r="B5">
        <v>1</v>
      </c>
      <c r="C5" t="str">
        <f t="shared" si="0"/>
        <v>Yes</v>
      </c>
    </row>
    <row r="6" spans="1:3" x14ac:dyDescent="0.2">
      <c r="A6" t="s">
        <v>382</v>
      </c>
      <c r="B6">
        <v>1</v>
      </c>
      <c r="C6" t="str">
        <f t="shared" si="0"/>
        <v>Yes</v>
      </c>
    </row>
    <row r="7" spans="1:3" x14ac:dyDescent="0.2">
      <c r="A7" t="s">
        <v>383</v>
      </c>
      <c r="B7">
        <v>0</v>
      </c>
      <c r="C7" t="str">
        <f t="shared" si="0"/>
        <v>No</v>
      </c>
    </row>
    <row r="8" spans="1:3" x14ac:dyDescent="0.2">
      <c r="A8" t="s">
        <v>384</v>
      </c>
      <c r="B8">
        <v>0</v>
      </c>
      <c r="C8" t="str">
        <f t="shared" si="0"/>
        <v>No</v>
      </c>
    </row>
    <row r="9" spans="1:3" x14ac:dyDescent="0.2">
      <c r="A9" t="s">
        <v>385</v>
      </c>
      <c r="B9">
        <v>0</v>
      </c>
      <c r="C9" t="str">
        <f t="shared" si="0"/>
        <v>No</v>
      </c>
    </row>
    <row r="10" spans="1:3" x14ac:dyDescent="0.2">
      <c r="A10" t="s">
        <v>386</v>
      </c>
      <c r="B10">
        <v>0</v>
      </c>
      <c r="C10" t="str">
        <f t="shared" si="0"/>
        <v>No</v>
      </c>
    </row>
    <row r="11" spans="1:3" x14ac:dyDescent="0.2">
      <c r="A11" t="s">
        <v>387</v>
      </c>
      <c r="B11">
        <v>0</v>
      </c>
      <c r="C11" t="str">
        <f t="shared" si="0"/>
        <v>No</v>
      </c>
    </row>
    <row r="12" spans="1:3" x14ac:dyDescent="0.2">
      <c r="A12" t="s">
        <v>388</v>
      </c>
      <c r="B12">
        <v>0</v>
      </c>
      <c r="C12" t="str">
        <f t="shared" si="0"/>
        <v>No</v>
      </c>
    </row>
    <row r="13" spans="1:3" x14ac:dyDescent="0.2">
      <c r="A13" t="s">
        <v>389</v>
      </c>
      <c r="B13">
        <v>0</v>
      </c>
      <c r="C13" t="str">
        <f t="shared" si="0"/>
        <v>No</v>
      </c>
    </row>
    <row r="14" spans="1:3" x14ac:dyDescent="0.2">
      <c r="A14" t="s">
        <v>390</v>
      </c>
      <c r="B14">
        <v>1</v>
      </c>
      <c r="C14" t="str">
        <f t="shared" si="0"/>
        <v>Yes</v>
      </c>
    </row>
    <row r="15" spans="1:3" x14ac:dyDescent="0.2">
      <c r="A15" t="s">
        <v>391</v>
      </c>
      <c r="B15">
        <v>1</v>
      </c>
      <c r="C15" t="str">
        <f t="shared" si="0"/>
        <v>Yes</v>
      </c>
    </row>
    <row r="16" spans="1:3" x14ac:dyDescent="0.2">
      <c r="A16" t="s">
        <v>392</v>
      </c>
      <c r="B16">
        <v>1</v>
      </c>
      <c r="C16" t="str">
        <f t="shared" si="0"/>
        <v>Yes</v>
      </c>
    </row>
    <row r="17" spans="1:3" x14ac:dyDescent="0.2">
      <c r="A17" t="s">
        <v>393</v>
      </c>
      <c r="B17">
        <v>0</v>
      </c>
      <c r="C17" t="str">
        <f t="shared" si="0"/>
        <v>No</v>
      </c>
    </row>
    <row r="18" spans="1:3" x14ac:dyDescent="0.2">
      <c r="A18" t="s">
        <v>394</v>
      </c>
      <c r="B18">
        <v>0</v>
      </c>
      <c r="C18" t="str">
        <f t="shared" si="0"/>
        <v>No</v>
      </c>
    </row>
    <row r="19" spans="1:3" x14ac:dyDescent="0.2">
      <c r="A19" t="s">
        <v>395</v>
      </c>
      <c r="B19">
        <v>1</v>
      </c>
      <c r="C19" t="str">
        <f t="shared" si="0"/>
        <v>Yes</v>
      </c>
    </row>
    <row r="20" spans="1:3" x14ac:dyDescent="0.2">
      <c r="A20" t="s">
        <v>396</v>
      </c>
      <c r="B20">
        <v>1</v>
      </c>
      <c r="C20" t="str">
        <f t="shared" si="0"/>
        <v>Yes</v>
      </c>
    </row>
    <row r="21" spans="1:3" x14ac:dyDescent="0.2">
      <c r="A21" t="s">
        <v>397</v>
      </c>
      <c r="B21">
        <v>1</v>
      </c>
      <c r="C21" t="str">
        <f t="shared" si="0"/>
        <v>Yes</v>
      </c>
    </row>
    <row r="22" spans="1:3" x14ac:dyDescent="0.2">
      <c r="A22" t="s">
        <v>398</v>
      </c>
      <c r="B22">
        <v>0</v>
      </c>
      <c r="C22" t="str">
        <f t="shared" si="0"/>
        <v>No</v>
      </c>
    </row>
    <row r="23" spans="1:3" x14ac:dyDescent="0.2">
      <c r="A23" t="s">
        <v>399</v>
      </c>
      <c r="B23">
        <v>0</v>
      </c>
      <c r="C23" t="str">
        <f t="shared" si="0"/>
        <v>No</v>
      </c>
    </row>
    <row r="24" spans="1:3" x14ac:dyDescent="0.2">
      <c r="A24" t="s">
        <v>400</v>
      </c>
      <c r="B24">
        <v>0</v>
      </c>
      <c r="C24" t="str">
        <f t="shared" si="0"/>
        <v>No</v>
      </c>
    </row>
    <row r="25" spans="1:3" x14ac:dyDescent="0.2">
      <c r="A25" t="s">
        <v>401</v>
      </c>
      <c r="B25">
        <v>0</v>
      </c>
      <c r="C25" t="str">
        <f t="shared" si="0"/>
        <v>No</v>
      </c>
    </row>
    <row r="26" spans="1:3" x14ac:dyDescent="0.2">
      <c r="A26" t="s">
        <v>402</v>
      </c>
      <c r="B26">
        <v>0</v>
      </c>
      <c r="C26" t="str">
        <f t="shared" si="0"/>
        <v>No</v>
      </c>
    </row>
    <row r="27" spans="1:3" x14ac:dyDescent="0.2">
      <c r="A27" t="s">
        <v>403</v>
      </c>
      <c r="B27">
        <v>0</v>
      </c>
      <c r="C27" t="str">
        <f t="shared" si="0"/>
        <v>No</v>
      </c>
    </row>
    <row r="28" spans="1:3" x14ac:dyDescent="0.2">
      <c r="A28" t="s">
        <v>404</v>
      </c>
      <c r="B28">
        <v>0</v>
      </c>
      <c r="C28" t="str">
        <f t="shared" si="0"/>
        <v>No</v>
      </c>
    </row>
    <row r="29" spans="1:3" x14ac:dyDescent="0.2">
      <c r="A29" t="s">
        <v>405</v>
      </c>
      <c r="B29">
        <v>0</v>
      </c>
      <c r="C29" t="str">
        <f t="shared" si="0"/>
        <v>No</v>
      </c>
    </row>
    <row r="30" spans="1:3" x14ac:dyDescent="0.2">
      <c r="A30" t="s">
        <v>406</v>
      </c>
      <c r="B30">
        <v>0</v>
      </c>
      <c r="C30" t="str">
        <f t="shared" si="0"/>
        <v>No</v>
      </c>
    </row>
    <row r="31" spans="1:3" x14ac:dyDescent="0.2">
      <c r="A31" t="s">
        <v>407</v>
      </c>
      <c r="B31">
        <v>1</v>
      </c>
      <c r="C31" t="str">
        <f t="shared" si="0"/>
        <v>Yes</v>
      </c>
    </row>
    <row r="32" spans="1:3" x14ac:dyDescent="0.2">
      <c r="A32" t="s">
        <v>408</v>
      </c>
      <c r="B32">
        <v>0</v>
      </c>
      <c r="C32" t="str">
        <f t="shared" si="0"/>
        <v>No</v>
      </c>
    </row>
    <row r="33" spans="1:3" x14ac:dyDescent="0.2">
      <c r="A33" t="s">
        <v>409</v>
      </c>
      <c r="B33">
        <v>1</v>
      </c>
      <c r="C33" t="str">
        <f t="shared" si="0"/>
        <v>Yes</v>
      </c>
    </row>
    <row r="34" spans="1:3" x14ac:dyDescent="0.2">
      <c r="A34" t="s">
        <v>410</v>
      </c>
      <c r="B34">
        <v>0</v>
      </c>
      <c r="C34" t="str">
        <f t="shared" si="0"/>
        <v>No</v>
      </c>
    </row>
    <row r="35" spans="1:3" x14ac:dyDescent="0.2">
      <c r="A35" t="s">
        <v>411</v>
      </c>
      <c r="B35">
        <v>0</v>
      </c>
      <c r="C35" t="str">
        <f t="shared" si="0"/>
        <v>No</v>
      </c>
    </row>
    <row r="36" spans="1:3" x14ac:dyDescent="0.2">
      <c r="A36" t="s">
        <v>412</v>
      </c>
      <c r="B36">
        <v>0</v>
      </c>
      <c r="C36" t="str">
        <f t="shared" si="0"/>
        <v>No</v>
      </c>
    </row>
    <row r="37" spans="1:3" x14ac:dyDescent="0.2">
      <c r="A37" t="s">
        <v>413</v>
      </c>
      <c r="B37">
        <v>0</v>
      </c>
      <c r="C37" t="str">
        <f t="shared" si="0"/>
        <v>No</v>
      </c>
    </row>
    <row r="38" spans="1:3" x14ac:dyDescent="0.2">
      <c r="A38" t="s">
        <v>414</v>
      </c>
      <c r="B38">
        <v>0</v>
      </c>
      <c r="C38" t="str">
        <f t="shared" si="0"/>
        <v>No</v>
      </c>
    </row>
    <row r="39" spans="1:3" x14ac:dyDescent="0.2">
      <c r="A39" t="s">
        <v>415</v>
      </c>
      <c r="B39">
        <v>0</v>
      </c>
      <c r="C39" t="str">
        <f t="shared" si="0"/>
        <v>No</v>
      </c>
    </row>
    <row r="40" spans="1:3" x14ac:dyDescent="0.2">
      <c r="A40" t="s">
        <v>416</v>
      </c>
      <c r="B40">
        <v>0</v>
      </c>
      <c r="C40" t="str">
        <f t="shared" si="0"/>
        <v>No</v>
      </c>
    </row>
    <row r="41" spans="1:3" x14ac:dyDescent="0.2">
      <c r="A41" t="s">
        <v>417</v>
      </c>
      <c r="B41">
        <v>1</v>
      </c>
      <c r="C41" t="str">
        <f t="shared" si="0"/>
        <v>Yes</v>
      </c>
    </row>
    <row r="42" spans="1:3" x14ac:dyDescent="0.2">
      <c r="A42" t="s">
        <v>418</v>
      </c>
      <c r="B42">
        <v>1</v>
      </c>
      <c r="C42" t="str">
        <f t="shared" si="0"/>
        <v>Yes</v>
      </c>
    </row>
    <row r="43" spans="1:3" x14ac:dyDescent="0.2">
      <c r="A43" t="s">
        <v>419</v>
      </c>
      <c r="B43">
        <v>1</v>
      </c>
      <c r="C43" t="str">
        <f t="shared" si="0"/>
        <v>Yes</v>
      </c>
    </row>
    <row r="44" spans="1:3" x14ac:dyDescent="0.2">
      <c r="A44" t="s">
        <v>420</v>
      </c>
      <c r="B44">
        <v>0</v>
      </c>
      <c r="C44" t="str">
        <f t="shared" si="0"/>
        <v>No</v>
      </c>
    </row>
    <row r="45" spans="1:3" x14ac:dyDescent="0.2">
      <c r="A45" t="s">
        <v>421</v>
      </c>
      <c r="B45">
        <v>1</v>
      </c>
      <c r="C45" t="str">
        <f t="shared" si="0"/>
        <v>Yes</v>
      </c>
    </row>
    <row r="46" spans="1:3" x14ac:dyDescent="0.2">
      <c r="A46" t="s">
        <v>422</v>
      </c>
      <c r="B46">
        <v>0</v>
      </c>
      <c r="C46" t="str">
        <f t="shared" si="0"/>
        <v>No</v>
      </c>
    </row>
    <row r="47" spans="1:3" x14ac:dyDescent="0.2">
      <c r="A47" t="s">
        <v>423</v>
      </c>
      <c r="B47">
        <v>0</v>
      </c>
      <c r="C47" t="str">
        <f t="shared" si="0"/>
        <v>No</v>
      </c>
    </row>
    <row r="48" spans="1:3" x14ac:dyDescent="0.2">
      <c r="A48" t="s">
        <v>424</v>
      </c>
      <c r="B48">
        <v>1</v>
      </c>
      <c r="C48" t="str">
        <f t="shared" si="0"/>
        <v>Yes</v>
      </c>
    </row>
    <row r="49" spans="1:3" x14ac:dyDescent="0.2">
      <c r="A49" t="s">
        <v>425</v>
      </c>
      <c r="B49">
        <v>1</v>
      </c>
      <c r="C49" t="str">
        <f t="shared" si="0"/>
        <v>Yes</v>
      </c>
    </row>
    <row r="50" spans="1:3" x14ac:dyDescent="0.2">
      <c r="B50">
        <f>SUM(B2:B49)</f>
        <v>16</v>
      </c>
      <c r="C50" t="s">
        <v>432</v>
      </c>
    </row>
  </sheetData>
  <conditionalFormatting sqref="A2:B49">
    <cfRule type="colorScale" priority="1">
      <colorScale>
        <cfvo type="min"/>
        <cfvo type="max"/>
        <color rgb="FFFC9A95"/>
        <color theme="9" tint="0.59999389629810485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B1B8-7A63-D74A-BD97-5F951AE7B8F0}">
  <dimension ref="A1:AD70"/>
  <sheetViews>
    <sheetView zoomScale="162" workbookViewId="0">
      <selection activeCell="L17" sqref="L17"/>
    </sheetView>
  </sheetViews>
  <sheetFormatPr baseColWidth="10" defaultRowHeight="16" x14ac:dyDescent="0.2"/>
  <cols>
    <col min="1" max="1" width="8" bestFit="1" customWidth="1"/>
    <col min="2" max="2" width="4.6640625" bestFit="1" customWidth="1"/>
    <col min="3" max="3" width="7.33203125" bestFit="1" customWidth="1"/>
    <col min="4" max="4" width="4.83203125" bestFit="1" customWidth="1"/>
    <col min="5" max="5" width="6.1640625" bestFit="1" customWidth="1"/>
    <col min="6" max="6" width="38.33203125" customWidth="1"/>
    <col min="7" max="7" width="38.83203125" customWidth="1"/>
    <col min="8" max="8" width="36" customWidth="1"/>
    <col min="9" max="9" width="44.5" bestFit="1" customWidth="1"/>
    <col min="10" max="10" width="38.6640625" customWidth="1"/>
    <col min="11" max="11" width="35.6640625" customWidth="1"/>
    <col min="12" max="12" width="30.1640625" customWidth="1"/>
    <col min="13" max="13" width="39.1640625" customWidth="1"/>
    <col min="14" max="14" width="27" customWidth="1"/>
    <col min="16" max="16" width="36" customWidth="1"/>
    <col min="17" max="17" width="20.33203125" customWidth="1"/>
    <col min="19" max="19" width="44.33203125" customWidth="1"/>
    <col min="20" max="20" width="32.33203125" customWidth="1"/>
    <col min="22" max="22" width="29.33203125" customWidth="1"/>
    <col min="23" max="23" width="16.33203125" customWidth="1"/>
    <col min="25" max="25" width="26.5" customWidth="1"/>
    <col min="26" max="26" width="22.33203125" customWidth="1"/>
    <col min="28" max="28" width="27.6640625" customWidth="1"/>
    <col min="29" max="29" width="17.33203125" customWidth="1"/>
  </cols>
  <sheetData>
    <row r="1" spans="1:30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30" x14ac:dyDescent="0.2">
      <c r="A2" s="2"/>
      <c r="B2" s="2"/>
      <c r="C2" s="2"/>
      <c r="D2" s="2"/>
      <c r="E2" s="2"/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</row>
    <row r="3" spans="1:30" x14ac:dyDescent="0.2">
      <c r="A3" s="2"/>
      <c r="B3" s="2"/>
      <c r="C3" s="2"/>
      <c r="D3" s="2"/>
      <c r="E3" s="2"/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</row>
    <row r="4" spans="1:30" x14ac:dyDescent="0.2">
      <c r="A4" s="2"/>
      <c r="B4" s="2"/>
      <c r="C4" s="2"/>
      <c r="D4" s="2"/>
      <c r="E4" s="2"/>
      <c r="F4" s="2" t="s">
        <v>43</v>
      </c>
      <c r="G4" s="2" t="s">
        <v>44</v>
      </c>
      <c r="H4" s="2" t="s">
        <v>45</v>
      </c>
      <c r="I4" s="2" t="s">
        <v>45</v>
      </c>
      <c r="J4" s="2" t="s">
        <v>45</v>
      </c>
      <c r="K4" s="2" t="s">
        <v>45</v>
      </c>
      <c r="L4" s="2" t="s">
        <v>45</v>
      </c>
    </row>
    <row r="9" spans="1:30" x14ac:dyDescent="0.2">
      <c r="J9" s="1" t="s">
        <v>22</v>
      </c>
      <c r="M9" s="1" t="s">
        <v>23</v>
      </c>
      <c r="P9" s="1" t="s">
        <v>24</v>
      </c>
      <c r="S9" s="1" t="s">
        <v>25</v>
      </c>
      <c r="V9" s="1" t="s">
        <v>26</v>
      </c>
      <c r="Y9" s="1" t="s">
        <v>27</v>
      </c>
      <c r="AB9" s="1" t="s">
        <v>28</v>
      </c>
    </row>
    <row r="10" spans="1:30" x14ac:dyDescent="0.2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52</v>
      </c>
      <c r="G10" s="1" t="s">
        <v>53</v>
      </c>
      <c r="H10" s="1" t="s">
        <v>54</v>
      </c>
      <c r="I10" s="1" t="s">
        <v>55</v>
      </c>
      <c r="J10" s="2" t="s">
        <v>29</v>
      </c>
      <c r="K10" s="2" t="s">
        <v>36</v>
      </c>
      <c r="L10" s="2" t="s">
        <v>43</v>
      </c>
      <c r="M10" s="2" t="s">
        <v>30</v>
      </c>
      <c r="N10" s="2" t="s">
        <v>37</v>
      </c>
      <c r="O10" s="2" t="s">
        <v>44</v>
      </c>
      <c r="P10" s="2" t="s">
        <v>31</v>
      </c>
      <c r="Q10" s="2" t="s">
        <v>38</v>
      </c>
      <c r="R10" s="2" t="s">
        <v>45</v>
      </c>
      <c r="S10" s="2" t="s">
        <v>32</v>
      </c>
      <c r="T10" s="2" t="s">
        <v>39</v>
      </c>
      <c r="U10" s="2" t="s">
        <v>45</v>
      </c>
      <c r="V10" s="2" t="s">
        <v>33</v>
      </c>
      <c r="W10" s="2" t="s">
        <v>40</v>
      </c>
      <c r="X10" s="2" t="s">
        <v>45</v>
      </c>
      <c r="Y10" s="2" t="s">
        <v>34</v>
      </c>
      <c r="Z10" s="2" t="s">
        <v>41</v>
      </c>
      <c r="AA10" s="2" t="s">
        <v>45</v>
      </c>
      <c r="AB10" s="2" t="s">
        <v>35</v>
      </c>
      <c r="AC10" s="2" t="s">
        <v>42</v>
      </c>
      <c r="AD10" s="2" t="s">
        <v>45</v>
      </c>
    </row>
    <row r="20" spans="1:9" x14ac:dyDescent="0.2">
      <c r="A20" s="9"/>
      <c r="B20" s="9"/>
      <c r="C20" s="9"/>
      <c r="D20" s="9"/>
      <c r="E20" s="9"/>
      <c r="F20" s="9"/>
      <c r="G20" s="9"/>
      <c r="H20" s="9"/>
      <c r="I20" s="9"/>
    </row>
    <row r="30" spans="1:9" x14ac:dyDescent="0.2">
      <c r="A30" s="9"/>
      <c r="B30" s="9"/>
      <c r="C30" s="9"/>
      <c r="D30" s="9"/>
      <c r="E30" s="9"/>
      <c r="F30" s="9"/>
      <c r="G30" s="9"/>
      <c r="H30" s="9"/>
      <c r="I30" s="9"/>
    </row>
    <row r="40" spans="1:9" x14ac:dyDescent="0.2">
      <c r="A40" s="9"/>
      <c r="B40" s="9"/>
      <c r="C40" s="9"/>
      <c r="D40" s="9"/>
      <c r="E40" s="9"/>
      <c r="F40" s="9"/>
      <c r="G40" s="9"/>
      <c r="H40" s="9"/>
      <c r="I40" s="9"/>
    </row>
    <row r="50" spans="1:9" x14ac:dyDescent="0.2">
      <c r="A50" s="9"/>
      <c r="B50" s="9"/>
      <c r="C50" s="9"/>
      <c r="D50" s="9"/>
      <c r="E50" s="9"/>
      <c r="F50" s="9"/>
      <c r="G50" s="9"/>
      <c r="H50" s="9"/>
      <c r="I50" s="9"/>
    </row>
    <row r="60" spans="1:9" x14ac:dyDescent="0.2">
      <c r="A60" s="9"/>
      <c r="B60" s="9"/>
      <c r="C60" s="9"/>
      <c r="D60" s="9"/>
      <c r="E60" s="9"/>
      <c r="F60" s="9"/>
      <c r="G60" s="9"/>
      <c r="H60" s="9"/>
      <c r="I60" s="9"/>
    </row>
    <row r="70" spans="1:9" x14ac:dyDescent="0.2">
      <c r="A70" s="9"/>
      <c r="B70" s="9"/>
      <c r="C70" s="9"/>
      <c r="D70" s="9"/>
      <c r="E70" s="9"/>
      <c r="F70" s="9"/>
      <c r="G70" s="9"/>
      <c r="H70" s="9"/>
      <c r="I70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B99D-8014-6E49-BD4D-9B7F3164283D}">
  <dimension ref="A1:V9"/>
  <sheetViews>
    <sheetView topLeftCell="J1" zoomScale="160" zoomScaleNormal="160" workbookViewId="0">
      <selection activeCell="L3" sqref="L3"/>
    </sheetView>
  </sheetViews>
  <sheetFormatPr baseColWidth="10" defaultRowHeight="16" x14ac:dyDescent="0.2"/>
  <cols>
    <col min="1" max="1" width="8" bestFit="1" customWidth="1"/>
    <col min="2" max="2" width="4.6640625" bestFit="1" customWidth="1"/>
    <col min="3" max="3" width="7.33203125" bestFit="1" customWidth="1"/>
    <col min="4" max="4" width="4.83203125" bestFit="1" customWidth="1"/>
    <col min="5" max="5" width="6.1640625" bestFit="1" customWidth="1"/>
    <col min="6" max="6" width="29.5" bestFit="1" customWidth="1"/>
    <col min="7" max="7" width="32" bestFit="1" customWidth="1"/>
    <col min="8" max="8" width="49.5" bestFit="1" customWidth="1"/>
    <col min="9" max="9" width="49" customWidth="1"/>
    <col min="10" max="10" width="36" customWidth="1"/>
    <col min="11" max="11" width="27" bestFit="1" customWidth="1"/>
    <col min="12" max="12" width="49.83203125" customWidth="1"/>
    <col min="13" max="13" width="21.1640625" customWidth="1"/>
    <col min="14" max="14" width="15.1640625" customWidth="1"/>
    <col min="15" max="15" width="37.5" customWidth="1"/>
    <col min="16" max="16" width="23" customWidth="1"/>
    <col min="17" max="17" width="13.1640625" customWidth="1"/>
    <col min="18" max="18" width="27.5" customWidth="1"/>
    <col min="19" max="19" width="17.5" customWidth="1"/>
    <col min="21" max="21" width="27.83203125" customWidth="1"/>
    <col min="22" max="22" width="23" customWidth="1"/>
  </cols>
  <sheetData>
    <row r="1" spans="1:22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27</v>
      </c>
    </row>
    <row r="2" spans="1:22" x14ac:dyDescent="0.2">
      <c r="A2" s="2"/>
      <c r="B2" s="2"/>
      <c r="C2" s="2"/>
      <c r="D2" s="2"/>
      <c r="E2" s="2"/>
      <c r="F2" s="62" t="s">
        <v>33</v>
      </c>
      <c r="G2" s="2" t="s">
        <v>82</v>
      </c>
      <c r="H2" s="2" t="s">
        <v>83</v>
      </c>
      <c r="I2" s="62" t="s">
        <v>84</v>
      </c>
      <c r="J2" s="2" t="s">
        <v>85</v>
      </c>
      <c r="K2" s="62" t="s">
        <v>34</v>
      </c>
    </row>
    <row r="3" spans="1:22" x14ac:dyDescent="0.2">
      <c r="A3" s="2"/>
      <c r="B3" s="2"/>
      <c r="C3" s="2"/>
      <c r="D3" s="2"/>
      <c r="E3" s="2"/>
      <c r="F3" s="62" t="s">
        <v>40</v>
      </c>
      <c r="G3" s="2" t="s">
        <v>86</v>
      </c>
      <c r="H3" s="62" t="s">
        <v>87</v>
      </c>
      <c r="I3" s="2" t="s">
        <v>88</v>
      </c>
      <c r="J3" s="2" t="s">
        <v>89</v>
      </c>
      <c r="K3" s="2" t="s">
        <v>41</v>
      </c>
    </row>
    <row r="4" spans="1:22" x14ac:dyDescent="0.2">
      <c r="A4" s="2"/>
      <c r="B4" s="2"/>
      <c r="C4" s="2"/>
      <c r="D4" s="2"/>
      <c r="E4" s="2"/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  <c r="K4" s="2" t="s">
        <v>45</v>
      </c>
    </row>
    <row r="8" spans="1:22" x14ac:dyDescent="0.2">
      <c r="G8" s="1" t="s">
        <v>77</v>
      </c>
      <c r="H8" s="9"/>
      <c r="I8" s="1" t="s">
        <v>79</v>
      </c>
      <c r="J8" s="1" t="s">
        <v>80</v>
      </c>
      <c r="K8" s="1" t="s">
        <v>27</v>
      </c>
      <c r="L8" s="97" t="s">
        <v>448</v>
      </c>
      <c r="M8" s="97"/>
      <c r="N8" s="28" t="s">
        <v>450</v>
      </c>
      <c r="O8" s="2"/>
      <c r="S8" s="9"/>
      <c r="T8" s="9"/>
      <c r="V8" s="9"/>
    </row>
    <row r="9" spans="1:22" x14ac:dyDescent="0.2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91</v>
      </c>
      <c r="G9" s="62" t="s">
        <v>33</v>
      </c>
      <c r="H9" s="62" t="s">
        <v>40</v>
      </c>
      <c r="I9" s="62" t="s">
        <v>87</v>
      </c>
      <c r="J9" s="62" t="s">
        <v>84</v>
      </c>
      <c r="K9" s="62" t="s">
        <v>34</v>
      </c>
      <c r="L9" s="28" t="s">
        <v>447</v>
      </c>
      <c r="M9" s="28" t="s">
        <v>449</v>
      </c>
      <c r="N9" s="28" t="s">
        <v>447</v>
      </c>
      <c r="O9" s="62" t="s">
        <v>90</v>
      </c>
    </row>
  </sheetData>
  <mergeCells count="1">
    <mergeCell ref="L8:M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61BA-F62C-244B-AC58-C478A8F39A48}">
  <dimension ref="A1:G10"/>
  <sheetViews>
    <sheetView zoomScale="171" workbookViewId="0">
      <selection activeCell="D13" sqref="D13"/>
    </sheetView>
  </sheetViews>
  <sheetFormatPr baseColWidth="10" defaultRowHeight="16" x14ac:dyDescent="0.2"/>
  <cols>
    <col min="1" max="1" width="8" bestFit="1" customWidth="1"/>
    <col min="2" max="2" width="41.33203125" bestFit="1" customWidth="1"/>
    <col min="3" max="3" width="22.83203125" bestFit="1" customWidth="1"/>
    <col min="4" max="4" width="18" bestFit="1" customWidth="1"/>
    <col min="5" max="5" width="11.1640625" bestFit="1" customWidth="1"/>
    <col min="6" max="6" width="16.5" bestFit="1" customWidth="1"/>
    <col min="7" max="7" width="6" bestFit="1" customWidth="1"/>
  </cols>
  <sheetData>
    <row r="1" spans="1:7" x14ac:dyDescent="0.2">
      <c r="A1" s="1" t="s">
        <v>17</v>
      </c>
      <c r="B1" s="1" t="s">
        <v>48</v>
      </c>
      <c r="C1" s="1" t="s">
        <v>49</v>
      </c>
      <c r="D1" s="1" t="s">
        <v>50</v>
      </c>
      <c r="E1" s="1" t="s">
        <v>51</v>
      </c>
      <c r="F1" s="3" t="s">
        <v>46</v>
      </c>
      <c r="G1" s="1" t="s">
        <v>47</v>
      </c>
    </row>
    <row r="2" spans="1:7" x14ac:dyDescent="0.2">
      <c r="A2" s="2"/>
      <c r="B2" s="2"/>
      <c r="C2" s="2"/>
      <c r="D2" s="2"/>
      <c r="E2" s="2"/>
      <c r="F2" s="2"/>
      <c r="G2" s="2"/>
    </row>
    <row r="3" spans="1:7" x14ac:dyDescent="0.2">
      <c r="A3" s="2"/>
      <c r="B3" s="2"/>
      <c r="C3" s="2"/>
      <c r="D3" s="2"/>
      <c r="E3" s="2"/>
      <c r="F3" s="2"/>
      <c r="G3" s="2"/>
    </row>
    <row r="4" spans="1:7" x14ac:dyDescent="0.2">
      <c r="A4" s="2"/>
      <c r="B4" s="2"/>
      <c r="C4" s="2"/>
      <c r="D4" s="2"/>
      <c r="E4" s="2"/>
      <c r="F4" s="2"/>
      <c r="G4" s="2"/>
    </row>
    <row r="5" spans="1:7" x14ac:dyDescent="0.2">
      <c r="A5" s="2"/>
      <c r="B5" s="2"/>
      <c r="C5" s="2"/>
      <c r="D5" s="2"/>
      <c r="E5" s="2"/>
      <c r="F5" s="2"/>
      <c r="G5" s="2"/>
    </row>
    <row r="6" spans="1:7" x14ac:dyDescent="0.2">
      <c r="A6" s="2"/>
      <c r="B6" s="2"/>
      <c r="C6" s="2"/>
      <c r="D6" s="2"/>
      <c r="E6" s="2"/>
      <c r="F6" s="2"/>
      <c r="G6" s="2"/>
    </row>
    <row r="7" spans="1:7" x14ac:dyDescent="0.2">
      <c r="A7" s="2"/>
      <c r="B7" s="2"/>
      <c r="C7" s="2"/>
      <c r="D7" s="2"/>
      <c r="E7" s="2"/>
      <c r="F7" s="2"/>
      <c r="G7" s="2"/>
    </row>
    <row r="8" spans="1:7" x14ac:dyDescent="0.2">
      <c r="A8" s="2"/>
      <c r="B8" s="2"/>
      <c r="C8" s="2"/>
      <c r="D8" s="2"/>
      <c r="E8" s="2"/>
      <c r="F8" s="2"/>
      <c r="G8" s="2"/>
    </row>
    <row r="9" spans="1:7" x14ac:dyDescent="0.2">
      <c r="A9" s="2"/>
      <c r="B9" s="2"/>
      <c r="C9" s="2"/>
      <c r="D9" s="2"/>
      <c r="E9" s="2"/>
      <c r="F9" s="2"/>
      <c r="G9" s="2"/>
    </row>
    <row r="10" spans="1:7" x14ac:dyDescent="0.2">
      <c r="A10" s="2"/>
      <c r="B10" s="2"/>
      <c r="C10" s="2"/>
      <c r="D10" s="2"/>
      <c r="E10" s="2"/>
      <c r="F10" s="2"/>
      <c r="G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RQs</vt:lpstr>
      <vt:lpstr>RQs (2)</vt:lpstr>
      <vt:lpstr>Inclusion_Exclusion</vt:lpstr>
      <vt:lpstr>Designing queries</vt:lpstr>
      <vt:lpstr>Queries (full)</vt:lpstr>
      <vt:lpstr>Queries</vt:lpstr>
      <vt:lpstr>Query2</vt:lpstr>
      <vt:lpstr>Other names</vt:lpstr>
      <vt:lpstr>Characteristics</vt:lpstr>
      <vt:lpstr>Data Extraction (1)</vt:lpstr>
      <vt:lpstr>Data Extraction (2)</vt:lpstr>
      <vt:lpstr>Quality Assesment</vt:lpstr>
      <vt:lpstr>Characteristics!characteristics</vt:lpstr>
      <vt:lpstr>'Data Extraction (1)'!data_extraction</vt:lpstr>
      <vt:lpstr>'Data Extraction (2)'!data_extraction2</vt:lpstr>
      <vt:lpstr>'Quality Assesment'!quality_assesment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PARDO FERRERA</dc:creator>
  <cp:lastModifiedBy>JOEL PARDO FERRERA</cp:lastModifiedBy>
  <dcterms:created xsi:type="dcterms:W3CDTF">2025-02-25T09:05:33Z</dcterms:created>
  <dcterms:modified xsi:type="dcterms:W3CDTF">2025-04-20T12:10:49Z</dcterms:modified>
</cp:coreProperties>
</file>