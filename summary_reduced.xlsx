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defaultThemeVersion="202300"/>
  <mc:AlternateContent xmlns:mc="http://schemas.openxmlformats.org/markup-compatibility/2006">
    <mc:Choice Requires="x15">
      <x15ac:absPath xmlns:x15ac="http://schemas.microsoft.com/office/spreadsheetml/2010/11/ac" url="/Users/jpardo/Desktop/Relation_low_resources/papers2/"/>
    </mc:Choice>
  </mc:AlternateContent>
  <xr:revisionPtr revIDLastSave="0" documentId="13_ncr:1_{536E09D7-6FDB-B64A-ACDD-78765A756E48}" xr6:coauthVersionLast="47" xr6:coauthVersionMax="47" xr10:uidLastSave="{00000000-0000-0000-0000-000000000000}"/>
  <bookViews>
    <workbookView xWindow="-2780" yWindow="-21600" windowWidth="38400" windowHeight="21600" activeTab="2" xr2:uid="{9C5B90A6-4C06-F045-809A-BB2B270A3A61}"/>
  </bookViews>
  <sheets>
    <sheet name="Study selection" sheetId="1" r:id="rId1"/>
    <sheet name="Statistics" sheetId="2" r:id="rId2"/>
    <sheet name="Data extraction (2)" sheetId="4" r:id="rId3"/>
    <sheet name="Prompt" sheetId="13" r:id="rId4"/>
    <sheet name="Distant Supervision" sheetId="14" r:id="rId5"/>
    <sheet name="Meta-learning" sheetId="15" r:id="rId6"/>
    <sheet name="Self-Supervised" sheetId="16" r:id="rId7"/>
    <sheet name="Transfer learning" sheetId="17" r:id="rId8"/>
    <sheet name="Data Augmentation" sheetId="18" r:id="rId9"/>
  </sheets>
  <definedNames>
    <definedName name="_xlnm._FilterDatabase" localSheetId="8" hidden="1">'Data Augmentation'!$A$1:$A$48</definedName>
    <definedName name="_xlnm._FilterDatabase" localSheetId="2" hidden="1">'Data extraction (2)'!$A$1:$A$48</definedName>
    <definedName name="_xlnm._FilterDatabase" localSheetId="4" hidden="1">'Distant Supervision'!$A$1:$A$48</definedName>
    <definedName name="_xlnm._FilterDatabase" localSheetId="5" hidden="1">'Meta-learning'!$A$1:$A$48</definedName>
    <definedName name="_xlnm._FilterDatabase" localSheetId="3" hidden="1">Prompt!$A$1:$A$48</definedName>
    <definedName name="_xlnm._FilterDatabase" localSheetId="6" hidden="1">'Self-Supervised'!$A$1:$A$48</definedName>
    <definedName name="_xlnm._FilterDatabase" localSheetId="7" hidden="1">'Transfer learning'!$A$1:$A$48</definedName>
    <definedName name="total_reducido" localSheetId="0">'Study selection'!$A$1:$BB$135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6" i="2" l="1"/>
  <c r="R5" i="2"/>
  <c r="R4" i="2"/>
  <c r="R3" i="2"/>
  <c r="K11" i="2"/>
  <c r="K10" i="2"/>
  <c r="K9" i="2"/>
  <c r="K8" i="2"/>
  <c r="K7" i="2"/>
  <c r="K6" i="2"/>
  <c r="K5" i="2"/>
  <c r="R13" i="2"/>
  <c r="R12" i="2"/>
  <c r="R11" i="2"/>
  <c r="R10" i="2"/>
  <c r="J12" i="2"/>
  <c r="D7" i="2"/>
  <c r="D6" i="2"/>
  <c r="D5" i="2"/>
  <c r="BJ136" i="1"/>
  <c r="BI9" i="1"/>
  <c r="BI14" i="1"/>
  <c r="BI22" i="1"/>
  <c r="BI38" i="1"/>
  <c r="BI41" i="1"/>
  <c r="BI42" i="1"/>
  <c r="BI44" i="1"/>
  <c r="BI47" i="1"/>
  <c r="BI49" i="1"/>
  <c r="BI56" i="1"/>
  <c r="BI58" i="1"/>
  <c r="BI61" i="1"/>
  <c r="BI76" i="1"/>
  <c r="BI81" i="1"/>
  <c r="BI83" i="1"/>
  <c r="BI95" i="1"/>
  <c r="BI98" i="1"/>
  <c r="BI100" i="1"/>
  <c r="BI114" i="1"/>
  <c r="BI117" i="1"/>
  <c r="BI120" i="1"/>
  <c r="BI133" i="1"/>
  <c r="BI2" i="1"/>
  <c r="BI4" i="1"/>
  <c r="BI5" i="1"/>
  <c r="BI8" i="1"/>
  <c r="BI10" i="1"/>
  <c r="BI12" i="1"/>
  <c r="BI13" i="1"/>
  <c r="BI15" i="1"/>
  <c r="BI17" i="1"/>
  <c r="BI18" i="1"/>
  <c r="BI19" i="1"/>
  <c r="BI20" i="1"/>
  <c r="BI24" i="1"/>
  <c r="BI26" i="1"/>
  <c r="BI27" i="1"/>
  <c r="BI28" i="1"/>
  <c r="BI29" i="1"/>
  <c r="BI30" i="1"/>
  <c r="BI31" i="1"/>
  <c r="BI32" i="1"/>
  <c r="BI33" i="1"/>
  <c r="BI34" i="1"/>
  <c r="BI36" i="1"/>
  <c r="BI37" i="1"/>
  <c r="BI39" i="1"/>
  <c r="BI40" i="1"/>
  <c r="BI45" i="1"/>
  <c r="BI46" i="1"/>
  <c r="BI48" i="1"/>
  <c r="BI50" i="1"/>
  <c r="BI51" i="1"/>
  <c r="BI52" i="1"/>
  <c r="BI53" i="1"/>
  <c r="BI57" i="1"/>
  <c r="BI59" i="1"/>
  <c r="BI60" i="1"/>
  <c r="BI62" i="1"/>
  <c r="BI63" i="1"/>
  <c r="BI64" i="1"/>
  <c r="BI66" i="1"/>
  <c r="BI67" i="1"/>
  <c r="BI68" i="1"/>
  <c r="BI69" i="1"/>
  <c r="BI70" i="1"/>
  <c r="BI71" i="1"/>
  <c r="BI72" i="1"/>
  <c r="BI73" i="1"/>
  <c r="BI75" i="1"/>
  <c r="BI77" i="1"/>
  <c r="BI78" i="1"/>
  <c r="BI79" i="1"/>
  <c r="BI80" i="1"/>
  <c r="BI84" i="1"/>
  <c r="BI85" i="1"/>
  <c r="BI86" i="1"/>
  <c r="BI87" i="1"/>
  <c r="BI90" i="1"/>
  <c r="BI91" i="1"/>
  <c r="BI92" i="1"/>
  <c r="BI93" i="1"/>
  <c r="BI94" i="1"/>
  <c r="BI96" i="1"/>
  <c r="BI99" i="1"/>
  <c r="BI101" i="1"/>
  <c r="BI102" i="1"/>
  <c r="BI104" i="1"/>
  <c r="BI107" i="1"/>
  <c r="BI110" i="1"/>
  <c r="BI111" i="1"/>
  <c r="BI112" i="1"/>
  <c r="BI115" i="1"/>
  <c r="BI116" i="1"/>
  <c r="BI119" i="1"/>
  <c r="BI122" i="1"/>
  <c r="BI123" i="1"/>
  <c r="BI125" i="1"/>
  <c r="BI126" i="1"/>
  <c r="BI127" i="1"/>
  <c r="BI129" i="1"/>
  <c r="BI131" i="1"/>
  <c r="BI132" i="1"/>
  <c r="BI134" i="1"/>
  <c r="BI3" i="1"/>
  <c r="BI7" i="1"/>
  <c r="BI11" i="1"/>
  <c r="BI16" i="1"/>
  <c r="BI21" i="1"/>
  <c r="BI23" i="1"/>
  <c r="BI25" i="1"/>
  <c r="BI35" i="1"/>
  <c r="BI43" i="1"/>
  <c r="BI54" i="1"/>
  <c r="BI55" i="1"/>
  <c r="BI65" i="1"/>
  <c r="BI74" i="1"/>
  <c r="BI82" i="1"/>
  <c r="BI88" i="1"/>
  <c r="BI89" i="1"/>
  <c r="BI97" i="1"/>
  <c r="BI103" i="1"/>
  <c r="BI105" i="1"/>
  <c r="BI106" i="1"/>
  <c r="BI108" i="1"/>
  <c r="BI109" i="1"/>
  <c r="BI113" i="1"/>
  <c r="BI118" i="1"/>
  <c r="BI121" i="1"/>
  <c r="BI124" i="1"/>
  <c r="BI128" i="1"/>
  <c r="BI130" i="1"/>
  <c r="BI135" i="1"/>
  <c r="BI6" i="1"/>
  <c r="BH29" i="1"/>
  <c r="BH121" i="1"/>
  <c r="BH118" i="1"/>
  <c r="BH7" i="1"/>
  <c r="BH130" i="1"/>
  <c r="BH25" i="1"/>
  <c r="BH15" i="1"/>
  <c r="BH82" i="1"/>
  <c r="BH65" i="1"/>
  <c r="BH105" i="1"/>
  <c r="BH55" i="1"/>
  <c r="BH124" i="1"/>
  <c r="BH83" i="1"/>
  <c r="BH23" i="1"/>
  <c r="BH3" i="1"/>
  <c r="AY31" i="1"/>
  <c r="BH100" i="1"/>
  <c r="BH9" i="1"/>
  <c r="BH85" i="1"/>
  <c r="BH58" i="1"/>
  <c r="BH56" i="1"/>
  <c r="BH133" i="1"/>
  <c r="BH101" i="1"/>
  <c r="BH18" i="1"/>
  <c r="BH34" i="1"/>
  <c r="BH103" i="1"/>
  <c r="BH12" i="1"/>
  <c r="BH113" i="1"/>
  <c r="BH57" i="1"/>
  <c r="BH102" i="1"/>
  <c r="BH95" i="1"/>
  <c r="BH80" i="1"/>
  <c r="BH8" i="1"/>
  <c r="BH128" i="1"/>
  <c r="BH37" i="1"/>
  <c r="BH87" i="1"/>
  <c r="BH115" i="1"/>
  <c r="BH43" i="1"/>
  <c r="BH4" i="1"/>
  <c r="BH111" i="1"/>
  <c r="BH2" i="1"/>
  <c r="BH70" i="1"/>
  <c r="BH97" i="1"/>
  <c r="BH90" i="1"/>
  <c r="BH53" i="1"/>
  <c r="BH17" i="1"/>
  <c r="BH108" i="1"/>
  <c r="BH22" i="1"/>
  <c r="BH114" i="1"/>
  <c r="BH26" i="1"/>
  <c r="BH41" i="1"/>
  <c r="BH112" i="1"/>
  <c r="BH132" i="1"/>
  <c r="BH73" i="1"/>
  <c r="BH125" i="1"/>
  <c r="BH24" i="1"/>
  <c r="BH120" i="1"/>
  <c r="BH40" i="1"/>
  <c r="BH54" i="1"/>
  <c r="BH31" i="1"/>
  <c r="BH46" i="1"/>
  <c r="BH45" i="1"/>
  <c r="BH86" i="1"/>
  <c r="BH135" i="1"/>
  <c r="BH134" i="1"/>
  <c r="BH27" i="1"/>
  <c r="BH88" i="1"/>
  <c r="BH19" i="1"/>
  <c r="BH21" i="1"/>
  <c r="BH68" i="1"/>
  <c r="BH33" i="1"/>
  <c r="BH104" i="1"/>
  <c r="BH51" i="1"/>
  <c r="BH10" i="1"/>
  <c r="BH35" i="1"/>
  <c r="BH61" i="1"/>
  <c r="BH67" i="1"/>
  <c r="BH30" i="1"/>
  <c r="BH66" i="1"/>
  <c r="BH52" i="1"/>
  <c r="BH93" i="1"/>
  <c r="BH106" i="1"/>
  <c r="BH48" i="1"/>
  <c r="BH63" i="1"/>
  <c r="BH99" i="1"/>
  <c r="BH39" i="1"/>
  <c r="BH127" i="1"/>
  <c r="BH110" i="1"/>
  <c r="BH71" i="1"/>
  <c r="BH16" i="1"/>
  <c r="BH81" i="1"/>
  <c r="BH75" i="1"/>
  <c r="BH78" i="1"/>
  <c r="BH6" i="1"/>
  <c r="BH69" i="1"/>
  <c r="BH47" i="1"/>
  <c r="BH116" i="1"/>
  <c r="BH74" i="1"/>
  <c r="BH13" i="1"/>
  <c r="BH98" i="1"/>
  <c r="BH72" i="1"/>
  <c r="BH5" i="1"/>
  <c r="BH64" i="1"/>
  <c r="BH77" i="1"/>
  <c r="BH14" i="1"/>
  <c r="BH11" i="1"/>
  <c r="BH94" i="1"/>
  <c r="BH109" i="1"/>
  <c r="BH44" i="1"/>
  <c r="BH117" i="1"/>
  <c r="BH49" i="1"/>
  <c r="BH107" i="1"/>
  <c r="BH76" i="1"/>
  <c r="BH89" i="1"/>
  <c r="BH28" i="1"/>
  <c r="BH131" i="1"/>
  <c r="BH32" i="1"/>
  <c r="BH50" i="1"/>
  <c r="BH79" i="1"/>
  <c r="BH59" i="1"/>
  <c r="BH129" i="1"/>
  <c r="BH92" i="1"/>
  <c r="BH122" i="1"/>
  <c r="BH123" i="1"/>
  <c r="BH119" i="1"/>
  <c r="BH91" i="1"/>
  <c r="BH36" i="1"/>
  <c r="BH62" i="1"/>
  <c r="BH84" i="1"/>
  <c r="BH60" i="1"/>
  <c r="BH96" i="1"/>
  <c r="BH38" i="1"/>
  <c r="BH20" i="1"/>
  <c r="BH126" i="1"/>
  <c r="BH42" i="1"/>
  <c r="AY95" i="1"/>
  <c r="AY62" i="1"/>
  <c r="AY37" i="1"/>
  <c r="AY104" i="1"/>
  <c r="AY77" i="1"/>
  <c r="AY52" i="1"/>
  <c r="AY73" i="1"/>
  <c r="AY65" i="1"/>
  <c r="AY21" i="1"/>
  <c r="AY107" i="1"/>
  <c r="AY2" i="1"/>
  <c r="AY70" i="1"/>
  <c r="AY50" i="1"/>
  <c r="AY36" i="1"/>
  <c r="AY61" i="1"/>
  <c r="AY92" i="1"/>
  <c r="AY5" i="1"/>
  <c r="AY38" i="1"/>
  <c r="AY100" i="1"/>
  <c r="AY134" i="1"/>
  <c r="AY78" i="1"/>
  <c r="AY64" i="1"/>
  <c r="AY23" i="1"/>
  <c r="AY75" i="1"/>
  <c r="AY101" i="1"/>
  <c r="AY6" i="1"/>
  <c r="AY93" i="1"/>
  <c r="AY51" i="1"/>
  <c r="AY74" i="1"/>
  <c r="AY16" i="1"/>
  <c r="AY106" i="1"/>
  <c r="AY123" i="1"/>
  <c r="AY110" i="1"/>
  <c r="AY33" i="1"/>
  <c r="AY42" i="1"/>
  <c r="AY71" i="1"/>
  <c r="AY129" i="1"/>
  <c r="AY45" i="1"/>
  <c r="AY59" i="1"/>
  <c r="AY32" i="1"/>
  <c r="AY108" i="1"/>
  <c r="AY66" i="1"/>
  <c r="AY19" i="1"/>
  <c r="AY15" i="1"/>
  <c r="AY13" i="1"/>
  <c r="AY105" i="1"/>
  <c r="AY46" i="1"/>
  <c r="AY119" i="1"/>
  <c r="AY39" i="1"/>
  <c r="AY83" i="1"/>
  <c r="AY25" i="1"/>
  <c r="AY47" i="1"/>
  <c r="AY44" i="1"/>
  <c r="AY96" i="1"/>
  <c r="AY122" i="1"/>
  <c r="AY30" i="1"/>
  <c r="AY76" i="1"/>
  <c r="AY57" i="1"/>
  <c r="AY131" i="1"/>
  <c r="AY128" i="1"/>
  <c r="AY88" i="1"/>
  <c r="AY48" i="1"/>
  <c r="AY133" i="1"/>
  <c r="AY7" i="1"/>
  <c r="AY90" i="1"/>
  <c r="AY27" i="1"/>
  <c r="AY89" i="1"/>
  <c r="AY97" i="1"/>
  <c r="AY40" i="1"/>
  <c r="AY102" i="1"/>
  <c r="AY35" i="1"/>
  <c r="AY4" i="1"/>
  <c r="AY124" i="1"/>
  <c r="AY91" i="1"/>
  <c r="AY126" i="1"/>
  <c r="AY29" i="1"/>
  <c r="AY82" i="1"/>
  <c r="AY86" i="1"/>
  <c r="AY132" i="1"/>
  <c r="AY43" i="1"/>
  <c r="AY17" i="1"/>
  <c r="AY113" i="1"/>
  <c r="AY72" i="1"/>
  <c r="AY11" i="1"/>
  <c r="AY112" i="1"/>
  <c r="AY3" i="1"/>
  <c r="AY69" i="1"/>
  <c r="AY49" i="1"/>
  <c r="AY60" i="1"/>
  <c r="AY28" i="1"/>
  <c r="AY127" i="1"/>
  <c r="AY118" i="1"/>
  <c r="AY55" i="1"/>
  <c r="AY121" i="1"/>
  <c r="AY125" i="1"/>
  <c r="AY84" i="1"/>
  <c r="AY99" i="1"/>
  <c r="AY24" i="1"/>
  <c r="AY20" i="1"/>
  <c r="AY12" i="1"/>
  <c r="AY115" i="1"/>
  <c r="AY111" i="1"/>
  <c r="AY94" i="1"/>
  <c r="AY41" i="1"/>
  <c r="AY14" i="1"/>
  <c r="AY34" i="1"/>
  <c r="AY54" i="1"/>
  <c r="AY56" i="1"/>
  <c r="AY18" i="1"/>
  <c r="AY135" i="1"/>
  <c r="AY81" i="1"/>
  <c r="AY79" i="1"/>
  <c r="AY26" i="1"/>
  <c r="AY63" i="1"/>
  <c r="AY98" i="1"/>
  <c r="AY87" i="1"/>
  <c r="AY58" i="1"/>
  <c r="AY114" i="1"/>
  <c r="AY67" i="1"/>
  <c r="AY120" i="1"/>
  <c r="AY68" i="1"/>
  <c r="AY9" i="1"/>
  <c r="AY103" i="1"/>
  <c r="AY117" i="1"/>
  <c r="AY10" i="1"/>
  <c r="AY80" i="1"/>
  <c r="AY22" i="1"/>
  <c r="AY116" i="1"/>
  <c r="AY8" i="1"/>
  <c r="AY53" i="1"/>
  <c r="AY109" i="1"/>
  <c r="AY85" i="1"/>
  <c r="AY130" i="1"/>
  <c r="BA62" i="1"/>
  <c r="BA37" i="1"/>
  <c r="BA104" i="1"/>
  <c r="BA77" i="1"/>
  <c r="BA52" i="1"/>
  <c r="BA73" i="1"/>
  <c r="BA65" i="1"/>
  <c r="BA21" i="1"/>
  <c r="BA107" i="1"/>
  <c r="BA2" i="1"/>
  <c r="BA70" i="1"/>
  <c r="BA50" i="1"/>
  <c r="BA36" i="1"/>
  <c r="BA61" i="1"/>
  <c r="BA92" i="1"/>
  <c r="BA5" i="1"/>
  <c r="BA38" i="1"/>
  <c r="BA100" i="1"/>
  <c r="BA134" i="1"/>
  <c r="BA78" i="1"/>
  <c r="BA64" i="1"/>
  <c r="BA23" i="1"/>
  <c r="BA75" i="1"/>
  <c r="BA101" i="1"/>
  <c r="BA6" i="1"/>
  <c r="BA93" i="1"/>
  <c r="BA51" i="1"/>
  <c r="BA74" i="1"/>
  <c r="BA16" i="1"/>
  <c r="BA106" i="1"/>
  <c r="BA123" i="1"/>
  <c r="BA110" i="1"/>
  <c r="BA33" i="1"/>
  <c r="BA42" i="1"/>
  <c r="BA71" i="1"/>
  <c r="BA129" i="1"/>
  <c r="BA45" i="1"/>
  <c r="BA59" i="1"/>
  <c r="BA32" i="1"/>
  <c r="BA108" i="1"/>
  <c r="BA66" i="1"/>
  <c r="BA19" i="1"/>
  <c r="BA15" i="1"/>
  <c r="BA13" i="1"/>
  <c r="BA105" i="1"/>
  <c r="BA46" i="1"/>
  <c r="BA119" i="1"/>
  <c r="BA39" i="1"/>
  <c r="BA83" i="1"/>
  <c r="BA25" i="1"/>
  <c r="BA47" i="1"/>
  <c r="BA44" i="1"/>
  <c r="BA96" i="1"/>
  <c r="BA122" i="1"/>
  <c r="BA30" i="1"/>
  <c r="BA76" i="1"/>
  <c r="BA57" i="1"/>
  <c r="BA131" i="1"/>
  <c r="BA128" i="1"/>
  <c r="BA88" i="1"/>
  <c r="BA48" i="1"/>
  <c r="BA133" i="1"/>
  <c r="BA7" i="1"/>
  <c r="BA90" i="1"/>
  <c r="BA27" i="1"/>
  <c r="BA89" i="1"/>
  <c r="BA97" i="1"/>
  <c r="BA40" i="1"/>
  <c r="BA102" i="1"/>
  <c r="BA35" i="1"/>
  <c r="BA4" i="1"/>
  <c r="BA124" i="1"/>
  <c r="BA91" i="1"/>
  <c r="BA126" i="1"/>
  <c r="BA29" i="1"/>
  <c r="BA82" i="1"/>
  <c r="BA86" i="1"/>
  <c r="BA132" i="1"/>
  <c r="BA43" i="1"/>
  <c r="BA17" i="1"/>
  <c r="BA113" i="1"/>
  <c r="BA72" i="1"/>
  <c r="BA11" i="1"/>
  <c r="BA112" i="1"/>
  <c r="BA3" i="1"/>
  <c r="BA69" i="1"/>
  <c r="BA49" i="1"/>
  <c r="BA60" i="1"/>
  <c r="BA28" i="1"/>
  <c r="BA127" i="1"/>
  <c r="BA118" i="1"/>
  <c r="BA55" i="1"/>
  <c r="BA121" i="1"/>
  <c r="BA125" i="1"/>
  <c r="BA84" i="1"/>
  <c r="BA99" i="1"/>
  <c r="BA24" i="1"/>
  <c r="BA20" i="1"/>
  <c r="BA12" i="1"/>
  <c r="BA115" i="1"/>
  <c r="BA111" i="1"/>
  <c r="BA94" i="1"/>
  <c r="BA41" i="1"/>
  <c r="BA14" i="1"/>
  <c r="BA34" i="1"/>
  <c r="BA54" i="1"/>
  <c r="BA56" i="1"/>
  <c r="BA18" i="1"/>
  <c r="BA135" i="1"/>
  <c r="BA81" i="1"/>
  <c r="BA79" i="1"/>
  <c r="BA26" i="1"/>
  <c r="BA63" i="1"/>
  <c r="BA98" i="1"/>
  <c r="BA87" i="1"/>
  <c r="BA58" i="1"/>
  <c r="BA114" i="1"/>
  <c r="BA67" i="1"/>
  <c r="BA120" i="1"/>
  <c r="BA68" i="1"/>
  <c r="BA9" i="1"/>
  <c r="BA103" i="1"/>
  <c r="BA117" i="1"/>
  <c r="BA10" i="1"/>
  <c r="BA95" i="1"/>
  <c r="BA80" i="1"/>
  <c r="BA22" i="1"/>
  <c r="BA116" i="1"/>
  <c r="BA8" i="1"/>
  <c r="BA53" i="1"/>
  <c r="BA109" i="1"/>
  <c r="BA85" i="1"/>
  <c r="BA130" i="1"/>
  <c r="BA31" i="1"/>
  <c r="BC62" i="1"/>
  <c r="BC37" i="1"/>
  <c r="BC104" i="1"/>
  <c r="BC77" i="1"/>
  <c r="BC52" i="1"/>
  <c r="BC73" i="1"/>
  <c r="BC65" i="1"/>
  <c r="BC21" i="1"/>
  <c r="BC107" i="1"/>
  <c r="BC2" i="1"/>
  <c r="BC70" i="1"/>
  <c r="BC50" i="1"/>
  <c r="BC36" i="1"/>
  <c r="BC61" i="1"/>
  <c r="BC92" i="1"/>
  <c r="BC5" i="1"/>
  <c r="BC38" i="1"/>
  <c r="BC100" i="1"/>
  <c r="BC134" i="1"/>
  <c r="BC78" i="1"/>
  <c r="BC64" i="1"/>
  <c r="BC23" i="1"/>
  <c r="BC75" i="1"/>
  <c r="BC101" i="1"/>
  <c r="BC6" i="1"/>
  <c r="BC93" i="1"/>
  <c r="BC51" i="1"/>
  <c r="BC74" i="1"/>
  <c r="BC16" i="1"/>
  <c r="BC106" i="1"/>
  <c r="BC123" i="1"/>
  <c r="BC110" i="1"/>
  <c r="BC33" i="1"/>
  <c r="BC42" i="1"/>
  <c r="BC71" i="1"/>
  <c r="BC129" i="1"/>
  <c r="BC45" i="1"/>
  <c r="BC59" i="1"/>
  <c r="BC32" i="1"/>
  <c r="BC108" i="1"/>
  <c r="BC66" i="1"/>
  <c r="BC19" i="1"/>
  <c r="BC15" i="1"/>
  <c r="BC13" i="1"/>
  <c r="BC105" i="1"/>
  <c r="BC46" i="1"/>
  <c r="BC119" i="1"/>
  <c r="BC39" i="1"/>
  <c r="BC83" i="1"/>
  <c r="BC25" i="1"/>
  <c r="BC47" i="1"/>
  <c r="BC44" i="1"/>
  <c r="BC96" i="1"/>
  <c r="BC122" i="1"/>
  <c r="BC30" i="1"/>
  <c r="BC76" i="1"/>
  <c r="BC57" i="1"/>
  <c r="BC131" i="1"/>
  <c r="BC128" i="1"/>
  <c r="BC88" i="1"/>
  <c r="BC48" i="1"/>
  <c r="BC133" i="1"/>
  <c r="BC7" i="1"/>
  <c r="BC90" i="1"/>
  <c r="BC27" i="1"/>
  <c r="BC89" i="1"/>
  <c r="BC97" i="1"/>
  <c r="BC40" i="1"/>
  <c r="BC102" i="1"/>
  <c r="BC35" i="1"/>
  <c r="BC4" i="1"/>
  <c r="BC124" i="1"/>
  <c r="BC91" i="1"/>
  <c r="BC126" i="1"/>
  <c r="BC29" i="1"/>
  <c r="BC82" i="1"/>
  <c r="BC86" i="1"/>
  <c r="BC132" i="1"/>
  <c r="BC43" i="1"/>
  <c r="BC17" i="1"/>
  <c r="BC113" i="1"/>
  <c r="BC72" i="1"/>
  <c r="BC11" i="1"/>
  <c r="BC112" i="1"/>
  <c r="BC3" i="1"/>
  <c r="BC69" i="1"/>
  <c r="BC49" i="1"/>
  <c r="BC60" i="1"/>
  <c r="BC28" i="1"/>
  <c r="BC127" i="1"/>
  <c r="BC118" i="1"/>
  <c r="BC55" i="1"/>
  <c r="BC121" i="1"/>
  <c r="BC125" i="1"/>
  <c r="BC84" i="1"/>
  <c r="BC99" i="1"/>
  <c r="BC24" i="1"/>
  <c r="BC20" i="1"/>
  <c r="BC12" i="1"/>
  <c r="BC115" i="1"/>
  <c r="BC111" i="1"/>
  <c r="BC94" i="1"/>
  <c r="BC41" i="1"/>
  <c r="BC14" i="1"/>
  <c r="BC34" i="1"/>
  <c r="BC54" i="1"/>
  <c r="BC56" i="1"/>
  <c r="BC18" i="1"/>
  <c r="BC135" i="1"/>
  <c r="BC81" i="1"/>
  <c r="BC79" i="1"/>
  <c r="BC26" i="1"/>
  <c r="BC63" i="1"/>
  <c r="BC98" i="1"/>
  <c r="BC87" i="1"/>
  <c r="BC58" i="1"/>
  <c r="BC114" i="1"/>
  <c r="BC67" i="1"/>
  <c r="BC120" i="1"/>
  <c r="BC68" i="1"/>
  <c r="BC9" i="1"/>
  <c r="BC103" i="1"/>
  <c r="BC117" i="1"/>
  <c r="BC10" i="1"/>
  <c r="BC95" i="1"/>
  <c r="BC80" i="1"/>
  <c r="BC22" i="1"/>
  <c r="BC116" i="1"/>
  <c r="BC8" i="1"/>
  <c r="BC53" i="1"/>
  <c r="BC109" i="1"/>
  <c r="BC85" i="1"/>
  <c r="BC130" i="1"/>
  <c r="BC31" i="1"/>
  <c r="BI136" i="1" l="1"/>
  <c r="BJ139" i="1" s="1"/>
  <c r="R7" i="2"/>
  <c r="R14" i="2"/>
  <c r="BI13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2AD9BE-61E9-9B49-B8CA-66787510663B}" name="total_reducido" type="6" refreshedVersion="8" background="1" saveData="1">
    <textPr sourceFile="/Users/jpardo/Desktop/Relation_low_resources/papers2/total_reducido.csv" decimal="," thousands="." tab="0" comma="1">
      <textFields count="52">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<sst xmlns="http://schemas.openxmlformats.org/spreadsheetml/2006/main" count="11764" uniqueCount="3673">
  <si>
    <t>authors</t>
  </si>
  <si>
    <t>author full names</t>
  </si>
  <si>
    <t>author(s) id</t>
  </si>
  <si>
    <t>title</t>
  </si>
  <si>
    <t>year</t>
  </si>
  <si>
    <t>source title</t>
  </si>
  <si>
    <t>volume</t>
  </si>
  <si>
    <t>issue</t>
  </si>
  <si>
    <t>art. no.</t>
  </si>
  <si>
    <t>page start</t>
  </si>
  <si>
    <t>page end</t>
  </si>
  <si>
    <t>page count</t>
  </si>
  <si>
    <t>cited by</t>
  </si>
  <si>
    <t>doi</t>
  </si>
  <si>
    <t>link</t>
  </si>
  <si>
    <t>affiliations</t>
  </si>
  <si>
    <t>authors with affiliations</t>
  </si>
  <si>
    <t>abstract</t>
  </si>
  <si>
    <t>author keywords</t>
  </si>
  <si>
    <t>index keywords</t>
  </si>
  <si>
    <t>molecular sequence numbers</t>
  </si>
  <si>
    <t>chemicals/cas</t>
  </si>
  <si>
    <t>tradenames</t>
  </si>
  <si>
    <t>manufacturers</t>
  </si>
  <si>
    <t>funding details</t>
  </si>
  <si>
    <t>funding texts</t>
  </si>
  <si>
    <t>references</t>
  </si>
  <si>
    <t>correspondence address</t>
  </si>
  <si>
    <t>editors</t>
  </si>
  <si>
    <t>publisher</t>
  </si>
  <si>
    <t>sponsors</t>
  </si>
  <si>
    <t>conference name</t>
  </si>
  <si>
    <t>conference date</t>
  </si>
  <si>
    <t>conference location</t>
  </si>
  <si>
    <t>conference code</t>
  </si>
  <si>
    <t>issn</t>
  </si>
  <si>
    <t>isbn</t>
  </si>
  <si>
    <t>coden</t>
  </si>
  <si>
    <t>pubmed id</t>
  </si>
  <si>
    <t>language of original document</t>
  </si>
  <si>
    <t>abbreviated source title</t>
  </si>
  <si>
    <t>document type</t>
  </si>
  <si>
    <t>publication stage</t>
  </si>
  <si>
    <t>open access</t>
  </si>
  <si>
    <t>source</t>
  </si>
  <si>
    <t>eid</t>
  </si>
  <si>
    <t>query</t>
  </si>
  <si>
    <t>search_engine</t>
  </si>
  <si>
    <t>peer_review_conference</t>
  </si>
  <si>
    <t>peer_review_publisher</t>
  </si>
  <si>
    <t>peer_review_abbreviation</t>
  </si>
  <si>
    <t>Zhong J.; Liu Y.; Ouyang C.; Ren L.; Zhu C.; He Y.</t>
  </si>
  <si>
    <t>Zhong, Jin (59423140700); Liu, Yongbin (56496782000); Ouyang, Chunping (35226676500); Ren, Lin (58265174600); Zhu, Chi (59423656600); He, Yidong (58662511500)</t>
  </si>
  <si>
    <t>59423140700; 56496782000; 35226676500; 58265174600; 59423656600; 58662511500</t>
  </si>
  <si>
    <t>CouBRE: Counterfactual NLI For Low-Resource Biomedical Relation Extraction</t>
  </si>
  <si>
    <t>2025.0</t>
  </si>
  <si>
    <t xml:space="preserve">Lecture Notes in Computer Science (including subseries Lecture Notes in Artificial Intelligence and Lecture Notes in Bioinformatics) </t>
  </si>
  <si>
    <t>15360 LNAI</t>
  </si>
  <si>
    <t>109.0</t>
  </si>
  <si>
    <t>121.0</t>
  </si>
  <si>
    <t>12.0</t>
  </si>
  <si>
    <t>0.0</t>
  </si>
  <si>
    <t>10.1007/978-981-97-9434-8_9</t>
  </si>
  <si>
    <t>https://www.scopus.com/inward/record.uri?eid=2-s2.0-85210083717&amp;doi=10.1007%2f978-981-97-9434-8_9&amp;partnerID=40&amp;md5=c92b3c0a057247a748d24532cc69dcbb</t>
  </si>
  <si>
    <t>University of South China, HengYang, China</t>
  </si>
  <si>
    <t>Zhong J., University of South China, HengYang, China; Liu Y., University of South China, HengYang, China; Ouyang C., University of South China, HengYang, China; Ren L., University of South China, HengYang, China; Zhu C., University of South China, HengYang, China; He Y., University of South China, HengYang, China</t>
  </si>
  <si>
    <t>Biomedical relation extraction is a core problem in biomedical natural language processing, whose goal is to classify the relations between entity mentions within a classified given text, being modeled as a classification method. There has been some recent work on converting biomedical RE to other auxiliary tasks to deal with it. However, they have all neglected the fact that this form of RE is subject to the inherent bias of the auxiliary task, resulting in the inability to make truly reasonable predictions. In this paper, we propose the CouBRE method, which excludes the direct influence of premise-only and hypothesis-only branches in the NLI task when converting biomedical RE to NLI task from a causal perspective on the RE results, allowing the NLI model to make valid predictions based on the combined information of premise and hypothesis rather than based on shortcut paths. Also by removing sample selection bias and label bias in the dataset, CouBRE can make unbiased prediction results more clearly. Comprehensive experiments demonstrate the effectiveness of our approach in low-resource scenarios, outperforming previous state-of-the-art models and remaining competitive even in full-shot scenarios. ¬© The Author(s), under exclusive license to Springer Nature Singapore Pte Ltd. 2025.</t>
  </si>
  <si>
    <t>Biomedical Relation Extraction; Counterfactual Inference; Debias; Natural Language Inference</t>
  </si>
  <si>
    <t>Inference engines; Modeling languages; Prediction models; Biomedical relation extraction; Core problems; Counterfactual inference; Counterfactuals; Debias; Language inference; Language processing; Natural language inference; Natural languages; Relation extraction; Natural language processing systems</t>
  </si>
  <si>
    <t>Scientific Research Foundation of Hunan Provincial Education Department, (18B279, A0316); Scientific Research Foundation of Hunan Provincial Education Department; Natural Science Foundation of Hunan Province, (2020JJ4525,2022JJ30495); Natural Science Foundation of Hunan Province; Philosophy and Social Science Foundation of Hunan Province, (16YBA323); Philosophy and Social Science Foundation of Hunan Province; National Natural Science Foundation of China, NSFC, (61533018, 61402220); National Natural Science Foundation of China, NSFC</t>
  </si>
  <si>
    <t>The State Key Program of National Natural Science of China, Grant/Award Number: 61533018; National Natural Science Foundation of China, Grant/Award Number: 61402220; The Philosophy and Social Science Foundation of Hunan Province, Grant/Award Number: 16YBA323; Natural Science Foundation of Hunan Province, Grant/Award Number: 2020JJ4525,2022JJ30495; Scientific Research Fund of Hunan Provincial Education Department, Grant/Award Number: 18B279,19A439,22A0316.</t>
  </si>
  <si>
    <t>Alrowili S., Vijay-Shanker K., BioM-transformers: Building large biomedical language models with bert, ALBERT and ELECTRA, Proceedings of the 20Th Workshop on Biomedical Language Processing, pp. 221-227, (2021); Beltagy I., Lo K., Cohan A., Scibert: A Pretrained Language Model for Scientific Text, (2019); Bowman S., Angeli G., Potts C., Manning C.D., A large annotated corpus for learning natural language inference, Proceedings of the 2015 Conference on Empirical Methods in Natural Language Processing, pp. 632-642, (2015); Chen Q., Et al., Large Language Models in Biomedical Natural Language Processing: Benchmarks, Baselines, and Recommendations, (2023); Chen Z., Hu L., Li W., Shao Y., Nie L., Causal intervention and counterfactual reasoning for multi-modal fake news detection, Proceedings of the 61St Annual Meeting of the Association for Computational Linguistics, 1, pp. 627-638, (2023); Dagan I., Glickman O., Magnini B., The pascal recognising textual entailment challenge, Machine Learning Challenges Workshop, pp. 177-190, (2005); Herrero-Zazo M., Segura-Bedmar I., Martinez P., Declerck T., The DDI corpus: An annotated corpus with pharmacological substances and drug-drug interactions, J. Biomed. Inform., 46, 5, pp. 914-920, (2013); Krallinger M., Et al., Overview of the Biocreative VI Chemical-Protein Interaction. Track, (2017); Lee J., Et al., BioBERT: A pre-trained biomedical language representation model for biomedical text mining, Bioinform, 36, 4, pp. 1234-1240, (2020); Li B., Ye W., Zhang J., Zhang S., Reviewing labels: Label graph network with top-k prediction set for relation extraction, Proceedings of the AAAI Conference on Artificial Intelligence, 37, pp. 13051-13058, (2023); Ma M.D., Taylor A.K., Wang W., Peng N., Dice: data-efficient clinical event extraction with generative models, The 61St Annual Meeting of the Association Dor Computational Linguistics, (2023); Nan G., Zeng J., Qiao R., Guo Z., Lu W., Uncovering main causalities for long-tailed information extraction, Proceedings of the 2021 Conference on Empirical Methods in Natural Language Processing, pp. 9683-9695, (2021); Pearl J., Causal Inference in Statistics: An Overview, (2009); Peng Y., Yan S., Lu Z., Transfer Learning in Biomedical Natural Language Processing: An Evaluation of BERT and Elmo on Ten Benchmarking Datasets, (2019); Phan L.N., Et al., Scifive: A Text-To-Text Transformer Model for Biomedical Literature, (2021); Ren L., Liu Y., Ouyang C., Causal inference-based debiasing framework for knowledge graph completion, International Semantic Web Conference, pp. 328-347, (2023); Sainz O., de Lacalle O.L., Labaka G., Barrena A., Agirre E., Label verbalization and entailment for effective zero and few-shot relation extraction, Proceedings of the 2021 Conference on Empirical Methods in Natural Language Processing, (2021); Tian B., Cao Y., Zhang Y., Xing C., Debiasing NLU models via causal intervention and counterfactual reasoning, Proceedings of the AAAI Conference on Artificial Intelligence, 36, pp. 11376-11384, (2022); Tinn R., Et al., Fine-tuning large neural language models for biomedical natural language processing, Patterns, 4, 4, (2023); Xu J., Ma M.D., Chen M., Can NLI provide proper indirect supervision for low-resource biomedical relation extraction?, The 61St Annual Meeting of the Association for Computational Linguistics, (2023); Yamada K., Miwa M., Sasaki Y., Biomedical relation extraction with entity type markers and relation-specific question answering, The 61St Annual Meeting of the Association for Computational Linguistics, (2023); Yasunaga M., Leskovec J., Liang P., LinkBERT: Pretraining language models with document links, Proceedings of the 60Th Annual Meeting of the Association for Computational Linguistics, 1, pp. 8003-8016, (2022); Yeh H.S., Lavergne T., Zweigenbaum P., Decorate the examples: A simple method of prompt design for biomedical relation extraction, Proceedings of the Thirteenth Language Resources and Evaluation Conference, pp. 3780-3787, (2022); Yuan Z., Liu Y., Tan C., Huang S., Huang F., Improving biomedical pretrained language models with knowledge, Proceedings of the 20Th Workshop on Biomedical Language Processing, pp. 180-190, (2021)</t>
  </si>
  <si>
    <t>Y. Liu; University of South China, HengYang, China; email: yongbinliu03@gmail.com</t>
  </si>
  <si>
    <t>Wong D.F.; Wei Z.; Yang M.</t>
  </si>
  <si>
    <t>Springer Science and Business Media Deutschland GmbH</t>
  </si>
  <si>
    <t>13th CCF International Conference on Natural Language Processing and Chinese Computing, NLPCC 2024</t>
  </si>
  <si>
    <t>1 November 2024 through 3 November 2024</t>
  </si>
  <si>
    <t>Hangzhou</t>
  </si>
  <si>
    <t>322629.0</t>
  </si>
  <si>
    <t>978-981979433-1</t>
  </si>
  <si>
    <t>English</t>
  </si>
  <si>
    <t>Lect. Notes Comput. Sci.</t>
  </si>
  <si>
    <t>Conference paper</t>
  </si>
  <si>
    <t>Final</t>
  </si>
  <si>
    <t>Scopus</t>
  </si>
  <si>
    <t>2-s2.0-85210083717</t>
  </si>
  <si>
    <t>q1</t>
  </si>
  <si>
    <t>?</t>
  </si>
  <si>
    <t>Xu X.; Chen X.; Zhang N.; Xie X.; Chen X.; Chen H.</t>
  </si>
  <si>
    <t>Xu, Xin (57421213500); Chen, Xiang (59157641500); Zhang, Ningyu (55923601900); Xie, Xin (57222379771); Chen, Xi (57218347633); Chen, Huajun (35268022500)</t>
  </si>
  <si>
    <t>57421213500; 59157641500; 55923601900; 57222379771; 57218347633; 35268022500</t>
  </si>
  <si>
    <t>Towards Realistic Low-resource Relation Extraction: A Benchmark with Empirical Baseline Study</t>
  </si>
  <si>
    <t>2022.0</t>
  </si>
  <si>
    <t>Findings of the Association for Computational Linguistics: EMNLP 2022</t>
  </si>
  <si>
    <t>413.0</t>
  </si>
  <si>
    <t>427.0</t>
  </si>
  <si>
    <t>14.0</t>
  </si>
  <si>
    <t>6.0</t>
  </si>
  <si>
    <t>10.18653/v1/2022.findings-emnlp.29</t>
  </si>
  <si>
    <t>https://www.scopus.com/inward/record.uri?eid=2-s2.0-85149872682&amp;doi=10.18653%2fv1%2f2022.findings-emnlp.29&amp;partnerID=40&amp;md5=aacc7d6d6e7f05df8bdd740f393ab429</t>
  </si>
  <si>
    <t>Zhejiang University, AZFT Joint Lab for Knowledge Engine, China; Hangzhou Innovation Center, Zhejiang University, China; Tencent</t>
  </si>
  <si>
    <t>Xu X., Zhejiang University, AZFT Joint Lab for Knowledge Engine, China, Hangzhou Innovation Center, Zhejiang University, China; Chen X., Zhejiang University, AZFT Joint Lab for Knowledge Engine, China, Hangzhou Innovation Center, Zhejiang University, China; Zhang N., Zhejiang University, AZFT Joint Lab for Knowledge Engine, China, Hangzhou Innovation Center, Zhejiang University, China; Xie X., Zhejiang University, AZFT Joint Lab for Knowledge Engine, China, Hangzhou Innovation Center, Zhejiang University, China; Chen X., Tencent; Chen H., Zhejiang University, AZFT Joint Lab for Knowledge Engine, China, Hangzhou Innovation Center, Zhejiang University, China</t>
  </si>
  <si>
    <t>This paper presents an empirical study to build relation extraction systems in low-resource settings. Based upon recent pre-trained language models, we comprehensively investigate three schemes to evaluate the performance in low-resource settings: (i) different types of prompt-based methods with few-shot labeled data; (ii) diverse balancing methods to address the long-tailed distribution issue; (iii) data augmentation technologies and self-training to generate more labeled in-domain data. We create a benchmark with 8 relation extraction (RE) datasets covering different languages, domains and contexts and perform extensive comparisons over the proposed schemes with combinations. Our experiments illustrate: (i) Though prompt-based tuning is beneficial in low-resource RE, there is still much potential for improvement, especially in extracting relations from cross-sentence contexts with multiple relational triples; (ii) Balancing methods are not always helpful for RE with long-tailed distribution; (iii) Data augmentation complements existing baselines and can bring much performance gain, while self-training may not consistently achieve advancement to low-resource RE. ¬© 2022 Association for Computational Linguistics.</t>
  </si>
  <si>
    <t>Computational linguistics; Data mining; Baseline studies; Data augmentation; Empirical studies; Extraction systems; Language model; Long-tailed distributions; Low-resource settings; Performance; Relation extraction; Self-training; Extraction</t>
  </si>
  <si>
    <t>Yongjiang Talent Introduction Programme; Natural Science Foundation of Ningbo, (2021J190); Natural Science Foundation of Ningbo; National Natural Science Foundation of China, NSFC, (62206246, 91846204, U19B2027); National Natural Science Foundation of China, NSFC; Natural Science Foundation of Zhejiang Province, ZJNSF, (LGG22F030011); Natural Science Foundation of Zhejiang Province, ZJNSF</t>
  </si>
  <si>
    <t>We would like to express gratitude to the anonymous reviewers for their kind comments. This work was supported by the National Natural Science Foundation of China (No.62206246, 91846204 and U19B2027), Zhejiang Provincial Natural Science Foundation of China (No. LGG22F030011), Ningbo Natural Science Foundation (2021J190), and Yongjiang Talent Introduction Programme (2021A-156-G).</t>
  </si>
  <si>
    <t>Alt Christoph, Gabryszak Aleksandra, Hennig Leonhard, TACRED revisited: A thorough evaluation of the TACRED relation extraction task, Proceedings of the 58th Annual Meeting of the Association for Computational Linguistics, pp. 1558-1569, (2020); Brody Sam, Wu Sichao, Benton Adrian, Towards realistic few-shot relation extraction, Proceedings of the 2021 Conference on Empirical Methods in Natural Language Processing, EMNLP 2021, pp. 5338-5345, (2021); Brown Tom, Mann Benjamin, Ryder Nick, Subbiah Melanie, Kaplan Jared D, Dhariwal Prafulla, Neelakantan Arvind, Shyam Pranav, Sastry Girish, Askell Amanda, Agarwal Sandhini, Herbert-Voss Ariel, Krueger Gretchen, Henighan Tom, Child Rewon, Ramesh Aditya, Ziegler Daniel, Wu Jeffrey, Winter Clemens, Hesse Chris, Chen Mark, Sigler Eric, Litwin Mateusz, Gray Scott, Chess Benjamin, Clark Jack, Berner Christopher, McCandlish Sam, Radford Alec, Sutskever Ilya, Amodei Dario, Language models are few-shot learners, Advances in Neural Information Processing Systems, 33, pp. 1877-1901, (2020); Cao Kaidi, Wei Colin, Gaidon Adrien, Arechiga Nikos, Ma Tengyu, Learning imbalanced datasets with label-distribution-aware margin loss, Advances in Neural Information Processing Systems 32: Annual Conference on Neural Information Processing Systems 2019, NeurIPS 2019, pp. 1565-1576, (2019); Chen Jinxiu, Ji Donghong, Tan Chew Lim, Niu Zhengyu, Relation extraction using label propagation based semi-supervised learning, Proceedings of the 21st International Conference on Computational Linguistics and 44th Annual Meeting of the Association for Computational Linguistics, pp. 129-136, (2006); Chen Xiang, Li Lei, Zhang Ningyu, Liang Xiaozhuan, Deng Shumin, Tan Chuanqi, Huang Fei, Si Luo, Chen Huajun, Decoupling knowledge from memorization: Retrieval-augmented prompt learning, Proceedings of NeurIPS 2022, (2022); Chen Xiang, Zhang Ningyu, Li Lei, Deng Shumin, Tan Chuanqi, Xu Changliang, Huang Fei, Si Luo, Chen Huajun, Hybrid transformer with multi-level fusion for multimodal knowledge graph completion, SIGIR'22: The 45th International ACM SIGIR Conference on Research and Development in Information Retrieval, pp. 904-915, (2022); Chen Xiang, Zhang Ningyu, Li Lei, Yao Yunzhi, Deng Shumin, Tan Chuanqi, Huang Fei, Si Luo, Chen Huajun, Good visual guidance make a better extractor: Hierarchical visual prefix for multimodal entity and relation extraction, Findings of the Association for Computational Linguistics: NAACL 2022, pp. 1607-1618, (2022); Chen Xiang, Zhang Ningyu, Xie Xin, Deng Shumin, Yao Yunzhi, Tan Chuanqi, Huang Fei, Si Luo, Chen Huajun, Knowprompt: Knowledge-aware prompt-tuning with synergistic optimization for relation extraction, WWW'22: The ACM Web Conference 2022, pp. 2778-2788, (2022); Cui Yiming, Che Wanxiang, Liu Ting, Qin Bing, Wang Shijin, Hu Guoping, Revisiting pre-trained models for Chinese natural language processing, Proceedings of the 2020 Conference on Empirical Methods in Natural Language Processing: Findings, pp. 657-668, (2020); Cui Yin, Jia Menglin, Lin Tsung-Yi, Song Yang, Belongie Serge, Class-balanced loss based on effective number of samples, CVPR, (2019); Deng Shumin, Zhang Ningyu, Li Luoqiu, Hui Chen, Tou Huaixiao, Chen Mosha, Huang Fei, Chen Huajun, Ontoed: Low-resource event detection with ontology embedding, Proceedings of the 59th Annual Meeting of the Association for Computational Linguistics and the 11th International Joint Conference on Natural Language Processing, ACL/IJCNLP 2021, (Volume 1: Long Papers), pp. 2828-2839, (2021); Gao Tianyu, Fisch Adam, Chen Danqi, Making pre-trained language models better few-shot learners, Proceedings of the 59th Annual Meeting of the Association for Computational Linguistics and the 11th International Joint Conference on Natural Language Processing (Volume 1: Long Papers), pp. 3816-3830, (2021); Gao Tianyu, Han Xu, Liu Zhiyuan, Sun Maosong, Hybrid attention-based prototypical networks for noisy few-shot relation classification, The Thirty-Third AAAI Conference on Artificial Intelligence, AAAI 2019, The Thirty-First Innovative Applications of Artificial Intelligence Conference, IAAI 2019, The Ninth AAAI Symposium on Educational Advances in Artificial Intelligence, EAAI 2019, pp. 6407-6414, (2019); Guo Zhijiang, Nan Guoshun, Wei LU, Cohen Shay B., Learning latent forests for medical relation extraction, Proceedings of the Twenty-Ninth International Joint Conference on Artificial Intelligence, IJCAI-20, pp. 3651-3657, (2020); Guo Zhijiang, Zhang Yan, Lu Wei, Attention guided graph convolutional networks for relation extraction, Proceedings of the 57th Annual Meeting of the Association for Computational Linguistics, pp. 241-251, (2019); Han Hui, Wang Wenyuan, Mao Binghuan, Borderline-smote: A new over-sampling method in imbalanced data sets learning, Advances in Intelligent Computing, International Conference on Intelligent Computing, ICIC 2005, Hefei, China, August 23-26, 2005, Proceedings, Part I, volume 3644 of Lecture Notes in Computer Science, pp. 878-887, (2005); Han Xu, Gao Tianyu, Yao Yuan, Ye Deming, Liu Zhiyuan, Sun Maosong, OpenNRE: An open and extensible toolkit for neural relation extraction, Proceedings of the 2019 Conference on Empirical Methods in Natural Language Processing and the 9th International Joint Conference on Natural Language Processing (EMNLP-IJCNLP): System Demonstrations, pp. 169-174, (2019); Han Xu, Yu Pengfei, Liu Zhiyuan, Sun Maosong, Li Peng, Hierarchical relation extraction with coarse-to-fine grained attention, Proceedings of the 2018 Conference on Empirical Methods in Natural Language Processing, pp. 2236-2245, (2018); Han Xu, Zhao Weilin, Ding Ning, Liu Zhiyuan, Sun Maosong, Ptr: Prompt tuning with rules for text classification, (2021); Hendrickx Iris, Kim Su Nam, Kozareva Zornitsa, Nakov Preslav, Seaghdha Diarmuid O, Pado Sebastian, Pennacchiotti Marco, Romano Lorenza, Szpakowicz Stan, SemEval-2010 task 8: Multiway classification of semantic relations between pairs of nominals, Proceedings of the Workshop on Semantic Evaluations: Recent Achievements and Future Directions (SEW-2009), pp. 94-99, (2009); Hu Xuming, Zhang Chenwei, Yang Yawen, Li Xiaohe, Lin Li, Wen Lijie, Yu Philip S., Gradient imitation reinforcement learning for low resource relation extraction, Proceedings of the 2021 Conference on Empirical Methods in Natural Language Processing, EMNLP 2021, pp. 2737-2746, (2021); Huang Jiaxin, Li Chunyuan, Subudhi Krishan, Jose Damien, Balakrishnan Shobana, Chen Weizhu, Peng Baolin, Gao Jianfeng, Han Jiawei, Few-shot named entity recognition: An empirical baseline study, Proceedings of the 2021 Conference on Empirical Methods in Natural Language Processing, pp. 10408-10423, (2021); Iyyer Mohit, Manjunatha Varun, Boyd-Graber Jordan, Daume Hal, Deep unordered composition rivals syntactic methods for text classification, Proceedings of the 53rd Annual Meeting of the Association for Computational Linguistics and the 7th International Joint Conference on Natural Language Processing (Volume 1: Long Papers), pp. 1681-1691, (2015); Kambhatla Nanda, Combining lexical, syntactic, and semantic features with maximum entropy models for information extraction, Proceedings of the ACL Interactive Poster and Demonstration Sessions, pp. 178-181, (2004); Kang Bingyi, Xie Saining, Rohrbach Marcus, Yan Zhicheng, Gordo Albert, Feng Jiashi, Kalantidis Yannis, Decoupling representation and classifier for long-tailed recognition, 8th International Conference on Learning Representations, ICLR 2020, (2020); Kang Bingyi, Xie Saining, Rohrbach Marcus, Yan Zhicheng, Gordo Albert, Feng Jiashi, Kalantidis Yannis, Decoupling representation and classifier for long-tailed recognition, Eighth International Conference on Learning Representations (ICLR), (2020); Kolomiyets Oleksandr, Bethard Steven, Moens Marie-Francine, Model-portability experiments for textual temporal analysis, Proceedings of the 49th Annual Meeting of the Association for Computational Linguistics: Human Language Technologies, pp. 271-276, (2011); Lee Jinhyuk, Yoon Wonjin, Kim Sungdong, Kim Donghyeon, Kim Sunkyu, So Chan Ho, Kang Jaewoo, Biobert: a pre-trained biomedical language representation model for biomedical text mining, Bioinformatics, 36, 4, pp. 1234-1240, (2020); Lester Brian, Al-Rfou Rami, Constant Noah, The power of scale for parameter-efficient prompt tuning, Proceedings of the 2021 Conference on Empirical Methods in Natural Language Processing, pp. 3045-3059, (2021); Li Buyu, Liu Yu, Wang Xiaogang, Gradient harmonized single-stage detector, Proceedings of the Thirty-Third AAAI Conference on Artificial Intelligence and Thirty-First Innovative Applications of Artificial Intelligence Conference and Ninth AAAI Symposium on Educational Advances in Artificial Intelligence, AAAI'19/IAAI'19/EAAI'19, (2019); Li Juan, Wang Ruoxu, Zhang Ningyu, Zhang Wen, Yang Fan, Chen Huajun, Logic-guided semantic representation learning for zero-shot relation classification, Proceedings of the 28th International Conference on Computational Linguistics, COLING 2020, pp. 2967-2978, (2020); Li Shuangjie, He Wei, Shi Yabing, Jiang Wenbin, Liang Haijin, Jiang Ye, Zhang Yang, Lyu Yajuan, Zhu Yong, Duie: A large-scale chinese dataset for information extraction, Natural Language Processing and Chinese Computing: 8th CCF International Conference, NLPCC 2019, pp. 791-800, (2019); Li Xiang Lisa, Liang Percy, Prefix-tuning: Optimizing continuous prompts for generation, Proceedings of the 59th Annual Meeting of the Association for Computational Linguistics and the 11th International Joint Conference on Natural Language Processing (Volume 1: Long Papers), pp. 4582-4597, (2021); Li Xiaoya, Sun Xiaofei, Meng Yuxian, Liang Junjun, Wu Fei, Li Jiwei, Dice loss for data-imbalanced NLP tasks, Proceedings of the 58th Annual Meeting of the Association for Computational Linguistics, ACL 2020, pp. 465-476, (2020); Lin Tsung-Yi, Goyal Priya, Girshick Ross B., He Kaiming, Dollar Piotr, Focal loss for dense object detection, IEEE Trans. Pattern Anal. Mach. Intell, 42, 2, pp. 318-327, (2020); Lin Ying, Ji Heng, Huang Fei, Wu Lingfei, A joint neural model for information extraction with global features, Proceedings of the 58th Annual Meeting of the Association for Computational Linguistics, pp. 7999-8009, (2020); Liu Kun, Fu Yao, Tan Chuanqi, Chen Mosha, Zhang Ningyu, Huang Songfang, Gao Sheng, Noisy-labeled NER with confidence estimation, Proceedings of the 2021 Conference of the North American Chapter of the Association for Computational Linguistics: Human Language Technologies, NAACL-HLT 2021, pp. 3437-3445, (2021); Liu Xiao, Zheng Yanan, Du Zhengxiao, Ding Ming, Qian Yujie, Yang Zhilin, Tang Jie, Gpt understands, too, (2021); Liu Yinhan, Ott Myle, Goyal Naman, Du Jingfei, Joshi Mandar, Chen Danqi, Levy Omer, Lewis Mike, Zettlemoyer Luke, Stoyanov Veselin, Roberta: A robustly optimized BERT pretraining approach, (2019); Loshchilov Ilya, Hutter Frank, Decoupled weight decay regularization, 7th International Conference on Learning Representations, ICLR 2019, (2019); Luan Yi, He Luheng, Ostendorf Mari, Hajishirzi Hannaneh, Multi-task identification of entities, relations, and coreference for scientific knowledge graph construction, Proceedings of the 2018 Conference on Empirical Methods in Natural Language Processing, pp. 3219-3232, (2018); Ma Ruotian, Zhou Xin, Gui Tao, Tan Yiding, Zhang Qi, Huang Xuanjing, Template-free prompt tuning for few-shot NER, CoRR, (2021); Mahajan Dhruv, Girshick Ross B., Ramanathan Vignesh, He Kaiming, Paluri Manohar, Li Yixuan, Bharambe Ashwin, van der Maaten Laurens, Exploring the limits of weakly supervised pretraining, Computer Vision - ECCV 2018-15th European Conference, Munich, Germany, September 8-14, 2018, Proceedings, Part II, volume 11206 of Lecture Notes in Computer Science, pp. 185-201, (2018); Miao Zhengjie, Li Yuliang, Wang Xiaolan, Tan Wang-Chiew, Snippext: Semi-supervised opinion mining with augmented data, WWW'20: The Web Conference 2020, pp. 617-628, (2020); Mintz Mike, Bills Steven, Snow Rion, Jurafsky Daniel, Distant supervision for relation extraction without labeled data, ACL 2009, Proceedings of the 47th Annual Meeting of the Association for Computational Linguistics and the 4th International Joint Conference on Natural Language Processing of the AFNLP, pp. 1003-1011, (2009); Nan Guoshun, Zeng Jiaqi, Qiao Rui, Guo Zhijiang, Lu Wei, Uncovering main causalities for long-tailed information extraction, Proceedings of the 2021 Conference on Empirical Methods in Natural Language Processing, pp. 9683-9695, (2021); Niu Tong, Bansal Mohit, Adversarial oversensitivity and over-stability strategies for dialogue models, Proceedings of the 22nd Conference on Computational Natural Language Learning, CoNLL 2018, pp. 486-496, (2018); Peng Yifan, Yan Shankai, Lu Zhiyong, Transfer learning in biomedical natural language processing: An evaluation of BERT and elmo on ten benchmarking datasets, Proceedings of the 18th BioNLP Workshop and Shared Task, BioNLP@ACL 2019, pp. 58-65, (2019); Perez Ethan, Kiela Douwe, Cho Kyunghyun, True few-shot learning with language models, Advances in Neural Information Processing Systems 34: Annual Conference on Neural Information Processing Systems 2021, NeurIPS 2021, pp. 11054-11070, (2021); Rosenberg Chuck, Hebert Martial, Schneider-man Henry, Semi-supervised self-training of object detection models, 7th IEEE Workshop on Applications of Computer Vision/IEEE Workshop on Motion and Video Computing (WACV/MOTION 2005), pp. 29-36, (2005); Rosenfeld Benjamin, Feldman Ronen, Using corpus statistics on entities to improve semi-supervised relation extraction from the web, Proceedings of the 45th Annual Meeting of the Association of Computational Linguistics, pp. 600-607, (2007); Sabo Ofer, Elazar Yanai, Goldberg Yoav, Dagan Ido, Revisiting few-shot relation classification: Evaluation data and classification schemes, Trans. Assoc. Comput. Linguistics, 9, pp. 691-706, (2021); Schick Timo, Schutze Hinrich, Exploiting cloze-questions for few-shot text classification and natural language inference, Proceedings of the 16th Conference of the European Chapter of the Association for Computational Linguistics: Main Volume, pp. 255-269, (2021); Shin Taylor, Razeghi Yasaman, Logan Robert L., Wallace Eric, Singh Sameer, AutoPrompt: Eliciting knowledge from language models with automatically generated prompts, Empirical Methods in Natural Language Processing (EMNLP), (2020); Stoica George, Platanios Emmanouil Antonios, Poczos Barnabas, Re-tacred: Addressing shortcomings of the TACRED dataset, Thirty-Fifth AAAI Conference on Artificial Intelligence, AAAI 2021, Thirty-Third Conference on Innovative Applications of Artificial Intelligence, IAAI 2021, The Eleventh Symposium on Educational Advances in Artificial Intelligence, EAAI 2021, pp. 13843-13850, (2021); Sun Ang, Grishman Ralph, Sekine Satoshi, Semi-supervised relation extraction with large-scale word clustering, Proceedings of the 49th Annual Meeting of the Association for Computational Linguistics: Human Language Technologies, pp. 521-529, (2011); Wang William Yang, Yang Diyi, That's so annoying!!!: A lexical and frame-semantic embedding based data augmentation approach to automatic categorization of annoying behaviors using #petpeeve tweets, Proceedings of the 2015 Conference on Empirical Methods in Natural Language Processing, pp. 2557-2563, (2015); Wei Jason, Zou Kai, EDA: Easy data augmentation techniques for boosting performance on text classification tasks, Proceedings of the 2019 Conference on Empirical Methods in Natural Language Processing and the 9th International Joint Conference on Natural Language Processing (EMNLP-IJCNLP), pp. 6382-6388, (2019); Wu Tongtong, Wang Guitao, Zhao Jinming, Liu Zhaoran, Qi Guilin, Li Yuan-Fang, Haffari Gholamreza, Towards relation extraction from speech, CoRR, (2022); Xie Qizhe, Dai Zihang, Hovy Eduard H., Luong Thang, Le Quoc, Unsupervised data augmentation for consistency training, Advances in Neural Information Processing Systems 33: Annual Conference on Neural Information Processing Systems 2020, (2020); Yu Dian, Sun Kai, Cardie Claire, Yu Dong, Dialogue-based relation extraction, Proceedings of the 58th Annual Meeting of the Association for Computational Linguistics, pp. 4927-4940, (2020); Yu Haiyang, Zhang Ningyu, Deng Shumin, Ye Hongbin, Zhang Wei, Chen Huajun, Bridging text and knowledge with multi-prototype embedding for few-shot relational triple extraction, Proceedings of the 28th International Conference on Computational Linguistics, COLING 2020, pp. 6399-6410, (2020); Zhang Ningyu, Chen Mosha, Bi Zhen, Liang Xiaozhuan, Li Lei, Shang Xin, Yin Kangping, Tan Chuanqi, Xu Jian, Huang Fei, Si Luo, Ni Yuan, Xie Guotong, Sui Zhifang, Chang Baobao, Zong Hui, Yuan Zheng, Li Linfeng, Yan Jun, Zan Hongying, Zhang Kunli, Tang Buzhou, Chen Qingcai, CBLUE: A Chinese biomedical language understanding evaluation benchmark, Proceedings of the 60th Annual Meeting of the Association for Computational Linguistics (Volume 1: Long Papers), pp. 7888-7915, (2022); Zhang Ningyu, Chen Xiang, Xie Xin, Deng Shumin, Tan Chuanqi, Chen Mosha, Huang Fei, Si Luo, Chen Huajun, Document-level relation extraction as semantic segmentation, Proceedings of the Thirtieth International Joint Conference on Artificial Intelligence, IJCAI 2021, pp. 3999-4006, (2021); Zhang Ningyu, Deng Shumin, Sun Zhanlin, Wang Guanying, Chen Xi, Zhang Wei, Chen Huajun, Long-tail relation extraction via knowledge graph embeddings and graph convolution networks, Proceedings of the 2019 Conference of the North American Chapter of the Association for Computational Linguistics: Human Language Technologies, NAACL-HLT 2019, 1, pp. 3016-3025, (2019); Zhang Ningyu, Xu Xin, Tao Liankuan, Yu Haiyang, Ye Hongbin, Qiao Shuofei, Xie Xin, Chen Xiang, Li Zhoubo, Li Lei, Et al., Deepke: A deep learning based knowledge extraction toolkit for knowledge base population, (2022); Zhang Yuhao, Qi Peng, Manning Christopher D., Graph convolution over pruned dependency trees improves relation extraction, Proceedings of the 2018 Conference on Empirical Methods in Natural Language Processing, pp. 2205-2215, (2018); Zheng Hengyi, Wen Rui, Chen Xi, Yang Yifan, Zhang Yunyan, Zhang Ziheng, Zhang Ningyu, Qin Bin, Ming Xu, Zheng Yefeng, PRGC: Potential relation and global correspondence based joint relational triple extraction, Proceedings of the 59th Annual Meeting of the Association for Computational Linguistics and the 11th International Joint Conference on Natural Language Processing (Volume 1: Long Papers), pp. 6225-6235, (2021); Zhong Zexuan, Chen Danqi, A frustratingly easy approach for entity and relation extraction, Proceedings of the 2021 Conference of the North American Chapter of the Association for Computational Linguistics: Human Language Technologies, NAACL-HLT 2021, pp. 50-61, (2021); Zhou Wenxuan, Chen Muhao, An improved baseline for sentence-level relation extraction, (2021)</t>
  </si>
  <si>
    <t>N. Zhang; Zhejiang University, AZFT Joint Lab for Knowledge Engine, China; email: zhangningyu@zju.edu.cn</t>
  </si>
  <si>
    <t>Goldberg Y.; Kozareva Z.; Zhang Y.</t>
  </si>
  <si>
    <t>Association for Computational Linguistics (ACL)</t>
  </si>
  <si>
    <t>2022 Findings of the Association for Computational Linguistics: EMNLP 2022</t>
  </si>
  <si>
    <t>7 December 2022 through 11 December 2022</t>
  </si>
  <si>
    <t>Abu Dhabi</t>
  </si>
  <si>
    <t>186900.0</t>
  </si>
  <si>
    <t>Find. Assoc. Comput. Linguist.: EMNLP</t>
  </si>
  <si>
    <t>All Open Access; Green Open Access; Hybrid Gold Open Access</t>
  </si>
  <si>
    <t>2-s2.0-85149872682</t>
  </si>
  <si>
    <t>Dong M.; Pan C.; Luo Z.</t>
  </si>
  <si>
    <t>Dong, Manqing (57202994996); Pan, Chunguang (57223040498); Luo, Zhipeng (57210633943)</t>
  </si>
  <si>
    <t>57202994996; 57223040498; 57210633943</t>
  </si>
  <si>
    <t>MapRE: An Effective Semantic Mapping Approach for Low-resource Relation Extraction</t>
  </si>
  <si>
    <t>2021.0</t>
  </si>
  <si>
    <t>EMNLP 2021 - 2021 Conference on Empirical Methods in Natural Language Processing, Proceedings</t>
  </si>
  <si>
    <t>2694.0</t>
  </si>
  <si>
    <t>2704.0</t>
  </si>
  <si>
    <t>10.0</t>
  </si>
  <si>
    <t>33.0</t>
  </si>
  <si>
    <t>10.18653/v1/2021.emnlp-main.212</t>
  </si>
  <si>
    <t>https://www.scopus.com/inward/record.uri?eid=2-s2.0-85127414858&amp;doi=10.18653%2fv1%2f2021.emnlp-main.212&amp;partnerID=40&amp;md5=c6c34f9786c721355e9fcf0023ba2afa</t>
  </si>
  <si>
    <t>DeepBlue Technology (Shanghai) Co., Ltd, China</t>
  </si>
  <si>
    <t>Dong M., DeepBlue Technology (Shanghai) Co., Ltd, China; Pan C., DeepBlue Technology (Shanghai) Co., Ltd, China; Luo Z., DeepBlue Technology (Shanghai) Co., Ltd, China</t>
  </si>
  <si>
    <t>Neural relation extraction models have shown promising results in recent years; however, the model performance drops dramatically given only a few training samples. Recent works try leveraging the advance in few-shot learning to solve the low resource problem, where they train label-agnostic models to directly compare the semantic similarities among context sentences in the embedding space. However, the label-aware information, i.e., the relation label that contains the semantic knowledge of the relation itself, is often neglected for prediction. In this work, we propose a framework considering both label-agnostic and label-aware semantic mapping information for low resource relation extraction. We show that incorporating the above two types of mapping information in both pretraining and fine-tuning can significantly improve the model performance on low-resource relation extraction tasks. ¬© 2021 Association for Computational Linguistics</t>
  </si>
  <si>
    <t>Computational linguistics; Extraction; Semantics; Embeddings; Extraction modeling; Mapping information; Modeling performance; Pre-training; Relation extraction; Semantic similarity; Semantics knowledge; Semantics mappings; Training sample; Mapping</t>
  </si>
  <si>
    <t>Cetoli Alberto, Exploring the zero-shot limit of fewrel, Proceedings of the 28th International Conference on Computational Linguistics, pp. 1447-1451, (2020); Chen Ting, Kornblith Simon, Norouzi Mohammad, Hinton Geoffrey, A simple framework for contrastive learning of visual representations, International conference on machine learning, pp. 1597-1607, (2020); Devlin Jacob, Chang Ming-Wei, Lee Kenton, Toutanova Kristina, Bert: Pre-training of deep bidirectional transformers for language understanding, Proceedings of the 2019 Conference of the North American Chapter of the Association for Computational Linguistics: Human Language Technologies, Volume 1 (Long and Short Papers), pp. 4171-4186, (2019); Finn Chelsea, Abbeel Pieter, Levine Sergey, Model-agnostic meta-learning for fast adaptation of deep networks, International Conference on Machine Learning, pp. 1126-1135, (2017); Gao Tianyu, Han Xu, Zhu Hao, Liu Zhiyuan, Li Peng, Sun Maosong, Zhou Jie, Fewrel 2.0: Towards more challenging few-shot relation classification, Proceedings of the 2019 Conference on Empirical Methods in Natural Language Processing and the 9th International Joint Conference on Natural Language Processing (EMNLP-IJCNLP), pp. 6251-6256, (2019); Han Xu, Gao Tianyu, Yao Yuan, Ye Deming, Liu Zhiyuan, Sun Maosong, Opennre: An open and extensible toolkit for neural relation extraction, Proceedings of the 2019 Conference on Empirical Methods in Natural Language Processing and the 9th International Joint Conference on Natural Language Processing (EMNLP-IJCNLP): System Demonstrations, pp. 169-174, (2019); Han Xu, Zhu Hao, Yu Pengfei, Wang Ziyun, Yao Yuan, Liu Zhiyuan, Sun Maosong, Fewrel: A large-scale supervised few-shot relation classification dataset with state-of-the-art evaluation, EMNLP, (2018); Hospedales Timothy, Antoniou Antreas, Micaelli Paul, Storkey Amos, Meta-learning in neural networks: A survey, (2020); Hu Linmei, Zhang Luhao, Shi Chuan, Nie Liqiang, Guan Weili, Yang Cheng, Improving distantly-supervised relation extraction with joint label embedding, Proceedings of the 2019 Conference on Empirical Methods in Natural Language Processing and the 9th International Joint Conference on Natural Language Processing (EMNLP-IJCNLP), pp. 3812-3820, (2019); Koch Gregory, Zemel Richard, Salakhutdinov Ruslan, Siamese neural networks for one-shot image recognition, ICML deep learning workshop, 2, (2015); Kringelum Jens, Kjaerulff Sonny Kim, Brunak Soren, Lund Ole, Oprea Tudor I, Taboureau Olivier, Chemprot-3.0: a global chemical biology diseases mapping, Database, (2016); Loshchilov Ilya, Hutter Frank, Decoupled weight decay regularization, International Conference on Learning Representations, (2018); Mintz Mike, Bills Steven, Snow Rion, Jurafsky Dan, Distant supervision for relation extraction without labeled data, Proceedings of the Joint Conference of the 47th Annual Meeting of the ACL and the 4th International Joint Conference on Natural Language Processing of the AFNLP, pp. 1003-1011, (2009); Mishra Nikhil, Rohaninejad Mostafa, Chen Xi, Abbeel Pieter, A simple neural attentive meta-learner, International Conference on Learning Representations (ICLR), (2018); Nichol Alex, Achiam Joshua, Schulman John, On first-order meta-learning algorithms, (2018); van den Oord Aaron, Li Yazhe, Vinyals Oriol, Representation learning with contrastive predictive coding, (2018); Peng Hao, Gao Tianyu, Han Xu, Lin Yankai, Li Peng, Liu Zhiyuan, Sun Maosong, Zhou Jie, Learning from context or names? an empirical study on neural relation extraction, Proceedings of the 2020 Conference on Empirical Methods in Natural Language Processing (EMNLP), pp. 3661-3672, (2020); Pennington Jeffrey, Socher Richard, Manning Christopher D, Glove: Global vectors for word representation, Proceedings of the 2014 conference on empirical methods in natural language processing (EMNLP), pp. 1532-1543, (2014); Qu Meng, Gao Tianyu, Xhonneux Louis-Pascal, Tang Jian, Few-shot relation extraction via bayesian meta-learning on relation graphs, International Conference on Machine Learning (ICML), pp. 7867-7876, (2020); Rajpurkar Pranav, Zhang Jian, Lopyrev Konstantin, Liang Percy, Squad: 100,000+ questions for machine comprehension of text, Proceedings of the 2016 Conference on Empirical Methods in Natural Language Processing, pp. 2383-2392, (2016); Rios Anthony, Kavuluru Ramakanth, Few-shot and zero-shot multi-label learning for structured label spaces, Proceedings of the 2018 Conference on Empirical Methods in Natural Language Processing, pp. 3132-3142, (2018); Snell Jake, Swersky Kevin, Zemel Richard, Prototypical networks for few-shot learning, Proceedings of the 31st International Conference on Neural Information Processing Systems (NeurIPS), pp. 4080-4090, (2017); Soares Livio Baldini, FitzGerald Nicholas, Ling Jeffrey, Kwiatkowski Tom, Matching the blanks: Distributional similarity for relation learning, Proceedings of the 57th Annual Meeting of the Association for Computational Linguistics (ACL), pp. 2895-2905, (2019); Sohn Kihyuk, Improved deep metric learning with multi-class n-pair loss objective, Proceedings of the 30th International Conference on Neural Information Processing Systems, pp. 1857-1865, (2016); Triantafillou Eleni, Zhu Tyler, Dumoulin Vincent, Lamblin Pascal, Evci Utku, Xu Kelvin, Goroshin Ross, Gelada Carles, Swersky Kevin, Man-zagol Pierre-Antoine, Et al., Meta-dataset: A dataset of datasets for learning to learn from few examples, International Conference on Learning Representations, (2019); Vrandecic Denny, Krotzsch Markus, Wikidata: a free collaborative knowledgebase, Communications of the ACM, 57, 10, pp. 78-85, (2014); Wang Guoyin, Li Chunyuan, Wang Wenlin, Zhang Yizhe, Shen Dinghan, Zhang Xinyuan, Henao Ricardo, Carin Lawrence, Joint embedding of words and labels for text classification, Proceedings of the 56th Annual Meeting of the Association for Computational Linguistics (Volume 1: Long Papers), pp. 2321-2331, (2018); Xia Congying, Zhang Chenwei, Yan Xiaohui, Chang Yi, Yu Philip S, Zero-shot user intent detection via capsule neural networks, Proceedings of the 2018 Conference on Empirical Methods in Natural Language Processing, pp. 3090-3099, (2018); Xian Yongqin, Schiele Bernt, Akata Zeynep, Zero-shot learning-the good, the bad and the ugly, Proceedings of the IEEE Conference on Computer Vision and Pattern Recognition (CVPR), pp. 4582-4591, (2017); Xie Guo-Sen, Liu Li, Jin Xiaobo, Zhu Fan, Zhang Zheng, Qin Jie, Yao Yazhou, Shao Ling, Attentive region embedding network for zero-shot learning, Proceedings of the IEEE/CVF Conference on Computer Vision and Pattern Recognition (CVPR), pp. 9384-9393, (2019); Ye Zhi-Xiu, Ling Zhen-Hua, Multi-level matching and aggregation network for few-shot relation classification, Proceedings of the 57th Annual Meeting of the Association for Computational Linguistics (ACL), pp. 2872-2881, (2019); Yin Wenpeng, Hay Jamaal, Roth Dan, Benchmarking zero-shot text classification: Datasets, evaluation and entailment approach, Proceedings of the 2019 Conference on Empirical Methods in Natural Language Processing and the 9th International Joint Conference on Natural Language Processing (EMNLP-IJCNLP), pp. 3905-3914, (2019); Zhang Jingqing, Lertvittayakumjorn Piyawat, Guo Yike, Integrating semantic knowledge to tackle zero-shot text classification, Proceedings of the 2019 Conference of the North American Chapter of the Association for Computational Linguistics: Human Language Technologies, Volume 1 (Long and Short Papers), pp. 1031-1040, (2019); Zhang Yuhao, Zhong Victor, Chen Danqi, Angeli Gabor, Manning Christopher D, Position-aware attention and supervised data improve slot filling, Proceedings of the 2017 Conference on Empirical Methods in Natural Language Processing, pp. 35-45, (2017); Zhou Peng, Shi Wei, Tian Jun, Qi Zhenyu, Li Bingchen, Hao Hongwei, Xu Bo, Attention-based bidirectional long short-term memory networks for relation classification, Proceedings of the 54th annual meeting of the association for computational linguistics (volume 2: Short papers), pp. 207-212, (2016)</t>
  </si>
  <si>
    <t>Amazon Science; Apple; Bloomberg Engineering; et al.; Facebook AI; Google Research</t>
  </si>
  <si>
    <t>2021 Conference on Empirical Methods in Natural Language Processing, EMNLP 2021</t>
  </si>
  <si>
    <t>7 November 2021 through 11 November 2021</t>
  </si>
  <si>
    <t>Virtual, Punta Cana</t>
  </si>
  <si>
    <t>177530.0</t>
  </si>
  <si>
    <t>978-195591709-4</t>
  </si>
  <si>
    <t>EMNLP - Conf. Empir. Methods Nat. Lang. Process., Proc.</t>
  </si>
  <si>
    <t>2-s2.0-85127414858</t>
  </si>
  <si>
    <t>Yu J.; Wang X.; Chen W.</t>
  </si>
  <si>
    <t>Yu, Junjie (57189380183); Wang, Xing (55978420400); Chen, Wenliang (55715988100)</t>
  </si>
  <si>
    <t>57189380183; 55978420400; 55715988100</t>
  </si>
  <si>
    <t>Reliable Data Generation and Selection for Low-Resource Relation Extraction</t>
  </si>
  <si>
    <t>2024.0</t>
  </si>
  <si>
    <t>Proceedings of the AAAI Conference on Artificial Intelligence</t>
  </si>
  <si>
    <t>17.0</t>
  </si>
  <si>
    <t>19440.0</t>
  </si>
  <si>
    <t>19448.0</t>
  </si>
  <si>
    <t>8.0</t>
  </si>
  <si>
    <t>2.0</t>
  </si>
  <si>
    <t>10.1609/aaai.v38i17.29915</t>
  </si>
  <si>
    <t>https://www.scopus.com/inward/record.uri?eid=2-s2.0-85189627963&amp;doi=10.1609%2faaai.v38i17.29915&amp;partnerID=40&amp;md5=0c3ea90bbf2267d9a57d00fa84336042</t>
  </si>
  <si>
    <t>School of Computer Science and Technology, Soochow University, Suzhou, China; Tencent AI Lab., Shenzhen, China</t>
  </si>
  <si>
    <t>Yu J., School of Computer Science and Technology, Soochow University, Suzhou, China; Wang X., Tencent AI Lab., Shenzhen, China; Chen W., School of Computer Science and Technology, Soochow University, Suzhou, China</t>
  </si>
  <si>
    <t>Automated construction of annotated data holds significant importance in Relation Extraction (RE) tasks due to the hardness and cost of human annotation. In this work, we propose Self-RDGS, a method for Self-supervised Reliable Data Generation and Selection in low-resource RE tasks. At first, we fully utilize the knowledge of triplets as prompts to generate sentences by employing the Large Language Models (LLMs). Since the auto-generated data contains noise, we then propose a ranking-based data selection method to select reliable sentences. Finally, we integrate the data selection and RE model training within a self-supervised iterative framework. Through experimentation on three datasets with low-resource settings, we demonstrate the effectiveness of our proposed approach in constructing annotated data and achieving noteworthy improvements in comparison to multiple baselines. Code, data and models are available at https://github.com/jjyunlp/GenerationRE. ¬© 2024, Association for the Advancement of Artificial Intelligence (www.aaai.org). All rights reserved.</t>
  </si>
  <si>
    <t>Artificial intelligence; Data mining; Data reduction; Extraction; Automated construction; Data generation; Data Selection; Extraction modeling; Human annotations; Iterative framework; Language model; Model training; Relation extraction; Selection methods; Iterative methods</t>
  </si>
  <si>
    <t>Priority Academic Program Development of Jiangsu Higher Education Institutions, PAPD; National Natural Science Foundation of China, NSFC, (62376177, 61936010)</t>
  </si>
  <si>
    <t>This work was supported by the National Natural Science Foundation of China (62376177, 61936010) and Project Funded by the Priority Academic Program Development of Jiangsu Higher Education Institutions. We thank the anonymous reviewers for their constructive comments.</t>
  </si>
  <si>
    <t>Anaby-Tavor A., Carmeli B., Goldbraich E., Kantor A., Kour G., Shlomov S., Tepper N., Zwerdling N., Do not have enough data? Deep learning to the rescue!, Proceedings of the AAAI Conference on Artificial Intelligence, 34, pp. 7383-7390, (2020); Bengio Y., Ducharme R., Vincent P., A neural probabilistic language model, Advances in neural information processing systems, 13, (2000); Brown T., Mann B., Ryder N., Subbiah M., Kaplan J. D., Dhariwal P., Neelakantan A., Shyam P., Sastry G., Askell A., Et al., Language models are few-shot learners, Advances in neural information processing systems, 33, pp. 1877-1901, (2020); Chia Y. K., Bing L., Poria S., Si L., RelationPrompt: Leveraging Prompts to Generate Synthetic Data for Zero-Shot Relation Triplet Extraction, Findings of the Association for Computational Linguistics: ACL, 2022, pp. 45-57, (2022); Devlin J., Chang M.-W., Lee K., Toutanova K., Bert: Pre-training of deep bidirectional transformers for language understanding, (2018); Hendrickx I., Kim S. N., Kozareva Z., Nakov P., Seaghdha D. O., Pado S., Pennacchiotti M., Romano L., Szpakowicz S., SemEval-2010 Task 8: Multi-Way Classification of Semantic Relations between Pairs of Nominals, SemEval, (2010); Josifoski M., Sakota M., Peyrard M., West R., Exploiting asymmetry for synthetic training data generation: Synthie and the case of information extraction, (2023); Lin Y., Shen S., Liu Z., Luan H., Sun M., Neural Relation Extraction with Selective Attention over Instances, Proceedings of the 54th Annual Meeting of the Association for Computational Linguistics (Volume 1: Long Papers), pp. 2124-2133, (2016); Ma R., Gui T., Li L., Zhang Q., Huang X.-J., Zhou Y., SENT: Sentence-level Distant Relation Extraction via Negative Training, Proceedings of the 59th Annual Meeting of the Association for Computational Linguistics and the 11th International Joint Conference on Natural Language Processing (Volume 1: Long Papers), pp. 6201-6213, (2021); Mintz M., Bills S., Snow R., Jurafsky D., Distant supervision for relation extraction without labeled data, Proceedings of the Joint Conference of the 47th Annual Meeting of the ACL and the 4th International Joint Conference on Natural Language Processing of the AFNLP, pp. 1003-1011, (2009); Papanikolaou Y., Pierleoni A., Dare: Data augmented relation extraction with gpt-2, (2020); Peng H., Gao T., Han X., Lin Y., Li P., Liu Z., Sun M., Zhou J., Learning from Context or Names? An Empirical Study on Neural Relation Extraction, Proceedings of the 2020 Conference on Empirical Methods in Natural Language Processing (EMNLP), pp. 3661-3672, (2020); Radford A., Wu J., Child R., Luan D., Amodei D., Sutskever I., Et al., Language models are unsupervised multitask learners, OpenAI blog, 1, 8, (2019); Riedel S., Yao L., McCallum A., Modeling relations and their mentions without labeled text, Machine Learning and Knowledge Discovery in Databases: European Conference, ECML PKDD 2010, Barcelona, Spain, September 20-24, 2010, Proceedings, Part III 21, pp. 148-163, (2010); Ross A., Wu T., Peng H., Peters M., Gardner M., Tailor: Generating and Perturbing Text with Semantic Controls, Proceedings of the 60th Annual Meeting of the Association for Computational Linguistics (Volume 1: Long Papers), pp. 3194-3213, (2022); Schick T., Schutze H., Generating Datasets with Pretrained Language Models, Proceedings of the 2021 Conference on Empirical Methods in Natural Language Processing, pp. 6943-6951, (2021); Soares L. B., Fitzgerald N., Ling J., Kwiatkowski T., Matching the Blanks: Distributional Similarity for Relation Learning, Proceedings of the 57th Annual Meeting of the Association for Computational Linguistics, pp. 2895-2905, (2019); Stoica G., Platanios E. A., Poczos B., Re-tacred: Addressing shortcomings of the tacred dataset, Proceedings of the AAAI Conference on Artificial Intelligence, 35, pp. 13843-13850, (2021); Vashishth S., Joshi R., Prayaga S. S., Bhattacharyya C., Talukdar P., RESIDE: Improving Distantly-Supervised Neural Relation Extraction using Side Information, Proceedings of the 2018 Conference on Empirical Methods in Natural Language Processing, pp. 1257-1266, (2018); Wadhwa S., Amir S., Wallace B. C., Revisiting relation extraction in the era of large language models, (2023); Wan Z., Cheng F., Mao Z., Liu Q., Song H., Li J., Kurohashi S., Gpt-re: In-context learning for relation extraction using large language models, (2023); Wang X., Wei J., Schuurmans D., Le Q., Chi E., Zhou D., Self-consistency improves chain of thought reasoning in language models, (2022); Ye J., Jiao W., Wang X., Tu Z., Scaling Back-Translation with Domain Text Generation for Sign Language Gloss Translation, Proceedings of the 17th Conference of the European Chapter of the Association for Computational Linguistics, pp. 463-476, (2023); Ye Z., Ling Z., Distant Supervision Relation Extraction with Intra-Bag and Inter-Bag Attentions, Proceedings of the 2019 Conference of the North American Chapter of the Association for Computational Linguistics: Human Language Technologies, 1, pp. 2810-2819, (2019); Yu J., Wang X., Zhao J., Yang C., Chen W., STAD: Self-Training with Ambiguous Data for Low-Resource Relation Extraction, Proceedings of the 29th International Conference on Computational Linguistics, pp. 2044-2054, (2022); Yu J., Zhu T., Chen W., Zhang W., Zhang M., Improving Relation Extraction with Relational Paraphrase Sentences, Proceedings of the 28th International Conference on Computational Linguistics, pp. 1687-1698, (2020); Zeng D., Liu K., Chen Y., Zhao J., Distant supervision for relation extraction via piecewise convolutional neural networks, Proceedings of the 2015 conference on empirical methods in natural language processing, pp. 1753-1762, (2015); Zhang Y., Zhong V., Chen D., Angeli G., Manning C. D., Position-aware Attention and Supervised Data Improve Slot Filling, Proceedings of the 2017 Conference on Empirical Methods in Natural Language Processing, pp. 35-45, (2017); Zhou G., Su J., Zhang J., Zhang M., Exploring various knowledge in relation extraction, Proceedings of the 43rd annual meeting of the association for computational linguistics, pp. 427-434, (2005); Zhu T., Ren J., Yu Z., Wu M., Zhang G., Qu X., Chen W., Wang Z., Huai B., Zhang M., Mirror: A Universal Framework for Various Information Extraction Tasks, Proceedings of the 2023 Conference on Empirical Methods in Natural Language Processing, pp. 8861-8876, (2023); Zhu T., Wang H., Yu J., Zhou X., Chen W., Zhang W., Zhang M., Towards Accurate and Consistent Evaluation: A Dataset for Distantly-Supervised Relation Extraction, Proceedings of the 28th International Conference on Computational Linguistics, pp. 6436-6447, (2020)</t>
  </si>
  <si>
    <t>W. Chen; School of Computer Science and Technology, Soochow University, Suzhou, China; email: wlchen@suda.edu.cn</t>
  </si>
  <si>
    <t>Wooldridge M.; Dy J.; Natarajan S.</t>
  </si>
  <si>
    <t>Association for the Advancement of Artificial Intelligence</t>
  </si>
  <si>
    <t>38th AAAI Conference on Artificial Intelligence, AAAI 2024</t>
  </si>
  <si>
    <t>20 February 2024 through 27 February 2024</t>
  </si>
  <si>
    <t>Vancouver</t>
  </si>
  <si>
    <t>198370.0</t>
  </si>
  <si>
    <t>Proc. AAAI Conf. Artif. Intell.</t>
  </si>
  <si>
    <t>All Open Access; Gold Open Access</t>
  </si>
  <si>
    <t>2-s2.0-85189627963</t>
  </si>
  <si>
    <t>Wang P.; Shao T.; Ji K.; Li G.; Ke W.</t>
  </si>
  <si>
    <t>Wang, Peng (56182131700); Shao, Tong (57340534200); Ji, Ke (58339210600); Li, Guozheng (57347169600); Ke, Wenjun (57193995075)</t>
  </si>
  <si>
    <t>56182131700; 57340534200; 58339210600; 57347169600; 57193995075</t>
  </si>
  <si>
    <t>fmLRE: A Low-Resource Relation Extraction Model Based on Feature Mapping Similarity Calculation</t>
  </si>
  <si>
    <t>2023.0</t>
  </si>
  <si>
    <t>Proceedings of the 37th AAAI Conference on Artificial Intelligence, AAAI 2023</t>
  </si>
  <si>
    <t>13700.0</t>
  </si>
  <si>
    <t>13708.0</t>
  </si>
  <si>
    <t>7.0</t>
  </si>
  <si>
    <t>10.1609/aaai.v37i11.26605</t>
  </si>
  <si>
    <t>https://www.scopus.com/inward/record.uri?eid=2-s2.0-85167973559&amp;doi=10.1609%2faaai.v37i11.26605&amp;partnerID=40&amp;md5=855d452b919ef740b2ba0814f6076b01</t>
  </si>
  <si>
    <t>Southeast University, China; Beijing Institute of Computer Technology and Application, China</t>
  </si>
  <si>
    <t>Wang P., Southeast University, China; Shao T., Southeast University, China; Ji K., Southeast University, China; Li G., Southeast University, China; Ke W., Southeast University, China, Beijing Institute of Computer Technology and Application, China</t>
  </si>
  <si>
    <t>Low-resource relation extraction (LRE) aims to extract relations from limited labeled corpora. Existing work takes advantages of self-training or distant supervision to expand the limited labeled data in the data-driven approaches, while the selection bias of pseudo-labels may cause the error accumulation in subsequent relation classification. To address this issue, this paper proposes fmLRE, an iterative feedback method based on feature mapping similarity calculation to improve the accuracy of pseudo-labels. First, it calculates the similarity between pseudo-label and real-label data of the same category in a feature mapping space based on semantic features of labeled dataset after feature projection. Then it fine-tunes the initial model via the iterative process of reinforcement learning. Finally, the similarity is used as a threshold for screening high-precision pseudo-labels and the basis for setting reinforcement learning rewards, which also acts as a penalty term for the relation classifier loss. Experimental results demonstrate that fmLRE achieves the state-of-the-art performance compared with strong baselines on two public datasets. Copyright ¬© 2023, Association for the Advancement of Artificial Intelligence (www.aaai.org). All rights reserved.</t>
  </si>
  <si>
    <t>Extraction; Iterative methods; Mapping; Semantics; Data-driven approach; Extraction modeling; Feature mapping; Labeled data; Model-based OPC; Reinforcement learnings; Relation extraction; Selection bias; Self-training; Similarity calculation; Reinforcement learning</t>
  </si>
  <si>
    <t>13th Five-Year All-Army Common Information System Equipment Pre-Research Project, (31514020501, 31514020503)</t>
  </si>
  <si>
    <t>We thank the anonymous reviewers for their insightful comments. The work was supported in part by the 13th Five-Year All-Army Common Information System Equipment Pre-Research Project (Grant Nos. 31514020501, 31514020503). All opinions are of the authors and do not reflect the view of sponsors.</t>
  </si>
  <si>
    <t>Bach N., Badaskar S., A Review of Relation Extraction, International Conference on Mechanical, Control and Computer Engineering, (2007); Brin S., Extracting Patterns and Relations from the World Wide Web, Proceedings of the International Workshop on the World Wide Web and Databases, (1998); Cetoli A., Exploring the zero-shot limit of FewRel, Proceedings of the 28th International Conference on Computational Linguistics, (2020); Chen J., Ji D., Chew L. T., Et al., Relation Extraction Using Label Propagation Based Semi-Supervised Learning, Proceedings of the 21st International Conference on Computational Linguistics and 44th Annual Meeting of the Association for Computational Linguistics, (2006); Deng S., Zhang N., Chen H., Knowledge Extraction in Low-Resource Scenarios: Survey and Perspective, (2022); Devlin J., Chang M., Kenton L., Et al., BERT: Pre-training of Deep Bidirectional Transformers for Language Understanding, Proceedings of the Conference of the North American Chapter of the Association for Computational Linguistics: Human Language Technologies, (2019); Dong M., Pan C., Luo Z., MapRE: An Effective Semantic Mapping Approach for Low-resource Relation Extraction, Proceedings of the 2021 Conference on Empirical Methods in Natural Language Processing, (2021); Gupta P., Roth B., Schutze H., Joint Bootstrapping Machines for High Confidence Relation Extraction, Proceedings of the 2018 Conference of the North American Chapter of the Association for Computational Linguistics: Human Language Technologies, (2018); Han J., Cheng B., Lu W., Exploring Task Difficulty for Few-Shot Relation Extraction, Proceedings of the Conference on Empirical Methods in Natural Language Processing, (2021); Han X., Zhu H., Yu P., Et al., FewRel: A Large-Scale Supervised Few-Shot Relation Classification Dataset with State-of-the-Art Evaluation, Proceedings of the Conference on Empirical Methods in Natural Language Processing, (2018); Hendrickx I., Su N. K., Kozareva Z., Et al., SemEval-2010 Task 8: Multi-Way Classification of Semantic Relations between Pairs of Nominals, Proceedings of the 5th International Workshop on Semantic Evaluation, (2010); Hochreiter S., Schmidhuber J., Long short-term memory, Neural computation, 9, 8, pp. 1735-1780, (1997); Hu L., Zhang L., Shi C., Et al., Improving Distantly-Supervised Relation Extraction with Joint Label Embedding, Proceedings of the Conference on Empirical Methods in Natural Language Processing and the 9th International Joint Conference on Natural Language Processing, (2019); Hu X., Zhang C., Ma F., Et al., Semi-supervised Relation Extraction via Incremental Meta Self-Training, Findings of the Association for Computational Linguistics: EMNLP 2021, (2021); Hu X., Zhang C., Yang Y., Et al., Gradient Imitation Reinforcement Learning for Low Resource Relation Extraction, Proceedings of the 2021 Conference on Empirical Methods in Natural Language Processing, (2021); Kim Y., Convolutional Neural Networks for Sentence Classification, Proceedings of the 2014 Conference on Empirical Methods in Natural Language Processing, (2014); Levy O., Seo M., Choi E., Et al., Zero-Shot Relation Extraction via Reading Comprehension, Proceedings of the 21st Conference on Computational Natural Language Learning, (2017); Li G., Chen X., Wang P., Xie J., Luo Q., FastRE: Towards Fast Relation Extraction with Convolutional Encoder and Improved Cascade Binary Tagging Framework, Proceedings of the 31st International Joint Conference On Artificial Intelligence, (2022); Li W., Qian T., Exploit Multiple Reference Graphs for Semi-supervised Relation Extraction, (2020); Liang X., Wu S., Li M., Et al., Modeling Multi-Granularity Hierarchical Features for Relation Extraction, Proceedings of the Conference of the North American Chapter of the Association for Computational Linguistics: Human Language Technologies, (2022); Lin Y., Shen S., Liu Z., Et al., Neural Relation Extraction with Selective Attention over Instances, Proceedings of the 54th Annual Meeting of the Association for Computational Linguistics, (2016); Mintz M., Bills S., Snow R., Et al., Distant supervision for relation extraction without labeled data, Proceedings of the Joint Conference of the 47th Annual Meeting of the ACL and the 4th International Joint Conference on Natural Language Processing of the AFNLP, (2009); Pawar S., Palshikar K. G., Bhattacharyya P., Relation Extraction: A Survey, (2017); Peng H., Gao T., Han X., Et al., Learning from Context or Names? An Empirical Study on Neural Relation Extraction, Proceedings of the 2020 Conference on Empirical Methods in Natural Language Processing, (2020); Qu M., Gao T., Xhonneux L.-P. A. C., Et al., Few-Shot Relation Extraction via Bayesian Meta-Learning on Relation Graphs, Proceedings of the 37th International Conference on Machine Learning, (2020); Ren H., Cai Y., Chen X., Et al., A Two-phase Prototypical Network Model for Incremental Few-shot Relation Classification, Proceedings of the 28th International Conference on Computational Linguistics, (2020); Rosenberg C., Hebert M., Schneiderman H., Semi-Supervised Self-Training of Object Detection Models, Seventh IEEE Workshops on Applications of Computer Vision, (2005); Soares L. B., FitzGerald N., Ling J., Et al., Matching the Blanks: Distributional Similarity for Relation Learning, Proceedings of the 57th Annual Meeting of the Association for Computational Linguistics, (2019); Sung F., Yang Y., Zhang L., Et al., Learning to Compare: Relation Network for Few-Shot Learning, Proceedings of the Conference on Computer Vision and Pattern Recognition, (2018); Vashishth S., Joshi R., Prayaga S. S., Et al., RESIDE: Improving Distantly-Supervised Neural Relation Extraction using Side Information, Proceedings of the Conference on Empirical Methods in Natural Language Processing, (2018); Wu S., He Y., Enriching Pre-Trained Language Model with Entity Information for Relation Classification, Proceedings of the 28th ACM International Conference on Information and Knowledge Management, (2019); Xu Y., Mou L., Li G., Classifying Relations via Long Short Term Memory Networks along Shortest Dependency Paths, Proceedings of the 2015 Conference on Empirical Methods in Natural Language Processing, (2015); Yao L., Haghighi A., Riedel S., Et al., Structured Relation Discovery using Generative Models, Proceedings of the Conference on Empirical Methods in Natural Language Processing, (2011); Yuan C., Eldardiry H., Unsupervised Relation Extraction: A Variational Autoencoder Approach, Proceedings of the 2021 Conference on Empirical Methods in Natural Language Processing, (2021); Zhang C., Bengio S., Hardt M., Recht B., Vinyals O., Understanding deep learning (still) requires rethinking generalization, Communications of the ACM, 64, 3, pp. 107-115, (2021); Zhang D., Wang D., Relation Classification via Recurrent Neural Network, (2015); Zhang N., Xu X., Tao L., Et al., DeepKE: A Deep Learning Based Knowledge Extraction Toolkit for Knowledge Base Population, (2022); Zhang Y., Zhong V., Chen D., Et al., Position-aware Attention and Supervised Data Improve Slot Filling, Proceedings of the 2017 Conference on Empirical Methods in Natural Language Processing, (2017)</t>
  </si>
  <si>
    <t>P. Wang; Southeast University, China; email: pwang@seu.edu.cn</t>
  </si>
  <si>
    <t>Williams B.; Chen Y.; Neville J.</t>
  </si>
  <si>
    <t>AAAI Press</t>
  </si>
  <si>
    <t>37th AAAI Conference on Artificial Intelligence, AAAI 2023</t>
  </si>
  <si>
    <t>7 February 2023 through 14 February 2023</t>
  </si>
  <si>
    <t>Washington</t>
  </si>
  <si>
    <t>190493.0</t>
  </si>
  <si>
    <t>978-157735880-0</t>
  </si>
  <si>
    <t>Proc. AAAI Conf. Artif. Intell., AAAI</t>
  </si>
  <si>
    <t>2-s2.0-85167973559</t>
  </si>
  <si>
    <t>Xu H.</t>
  </si>
  <si>
    <t>Xu, Haoshuai (57224534746)</t>
  </si>
  <si>
    <t>A Prompt-tuning Method For Low-Resource Relation Extraction Based On Enhanced-Prototype</t>
  </si>
  <si>
    <t>2023 7th International Conference on Electrical, Mechanical and Computer Engineering, ICEMCE 2023</t>
  </si>
  <si>
    <t>798.0</t>
  </si>
  <si>
    <t>801.0</t>
  </si>
  <si>
    <t>3.0</t>
  </si>
  <si>
    <t>10.1109/ICEMCE60359.2023.10490490</t>
  </si>
  <si>
    <t>https://www.scopus.com/inward/record.uri?eid=2-s2.0-85191415434&amp;doi=10.1109%2fICEMCE60359.2023.10490490&amp;partnerID=40&amp;md5=f6bd164126426bd0e5dec2ac0daaae51</t>
  </si>
  <si>
    <t>School of Information Management, Wuhan University, Wuhan, China</t>
  </si>
  <si>
    <t>Xu H., School of Information Management, Wuhan University, Wuhan, China</t>
  </si>
  <si>
    <t>Prompt-tuning has been successful in low resource relation extraction. Since there are many relation labels in relation extraction task, it is a challenge to build label verbalizer, which mapping answer word to label space. To address this problem, we propose a prototype construction strategy based on relation semantic enhancement and Prototypical Network, which use attention mechanisms to calculate weighted averages of answer word embedding in support set. We also propose an entity type-enhanced answer word optimization approach to refine the answer word embedding based entity type information in relation context. We conduct experiments on the TACRED and TACRED-Revisit datasets. The experimental results demonstrate that our methods in enhance the accuracy of prototype construction and answer word embeddings.  ¬© 2023 IEEE.</t>
  </si>
  <si>
    <t>component; low resource; prompt-tuning; relation extraction</t>
  </si>
  <si>
    <t>Extraction; Semantics; Component; Construction strategies; Embeddings; Entity-types; Label space; Low resource; Prompt-tuning; Relation extraction; Relation semantics; Tuning method; Embeddings</t>
  </si>
  <si>
    <t>Wang H., Qin K., Lu G., Luo G., Liu G., Direction-sensitive relation extraction using bi-sdp attention model, Knowledge-Based Systems, 198, (2020); Xu X., Chen X., Zhang N., Xie X., Chen X., Chen H., Towards Realistic Low-resource Relation Extraction: A Benchmark with Empirical Baseline Study, Findings of the Association for Computational Linguistics: EMNLP 2022, pp. 413-427, (2022); Liu P., Yuan W., Fu J., Jiang Z., Hayashi H., Neubig G., Pre-train, prompt, and predict: A systematic survey of prompting methods in natural language processing, ACM Computing Surveys, 55, 9, pp. 1-35, (2023); Gao T., Fisch A., Chen D., Making Pre-trained Language Models Better Few-shot Learners, Proceedings of the 59th Annual Meeting of the Association for Computational Linguistics and the 11th International Joint Conference on Natural Language Processing( volume 1: Long Papers), pp. 3816-3830, (2021); Shin T., Razeghi Y., Iv Logan R.L., Wallace E., Singh S., AutoPrompt: Eliciting Knowledge from Language Models with Automatically Generated Prompts, Proceedings of the 2020 Conference on Empirical Methods in Natural Language Processing (EMNLP), pp. 4222-4235, (2020); Liu X., Et al., P-tuning: Prompt tuning can be comparable to fine-tuning across scales and tasks, Proceedings of the 60th Annual Meeting of the Association for Computational Linguistics(volume 2: Short Papers), pp. 61-68, (2022); Chen X., Et al., KnowPrompt: Knowledge-aware Prompt-tuning with Synergistic Optimization for Relation Extraction, The Proceedings of the ACM Web Conference 2022, (2022); Arora S., Liang Y., Ma T., A Simple but Tough-to-Beat Baseline for Sentence Embeddings, International Conference on Learning Representations, (2016); Li W., Qian T., Chen X., Tang K., Zhan S., Zhan T., Exploit a Multi-head Reference Graph for Semi-supervised Relation Extraction, 2021 International Joint Conference on Neural Networks (IJCNN), pp. 1-7, (2021); Ye H., Et al., Ontology-enhanced Prompt-tuning for Few-shot Learning, Proceedings of the ACM Web Conference 2022, pp. 778-787, (2022)</t>
  </si>
  <si>
    <t>H. Xu; School of Information Management, Wuhan University, Wuhan, China; email: hsh.xu@foxmail.com</t>
  </si>
  <si>
    <t>Institute of Electrical and Electronics Engineers Inc.</t>
  </si>
  <si>
    <t>IEEE</t>
  </si>
  <si>
    <t>7th International Conference on Electrical, Mechanical and Computer Engineering, ICEMCE 2023</t>
  </si>
  <si>
    <t>20 October 2023 through 22 October 2023</t>
  </si>
  <si>
    <t>Hybrid, Xi'an</t>
  </si>
  <si>
    <t>198913.0</t>
  </si>
  <si>
    <t>979-835038287-7</t>
  </si>
  <si>
    <t>Int. Conf. Electr., Mech. Comput. Eng., ICEMCE</t>
  </si>
  <si>
    <t>2-s2.0-85191415434</t>
  </si>
  <si>
    <t>Wu H.; Zhou G.; Xia Y.; Liu H.; Zhang T.</t>
  </si>
  <si>
    <t>Wu, Hao (58602489300); Zhou, Gang (57222222786); Xia, Yi (57667687900); Liu, Hongbo (57678375200); Zhang, Tianzhi (58985655800)</t>
  </si>
  <si>
    <t>58602489300; 57222222786; 57667687900; 57678375200; 58985655800</t>
  </si>
  <si>
    <t>Self-distillation framework for document-level relation extraction in low-resource environments</t>
  </si>
  <si>
    <t>PeerJ Computer Science</t>
  </si>
  <si>
    <t>e1930</t>
  </si>
  <si>
    <t>1.0</t>
  </si>
  <si>
    <t>10.7717/peerj-cs.1930</t>
  </si>
  <si>
    <t>https://www.scopus.com/inward/record.uri?eid=2-s2.0-85190373236&amp;doi=10.7717%2fpeerj-cs.1930&amp;partnerID=40&amp;md5=132caf8807c5709bbf253d39b5fe352f</t>
  </si>
  <si>
    <t>Information Engineering University, Henan, Zhengzhou, China</t>
  </si>
  <si>
    <t>Wu H., Information Engineering University, Henan, Zhengzhou, China; Zhou G., Information Engineering University, Henan, Zhengzhou, China; Xia Y., Information Engineering University, Henan, Zhengzhou, China; Liu H., Information Engineering University, Henan, Zhengzhou, China; Zhang T., Information Engineering University, Henan, Zhengzhou, China</t>
  </si>
  <si>
    <t>The objective of document-level relation extraction is to retrieve the relations existing between entities within a document. Currently, deep learning methods have demonstrated superior performance in document-level relation extraction tasks. However, to enhance the model‚Äôs performance, various methods directly introduce additional modules into the backbone model, which often increases the number of parameters in the overall model. Consequently, deploying these deep models in resource-limited environments presents a challenge. In this article, we introduce a self-distillation framework for document-level relational extraction. We partition the document-level relation extraction model into two distinct modules, namely, the entity embedding representation module and the entity pair embedding representation module. Subsequently, we apply separate distillation techniques to each module to reduce the model‚Äôs size. In order to evaluate the proposed framework‚Äôs performance, two benchmark datasets for document-level relation extraction, namely GDA and DocRED are used in this study. The results demonstrate that our model effectively enhances performance and significantly reduces the model‚Äôs size. ¬© 2024 Zeng and Asif</t>
  </si>
  <si>
    <t>Document-level; Relation extraction; Row-resource environments; Self-distillation</t>
  </si>
  <si>
    <t>Benchmarking; Deep learning; Embeddings; Extraction; Document-level; Embeddings; Extraction modeling; Learning methods; Overall-model; Performance; Relation extraction; Resources environments; Row-resource environment; Self-distillation; Distillation</t>
  </si>
  <si>
    <t>National Office for Philosophy and Social Sciences, NPOPSS, (21BXW057); National Office for Philosophy and Social Sciences, NPOPSS</t>
  </si>
  <si>
    <t>The following grant information was disclosed by the authors: The National Social Science Fund of China: No. 21BXW057.</t>
  </si>
  <si>
    <t>Christopoulou F, Miwa M, Ananiadou S., Connecting the Dots: document-level neural relation extraction with edge-oriented graphs, Proceedings of the 2019 conference on empirical methods in natural language processing and the 9th international joint conference on natural language processing (EMNLP-IJCNLP), pp. 4924-4935, (2019); Devlin J, Chang M-W, Lee K, Toutanova K., BERT: Pre-training of deep bidirectional transformers for language understanding, Proceedings of NAACLHLT 2019, pp. 4171-4186, (2019); Gou J, Yu B, Maybank SJ, Tao D., Knowledge distillation: a survey, International Journal of Computer Vision, 129, 6, pp. 1789-1819, (2021); Goyal P, Dollar P, Girshick R, Noordhuis P, Wesolowski L, Kyrola A, Tulloch A, Jia Y, He K., Accurate, large minibatch SGD: training ImageNet in 1 hour, (2018); Guo M-H, Liu Z-N, Mu T-J, Hu S-M., Beyond self-attention: external attention using two linear layers for visual tasks, IEEE Transactions on Pattern Analysis and Machine Intelligence, 45, 5, pp. 5436-5447, (2022); Guo Z, Zhang Y, Lu W., Attention guided graph convolutional networks for relation extraction, Proceedings of the 57th annual meeting of the association for computational linguistics, pp. 241-251, (2019); Heo B, Kim J, Yun S, Park H, Kwak N, Choi JY., A comprehensive overhaul of feature distillation, Proceedings of the IEEE/CVF international conference on computer vision, pp. 1921-1930, (2019); Heo B, Lee M, Yun S, Choi JY., Knowledge transfer via distillation of activation boundaries formed by hidden neurons, Proceedings of the AAAI Conference on Artificial Intelligence, 33, pp. 3779-3787, (2019); Hinton G, Vinyals O, Dean J., Distilling the knowledge in a neural network, (2015); Jia R, Wong C, Poon H., Document-Level N-ary relation extraction with multiscale representation learning, Proceedings of the 2019 conference of the north, pp. 3693-3704, (2019); Kim J, Park S, Kwak N., Paraphrasing complex network: network compression via factor transfer, Proceedings of the 32nd international conference on neural information processing systems, NIPS‚Äô18, pp. 2765-2774, (2018); Lee H, Lee J-S., Students are the best teacher: exit-ensemble distillation with multiExits, (2021); Li J, Xu K, Li F, Fei H, Ren Y, Ji D., MRN: a locally and globally mention-based reasoning network for document-level relation extraction, Findings of the association for computational linguistics: ACL-IJCNLP 2021, pp. 1359-1370, (2021); Li W, Wang Q, Wu J, Yu Z., Piecewise convolutional neural networks with position attention and similar bag attention for distant supervision relation extraction, Applied Intelligence, 52, 4, pp. 4599-4609, (2022); Liu Y, Lapata M., Learning structured text representations, Transactions of the Association for Computational Linguistics, 6, pp. 63-75, (2018); Loshchilov I, Hutter F., Decoupled weight decay regularization, (2019); Micikevicius P, Narang S, Alben J, Diamos GF, Elsen E, Garcia D, Ginsburg B, Houston M, Kuchaiev O, Venkatesh G, Wu H., Mixed precision training, (2017); Nan G, Guo Z, Sekulic I, Lu W., Reasoning with latent structure refinement for document-level relation extraction, Proceedings of the 58th annual meeting of the association for computational linguistics, pp. 1546-1557, (2020); Peng N, Poon H, Quirk C, Toutanova K, Yih W-t., Cross-sentence N-ary relation extraction with graph LSTMs, Transactions of the Association for Computational Linguistics, 5, pp. 101-115, (2017); Pham M, Cho M, Joshi A, Hegde C., Revisiting self-distillation, (2022); Roberts A, Gaizauskas R, Hepple M., Extracting clinical relationships from patient narratives, Proceedings of the workshop on current trends in biomedical natural language processing - BioNLP‚Äô08, (2008); Romero A, Ballas N, Kahou SE, Chassang A, Gatta C, Bengio Y., Fitnets: hints for thin deep nets, (2014); Shen Y, Xu L, Yang Y, Li Y, Guo Y., Self-distillation from the last mini-batch for consistency regularization, Proceedings of the IEEE/CVF conference on computer vision and pattern recognition, pp. 11943-11952, (2022); Shi P, Lin J., Simple BERT models for relation extraction and semantic role labeling, (2019); Simonyan K, Zisserman A., Very deep convolutional networks for large-scale image recognition, (2015); Soares LB, FitzGerald N, Ling J, Kwiatkowski T., Matching the blanks: distributional similarity for relation learning, (2019); Tan Q, He R, Bing L, Ng HT., Document-level relation extraction with adaptive focal loss and knowledge distillation, (2022); Tang H, Cao Y, Zhang Z, Cao J, Fang F, Wang S, Yin P., Hin: hierarchical inference network for document-level relation extraction, Advances in knowledge discovery and data mining: 24th Pacific-Asia conference, PAKDD 2020, pp. 197-209, (2020); Wang H, Focke C, Sylvester R, Mishra N, Wang W., Fine-tune bert for DocRED with two-step process, (2019); Wang Y, Yu B, Zhang Y, Liu T, Zhu H, Sun L., TPLinker: single-stage joint extraction of entities and relations through token pair linking, (2020); Wu T, Li X, Li Y-F, Haffari G, Qi G, Zhu Y, Xu G., Curriculum-meta learning for order-robust continual relation extraction, Proceedings of the AAAI conference on artificial intelligence, 35, 12, pp. 10363-10369, (2021); Xu B, Wang Q, Lyu Y, Zhu Y, Mao Z., Entity structure within and throughout: modeling mention dependencies for document-level relation extraction, AAAI conference on artificial intelligence, (2021); Yao Y, Ye D, Li P, Han X, Lin Y, Liu Z, Liu Z, Huang L, Zhou J, Sun M., DocRED: a large-scale document-level relation extraction dataset, (2019); Ye D, Lin Y, Du J, Liu Z, Li P, Sun M, Liu Z., Coreferential reasoning learning for language representation, Proceedings of the 2020 conference on empirical methods in natural language processing (EMNLP), pp. 7170-7186, (2020); Yu J, Yang D, Tian S., Relation-specific attentions over entity mentions for enhanced document-level relation extraction, Proceedings of the 2022 conference of the north american chapter of the association for computational linguistics: human language technologies, pp. 1523-1529, (2022); Yu H, Zhang N, Deng S, Ye H, Zhang W, Chen H., Bridging text and knowledge with multi-prototype embedding for few-shot relational triple extraction, (2020); Zeng D, Liu K, Chen Y, Zhao J., Distant supervision for relation extraction via piecewise convolutional neural networks, Proceedings of the 2015 conference on empirical methods in natural language processing, pp. 1753-1762, (2015); Zeng S, Wu Y, Chang B., SIRE: separate intra- and inter-sentential reasoning for document-level relation extraction, findings of the association for computational linguistics: ACL-IJCNLP 2021, pp. 524-534, (2021); Zhang N, Chen X, Xie X, Deng S, Tan C, Chen M, Huang F, Si L, Chen H., Document-level relation extraction as semantic segmentation, Proceedings of the thirtieth international joint conference on artificial intelligence, pp. 3999-4006, (2021); Zhang L, Cheng Y., A masked image reconstruction network for document-level relation extraction, (2022); Zhang N, Deng S, Sun Z, Chen X, Zhang W, Chen H., Attention-based capsule networks with dynamic routing for relation extraction, Proceedings of the 2018 conference on empirical methods in natural language processing, pp. 986-992, (2018); Zhang N, Deng S, Sun Z, Chen J, Zhang W, Chen H., Relation adversarial network for low resource knowledge graph completion, Proceedings of the web conference 2020, pp. 1-12, (2020); Zhang Z, Sabuncu M., Self-distillation as instance-specific label smoothing, Advances in Neural Information Processing Systems, 33, pp. 2184-2195, (2020); Zhang L, Song J, Gao A, Chen J, Bao C, Ma K., Be your own teacher: improve the performance of convolutional neural networks via self distillation, (2019); Zhang B, Xu Y, Li J, Wang S, Ren B, Gao S., SMDM: tackling zero-shot relation extraction with semantic max-divergence metric learning, Applied Intelligence, 53, 6, pp. 6569-6584, (2023); Zhang Y, Zhong V, Chen D, Angeli G, Manning CD., Position-aware attention and supervised data improve slot filling, Proceedings of the 2017 conference on empirical methods in natural language processing, pp. 35-45, (2017); Zhao Q, Gao T, Guo N., A novel chinese relation extraction method using polysemy rethinking mechanism, Applied Intelligence, 53, 7, pp. 7665-7676, (2023); Zheng H, Wen R, Chen X, Yang Y, Zhang Y, Zhang Z, Zhang N, Qin B, Xu M, Zheng Y., PRGC: potential relation and global correspondence based joint relational triple extraction, (2021); Zhou W, Huang K, Ma T, Huang J., Document-level relation extraction with adaptive thresholding and localized context pooling, Proceedings of the AAAI conference on artificial intelligence, 35, 16, pp. 14612-14620, (2021)</t>
  </si>
  <si>
    <t>G. Zhou; Information Engineering University, Zhengzhou, Henan, China; email: gzhougzhou@126.com</t>
  </si>
  <si>
    <t>PeerJ Inc.</t>
  </si>
  <si>
    <t>PeerJ Comput. Sci.</t>
  </si>
  <si>
    <t>Article</t>
  </si>
  <si>
    <t>All Open Access; Gold Open Access; Green Open Access</t>
  </si>
  <si>
    <t>2-s2.0-85190373236</t>
  </si>
  <si>
    <t>Xu J.; Ma M.D.; Chen M.</t>
  </si>
  <si>
    <t>Xu, Jiashu (57402307800); Ma, Mingyu Derek (57222069661); Chen, Muhao (57077271100)</t>
  </si>
  <si>
    <t>57402307800; 57222069661; 57077271100</t>
  </si>
  <si>
    <t>Can NLI Provide Proper Indirect Supervision for Low-resource Biomedical Relation Extraction?</t>
  </si>
  <si>
    <t>Proceedings of the Annual Meeting of the Association for Computational Linguistics</t>
  </si>
  <si>
    <t>2450.0</t>
  </si>
  <si>
    <t>2467.0</t>
  </si>
  <si>
    <t>10.18653/v1/2023.acl-long.138</t>
  </si>
  <si>
    <t>https://www.scopus.com/inward/record.uri?eid=2-s2.0-85171563723&amp;doi=10.18653%2fv1%2f2023.acl-long.138&amp;partnerID=40&amp;md5=518bd070891746808183a6e9707d47a4</t>
  </si>
  <si>
    <t>Harvard University, United States; University of California, Los Angeles, United States; University of Southern California, United States</t>
  </si>
  <si>
    <t>Xu J., Harvard University, United States; Ma M.D., University of California, Los Angeles, United States; Chen M., University of Southern California, United States</t>
  </si>
  <si>
    <t>Two key obstacles in biomedical relation extraction (RE) are the scarcity of annotations and the prevalence of instances without explicitly pre-defined labels due to low annotation coverage. Existing approaches, which treat biomedical RE as a multi-class classification task, often result in poor generalization in low-resource settings and do not have the ability to make selective predictions on unknown cases but give a guess from seen relations, hindering the applicability of those approaches. We present NBR, which converts biomedical RE as a natural language inference formulation to provide indirect supervision. By converting relations to natural language hypotheses, NBR is capable of exploiting semantic cues to alleviate annotation scarcity. By incorporating a ranking-based loss that implicitly calibrates abstinent instances, NBR learns a clearer decision boundary and is instructed to abstain on uncertain instances. Extensive experiments on three widely-used biomedical RE benchmarks, namely ChemProt, DDI, and GAD, verify the effectiveness of NBR in both full-shot and low-resource regimes. Our analysis demonstrates that indirect supervision benefits biomedical RE even when a domain gap exists, and combining NLI knowledge with biomedical knowledge leads to the best performance gains. ¬© 2023 Association for Computational Linguistics.</t>
  </si>
  <si>
    <t>Classification (of information); Computational linguistics; Semantics; Classification tasks; Decision boundary; Generalisation; Language inference; Learn+; Low-resource settings; Multi-class classification; Natural languages; Relation extraction; Semantic cues; Extraction</t>
  </si>
  <si>
    <t>Center for Undergraduate Research in Viterbi Engineering; National Science Foundation, NSF, (IIS 2105329); National Science Foundation, NSF; Air Force Office of Scientific Research, AFOSR, (9550-22-1-0380); Air Force Office of Scientific Research, AFOSR; Defense Advanced Research Projects Agency, DARPA, (00112290103/HR0011260656); Defense Advanced Research Projects Agency, DARPA; Air Force Research Laboratory, AFRL, (1925001, FA8750-20-2-10002); Air Force Research Laboratory, AFRL</t>
  </si>
  <si>
    <t>We appreciate the reviewers for their insightful comments and suggestions. Jiashu Xu was supported by the Center for Undergraduate Research in Viterbi Engineering (CURVE) Fellowship. Mingyu Derek Ma was supported by the AFOSR MURI grant #FA9550-22-1-0380, the Defense Advanced Research Project Agency (DARPA) grant #HR00112290103/HR0011260656, and a Cisco Research Award. Muhao Chen was supported by the NSF Grant IIS 2105329, by the Air Force Research Laboratory under agreement number FA8750-20-2-10002, by a subaward of the INFER Program through UMD ARLIS, an Amazon Research Award and a Cisco Research Award. Computing of this work was partly supported by a sub-award of NSF Cloudbank 1925001 through UCSD.</t>
  </si>
  <si>
    <t>Alrowili Sultan, Vijay-Shanker K, Biomtransformers: building large biomedical language models with bert, albert and electra, Proceedings of the 20th Workshop on Biomedical Language Processing, pp. 221-227, (2021); Back Seohyun, Chinthakindi Sai Chetan, Kedia Akhil, Lee Haejun, Choo Jaegul, Neurquri: Neural question requirement inspector for answerability prediction in machine reading comprehension, 8th International Conference on Learning Representations, ICLR 2020, (2020); Beltagy Iz, Lo Kyle, Cohan Arman, Scibert: A pretrained language model for scientific text, Proceedings of the 2019 Conference on Empirical Methods in Natural Language Processing and the 9th International Joint Conference on Natural Language Processing (EMNLP-IJCNLP), pp. 3615-3620, (2019); Bowman Samuel R., Angeli Gabor, Potts Christopher, Manning Christopher D., A large annotated corpus for learning natural language inference, Proceedings of the 2015 Conference on Empirical Methods in Natural Language Processing, pp. 632-642, (2015); Bravo Alex, Pinero Janet, Queralt-Rosinach Nuria, Rautschka Michael, Furlong Laura I, Extraction of relations between genes and diseases from text and large-scale data analysis: implications for translational research, BMC bioinformatics, 16, 1, pp. 1-17, (2015); Chen Muhao, Zhang Hongming, Wang Haoyu, Roth Dan, What are you trying to do? semantic typing of event processes, Proceedings of the 24th Conference on Computational Natural Language Learning, pp. 531-542, (2020); Dong Manqing, Pan Chunguang, Luo Zhipeng, Mapre: An effective semantic mapping approach for low-resource relation extraction, Proceedings of the 2021 Conference on Empirical Methods in Natural Language Processing, pp. 2694-2704, (2021); Gardner Matt, Artzi Yoav, Basmov Victoria, Berant Jonathan, Bogin Ben, Chen Sihao, Dasigi Pradeep, Dua Dheeru, Elazar Yanai, Gottumukkala Ananth, Gupta Nitish, Hajishirzi Hannaneh, Ilharco Gabriel, Khashabi Daniel, Lin Kevin, Liu Jiangming, Liu Nelson F., Mulcaire Phoebe, Ning Qiang, Singh Sameer, Smith Noah A., Subramanian Sanjay, Tsarfaty Reut, Wallace Eric, Zhang Ally, Zhou Ben, Evaluating models' local decision boundaries via contrast sets, Findings of the Association for Computational Linguistics: EMNLP 2020, pp. 1307-1323, (2020); Gu Yu, Tinn Robert, Cheng Hao, Lucas Michael, Usuyama Naoto, Liu Xiaodong, Naumann Tristan, Gao Jianfeng, Poon Hoifung, Domain-specific language model pretraining for biomedical natural language processing, ACM Transactions on Computing for Healthcare (HEALTH), 3, 1, pp. 1-23, (2021); Han Xu, Yu Pengfei, Liu Zhiyuan, Sun Maosong, Li Peng, Hierarchical relation extraction with coarse-to-fine grained attention, Proceedings of the 2018 Conference on Empirical Methods in Natural Language Processing, pp. 2236-2245, (2018); Han Xu, Zhao Weilin, Ding Ning, Liu Zhiyuan, Sun Maosong, Ptr: Prompt tuning with rules for text classification, AI Open, (2022); He Hangfeng, Zhang Mingyuan, Ning Qiang, Roth Dan, Foreseeing the benefits of incidental supervision, Proceedings of the 2021 Conference on Empirical Methods in Natural Language Processing, pp. 1782-1800, (2021); Herrero-Zazo Maria, Segura-Bedmar Isabel, Martinez Paloma, Declerck Thierry, The ddi corpus: An annotated corpus with pharmacological substances and drug-drug interactions, Journal of biomedical informatics, 46, 5, pp. 914-920, (2013); Hu Minghao, Wei Furu, Peng Yuxing, Huang Zhen, Yang Nan, Li Dongsheng, Read + verify: Machine reading comprehension with unanswerable questions, The Thirty-Third AAAI Conference on Artificial Intelligence, AAAI 2019, The Thirty-First Innovative Applications of Artificial Intelligence Conference, IAAI 2019, The Ninth AAAI Symposium on Educational Advances in Artificial Intelligence, EAAI 2019, pp. 6529-6537, (2019); Huang James Y., Li Bangzheng, Xu Jiashu, Chen Muhao, Unified semantic typing with meaningful label inference, Proceedings of the 2022 Conference of the North American Chapter of the Association for Computational Linguistics: Human Language Technologies, pp. 2642-2654, (2022); Kamath Amita, Jia Robin, Liang Percy, Selective question answering under domain shift, Proceedings of the 58th Annual Meeting of the Association for Computational Linguistics, pp. 5684-5696, (2020); Krallinger Martin, Rabal Obdulia, Akhondi Saber A, Perez Martin Perez, Santamaria Jesus, Rodriguez Gael Perez, Tsatsaronis Georgios, Intxaurrondo Ander, Lopez Jose Antonio, Nandal Umesh, Et al., Overview of the biocreative vi chemical-protein interaction track, Proceedings of the sixth BioCreative challenge evaluation workshop, 1, pp. 141-146, (2017); Kundu Souvik, Ng Hwee Tou, A nil-aware answer extraction framework for question answering, Proceedings of the 2018 Conference on Empirical Methods in Natural Language Processing, pp. 4243-4252, (2018); Lee Jinhyuk, Yoon Wonjin, Kim Sungdong, Kim Donghyeon, Kim Sunkyu, So Chan Ho, Kang Jaewoo, Biobert: a pre-trained biomedical language representation model for biomedical text mining, Bioinformatics, 36, 4, pp. 1234-1240, (2020); Levy Omer, Seo Minjoon, Choi Eunsol, Zettlemoyer Luke, Zero-shot relation extraction via reading comprehension, Proceedings of the 21st Conference on Computational Natural Language Learning (CoNLL 2017), pp. 333-342, (2017); Li Bangzheng, Yin Wenpeng, Chen Muhao, Ultra-fine entity typing with indirect supervision from natural language inference, Transactions of the Association for Computational Linguistics, 10, pp. 607-622, (2022); Li Xiaoya, Yin Fan, Sun Zijun, Li Xiayu, Yuan Arianna, Chai Duo, Zhou Mingxin, Li Jiwei, Entity-relation extraction as multi-turn question answering, Proceedings of the 57th Annual Meeting of the Association for Computational Linguistics, pp. 1340-1350, (2019); Liu Yinhan, Ott Myle, Goyal Naman, Du Jingfei, Joshi Mandar, Chen Danqi, Levy Omer, Lewis Mike, Zettlemoyer Luke, Stoyanov Veselin, Roberta: A robustly optimized bert pretraining approach, (2019); Loshchilov Ilya, Hutter Frank, Decoupled weight decay regularization, 7th International Conference on Learning Representations, ICLR 2019, (2019); Lu Keming, Hsu I-Hung, Zhou Wenxuan, Ma Mingyu Derek, Chen Muhao, Et al., Summarization as indirect supervision for relation extraction, EMNLP - Findings, (2022); Ma Mingyu Derek, Chen Muhao, Wu Te-Lin, Peng Nanyun, HyperExpan: Taxonomy expansion with hyperbolic representation learning, Findings of the Association for Computational Linguistics: EMNLP 2021, pp. 4182-4194, (2021); Ma Mingyu Derek, Taylor Alexander K., Wang Wei, Peng Nanyun, Dice: Data-efficient clinical event extraction with generative models, Proceedings of the 61st Annual Meeting of the Association for Computational Linguistics, (2023); Peng Hao, Gao Tianyu, Han Xu, Lin Yankai, Li Peng, Liu Zhiyuan, Sun Maosong, Zhou Jie, Learning from Context or Names? An Empirical Study on Neural Relation Extraction, Proceedings of the 2020 Conference on Empirical Methods in Natural Language Processing (EMNLP), pp. 3661-3672, (2020); Peng Yifan, Yan Shankai, Lu Zhiyong, Transfer learning in biomedical natural language processing: An evaluation of bert and elmo on ten benchmarking datasets, Proceedings of the 2019 Workshop on Biomedical Natural Language Processing (BioNLP 2019), (2019); Phan Long N, Anibal James T, Tran Hieu, Chanana Shaurya, Bahadroglu Erol, Peltekian Alec, Altan-Bonnet Gregoire, Scifive: a text-to-text transformer model for biomedical literature, (2021); Robinson Joshua David, Chuang Ching-Yao, Sra Suvrit, Jegelka Stefanie, Contrastive learning with hard negative samples, ICLR, (2021); Romanov Alexey, Shivade Chaitanya, Lessons from natural language inference in the clinical domain, Proceedings of the 2018 Conference on Empirical Methods in Natural Language Processing, pp. 1586-1596, (2018); Roth Dan, Incidental supervision: Moving beyond supervised learning, Thirty-First AAAI Conference on Artificial Intelligence, (2017); Sainz Oscar, de Lacalle Oier Lopez, Labaka Gorka, Barrena Ander, Agirre Eneko, Label verbalization and entailment for effective zero and few-shot relation extraction, Proceedings of the 2021 Conference on Empirical Methods in Natural Language Processing, pp. 1199-1212, (2021); Shin Hoo-Chang, Zhang Yang, Bakhturina Evelina, Puri Raul, Patwary Mostofa, Shoeybi Mohammad, Mani Raghav, BioMegatron: Larger biomedical domain language model, Proceedings of the 2020 Conference on Empirical Methods in Natural Language Processing (EMNLP), pp. 4700-4706, (2020); Tinn Robert, Cheng Hao, Gu Yu, Usuyama Naoto, Liu Xiaodong, Naumann Tristan, Gao Jianfeng, Poon Hoifung, Fine-tuning large neural language models for biomedical natural language processing, (2021); Wang Liang, Zhao Wei, Wei Zhuoyu, Liu Jingming, SimKGC: Simple contrastive knowledge graph completion with pre-trained language models, Proceedings of the 60th Annual Meeting of the Association for Computational Linguistics (Volume 1: Long Papers), pp. 4281-4294, (2022); Williams Adina, Nangia Nikita, Bowman Samuel, A broad-coverage challenge corpus for sentence understanding through inference, Proceedings of the 2018 Conference of the North American Chapter of the Association for Computational Linguistics: Human Language Technologies, Volume 1 (Long Papers), pp. 1112-1122, (2018); Wolf Thomas, Debut Lysandre, Sanh Victor, Chaumond Julien, Delangue Clement, Moi Anthony, Cistac Pierric, Rault Tim, Louf Remi, Funtowicz Morgan, Davison Joe, Shleifer Sam, von Platen Patrick, Ma Clara, Jernite Yacine, Plu Julien, Xu Canwen, Le Scao Teven, Gugger Sylvain, Drame Mariama, Lhoest Quentin, Rush Alexander, Transformers: State-of-the-art natural language processing, Proceedings of the 2020 Conference on Empirical Methods in Natural Language Processing: System Demonstrations, pp. 38-45, (2020); Xin Ji, Tang Raphael, Yu Yaoliang, Lin Jimmy, The art of abstention: Selective prediction and error regularization for natural language processing, Proceedings of the 59th Annual Meeting of the Association for Computational Linguistics and the 11th International Joint Conference on Natural Language Processing (Volume 1: Long Papers), pp. 1040-1051, (2021); Xu Xin, Chen Xiang, Zhang Ningyu, Xie Xin, Chen Xi, Chen Huajun, Towards realistic low-resource relation extraction: A benchmark with empirical baseline study, (2022); Yasunaga Michihiro, Leskovec Jure, Liang Percy, LinkBERT: Pretraining language models with document links, Proceedings of the 60th Annual Meeting of the Association for Computational Linguistics (Volume 1: Long Papers), pp. 8003-8016, (2022); Yeh Hui-Syuan, Lavergne Thomas, Zweigenbaum Pierre, Decorate the examples: A simple method of prompt design for biomedical relation extraction, Proceedings of the Language Resources and Evaluation Conference, pp. 3780-3787, (2022); Yin Wenpeng, Rajani Nazneen Fatema, Radev Dragomir, Socher Richard, Xiong Caiming, Universal natural language processing with limited annotations: Try few-shot textual entailment as a start, Proceedings of the 2020 Conference on Empirical Methods in Natural Language Processing (EMNLP), pp. 8229-8239, (2020); Yuan Zheng, Liu Yijia, Tan Chuanqi, Huang Songfang, Huang Fei, Improving biomedical pretrained language models with knowledge, Proceedings of the 20th Workshop on Biomedical Language Processing, pp. 180-190, (2021); Zhang Wenzheng, Stratos Karl, Understanding hard negatives in noise contrastive estimation, Proceedings of the 2021 Conference of the North American Chapter of the Association for Computational Linguistics: Human Language Technologies, pp. 1090-1101, (2021); Zhou Wenxuan, Chen Muhao, An improved baseline for sentence-level relation extraction, Proceedings of the 2nd Conference of the Asia-Pacific Chapter of the Association for Computational Linguistics and the 12th International Joint Conference on Natural Language Processing (Volume 2: Short Papers), pp. 161-168, (2022); Zhou Wenxuan, Huang Kevin, Ma Tengyu, Huang Jing, Document-level relation extraction with adaptive thresholding and localized context pooling, Proceedings of the AAAI conference on artificial intelligence, 35, pp. 14612-14620, (2021)</t>
  </si>
  <si>
    <t>Bloomberg Engineering; et al.; Google Research; LIVEPERSON; Meta; Microsoft</t>
  </si>
  <si>
    <t>61st Annual Meeting of the Association for Computational Linguistics, ACL 2023</t>
  </si>
  <si>
    <t>9 July 2023 through 14 July 2023</t>
  </si>
  <si>
    <t>Toronto</t>
  </si>
  <si>
    <t>192160.0</t>
  </si>
  <si>
    <t>0736587X</t>
  </si>
  <si>
    <t>978-195942972-2</t>
  </si>
  <si>
    <t>Proc. Annu. Meet. Assoc. Comput Linguist.</t>
  </si>
  <si>
    <t>2-s2.0-85171563723</t>
  </si>
  <si>
    <t>Liu X.; Li Y.; Li Z.; He Z.; Liang L.; Shao C.; Yan J.</t>
  </si>
  <si>
    <t>Liu, Xin (59585881100); Li, Yucun (59589214800); Li, Zongpeng (57222046037); He, Zhi (59585047000); Liang, Lin (59586718300); Shao, Chunfeng (59588392700); Yan, Jingde (59590876600)</t>
  </si>
  <si>
    <t>59585881100; 59589214800; 57222046037; 59585047000; 59586718300; 59588392700; 59590876600</t>
  </si>
  <si>
    <t>Low-Resource Causal Relation Extraction with Semi-Supervised LLM Augmentation and Validation</t>
  </si>
  <si>
    <t>2024 5th International Conference on Artificial Intelligence and Computer Engineering, ICAICE 2024</t>
  </si>
  <si>
    <t>293.0</t>
  </si>
  <si>
    <t>297.0</t>
  </si>
  <si>
    <t>4.0</t>
  </si>
  <si>
    <t>10.1109/ICAICE63571.2024.10864047</t>
  </si>
  <si>
    <t>https://www.scopus.com/inward/record.uri?eid=2-s2.0-85218462715&amp;doi=10.1109%2fICAICE63571.2024.10864047&amp;partnerID=40&amp;md5=4faabcf12a536b97fdf2a490ed3ab493</t>
  </si>
  <si>
    <t>State Grid Corporation of China, General Business Department, Beijing, China; State Grid Hunan Electric Power Company, General Business Department, Changsha, China; State Grid Corporation of China Big Data Centere, General Business Department, Beijing, China; State Grid Xiong'an Financial Technology Group, General Business Department, Beijing, China; State Grid Liaoning Electric Power Company, General Business Department, Shenyang, China; State Grid Gansu Electric Power Company, General Business Department, Lanzhou, China</t>
  </si>
  <si>
    <t>Liu X., State Grid Corporation of China, General Business Department, Beijing, China; Li Y., State Grid Hunan Electric Power Company, General Business Department, Changsha, China; Li Z., State Grid Corporation of China Big Data Centere, General Business Department, Beijing, China; He Z., State Grid Xiong'an Financial Technology Group, General Business Department, Beijing, China; Liang L., State Grid Xiong'an Financial Technology Group, General Business Department, Beijing, China; Shao C., State Grid Liaoning Electric Power Company, General Business Department, Shenyang, China; Yan J., State Grid Gansu Electric Power Company, General Business Department, Lanzhou, China</t>
  </si>
  <si>
    <t>Identifying causal relations in plain text is crucial for constructing knowledge graphs, as these relationships enhance our understanding of unstructured data. Traditional methods for causal relation extraction (CRE) often rely on large amounts of annotated data, which limits their effectiveness in real-world, data-scarce environments where noise and imbalance are prevalent. In this work, focusing on this problem, we propose a new approach that combines semi-supervised learning with large language models (LLMs) and incorporates validation to enhance the learning process. Particularly, our approach leverages LLMs to generate additional data and employs an iterative framework for dual validation. Evaluated across three datasets, our approach shows a significant 3% increase in F1 score. Additionally, in a low-resource setting using just 10% of the training data, we show that our approach achieves over a 5% improvement in F1 score compared to previous methods.  ¬© 2024 IEEE.</t>
  </si>
  <si>
    <t>Causal relation extraction; data augmentation; deep learning; large language models (LLMs)</t>
  </si>
  <si>
    <t>Adversarial machine learning; Contrastive Learning; Deep learning; Federated learning; Knowledge graph; Semi-supervised learning; Causal relation extractions; Causal relations; Data augmentation; Deep learning; F1 scores; Knowledge graphs; Language model; Large language model; Plain text; Semi-supervised; Self-supervised learning</t>
  </si>
  <si>
    <t>Caselli T., Vossen P., The event storyline corpus: A new benchmark for causal and temporal relation extraction, Proceedings of the Events and Stories in the News Workshop, pp. 77-86, (2017); Chen Y., Hou W., Li S., Wu C., Zhang X., End-to-end emotion-cause pair extraction with graph convolutional network, Proceedings of the 28th International Conference on Computational Linguistics, pp. 198-207, (2020); Datta S., Ganguly D., Roy D., Greene D., Jochim C., Bonin F., Overview of the causality-driven adhoc information retrieval (cair) task at fire-2020, Forum for Information Retrieval Evaluation, pp. 14-17, (2020); Degand L., Causal connectives or causal prepositions? discursive constraints, Journal of Pragmatics, 32, 6, pp. 687-707, (2000); Do Q.X., Chan Y.S., Roth D., Minimally supervised event causality identification, Proceedings of the Conference on Empirical Methods in Natural Language Processing, EMNLP'11, pp. 294-303, (2011); Drury B., Rocha C., Moura M.-F., De Andrade Lopes A., The extraction from news stories a causal topic centred Bayesian graph for sugarcane, Proceedings of the 20th International Database Engineering &amp; Applications Symposium. ACM, pp. 364-369, (2016); Zhao K., Ji D., He F., Liu Y., Ren Y., Document-level event causality identification via graph inference mechanism, Information Sciences, 561, pp. 115-129, (2021); He Z., Cao P., Jin Z., Chen Y., Liu K., Zhang Z., Sun M., Zhao J., Zero-Shot Cross-Lingual Document-Level Event Causality Identification with Heterogeneous Graph Contrastive Transfer Learning, Proceedings of the 2024 Joint International Conference on Computational Linguistics, Language Resources and Evaluation (LREC-COLING 2024), pp. 17833-17850, (2024); Whitehouse C., Choudhury M., Fikri Aji A., LLM-powered Data Augmentation for Enhanced Cross-lingual Performance, Proceedings of the 2023 Conference on Empirical Methods in Natural Language Processing, pp. 671-686, (2023); Ye J., Xu N., Wang Y., Zhou J., Zhang Q., Gui T., Huang X., LLM-DA: Data Augmentation via Large Language Models for Few-Shot Named Entity Recognition, (2024)</t>
  </si>
  <si>
    <t>Z. He; State Grid Xiong'an Financial Technology Group, General Business Department, Beijing, China; email: 1484197050@qq.com</t>
  </si>
  <si>
    <t>5th International Conference on Artificial Intelligence and Computer Engineering, ICAICE 2024</t>
  </si>
  <si>
    <t>8 November 2024 through 10 November 2024</t>
  </si>
  <si>
    <t>Wuhu</t>
  </si>
  <si>
    <t>206637.0</t>
  </si>
  <si>
    <t>979-833152891-1</t>
  </si>
  <si>
    <t>Int. Conf. Artif. Intell. Comput. Eng., ICAICE</t>
  </si>
  <si>
    <t>2-s2.0-85218462715</t>
  </si>
  <si>
    <t>Choi M.; Lim H.; Choo J.</t>
  </si>
  <si>
    <t>Choi, Minseok (58428022300); Lim, Hyesu (57323515400); Choo, Jaegul (24512223400)</t>
  </si>
  <si>
    <t>58428022300; 57323515400; 24512223400</t>
  </si>
  <si>
    <t>PRiSM: Enhancing Low-Resource Document-Level Relation Extraction with Relation-Aware Score Calibration</t>
  </si>
  <si>
    <t>IJCNLP-AACL 2023 - 13th International Joint Conference on Natural Language Processing and the 3rd Conference of the Asia-Pacific Chapter of the Association for Computational Linguistics, Findings of the Association for Computational Linguistics: IJCNLP-AACL 2023</t>
  </si>
  <si>
    <t>39.0</t>
  </si>
  <si>
    <t>47.0</t>
  </si>
  <si>
    <t>https://www.scopus.com/inward/record.uri?eid=2-s2.0-85188516078&amp;partnerID=40&amp;md5=3935ca71365f61e46704482722f118ef</t>
  </si>
  <si>
    <t>KAIST AI, South Korea</t>
  </si>
  <si>
    <t>Choi M., KAIST AI, South Korea; Lim H., KAIST AI, South Korea; Choo J., KAIST AI, South Korea</t>
  </si>
  <si>
    <t>Document-level relation extraction (DocRE) aims to extract relations of all entity pairs in a document. A key challenge in DocRE is the cost of annotating such data which requires intensive human effort. Thus, we investigate the case of DocRE in a low-resource setting, and we find that existing models trained on low data overestimate the NA (‚Äúno relation‚Äù) label, causing limited performance. In this work, we approach the problem from a calibration perspective and propose PRiSM, which learns to adapt logits based on relation semantic information. We evaluate our method on three DocRE datasets and demonstrate that integrating existing models with PRiSM improves performance by as much as 26.38 F1 score, while the calibration error drops as much as 36 times when trained with about 3% of data. The code is publicly available at https://github.com/brightjade/PRiSM. ¬© 2023 Asian Federation of Natural Language Processing.</t>
  </si>
  <si>
    <t>Extraction; Natural language processing systems; Prisms; Semantics; Calibration error; F1 scores; Improve performance; Learn+; Low-resource settings; Performance; Relation extraction; Relation semantics; Semantics Information; Calibration</t>
  </si>
  <si>
    <t>Soares Livio Baldini, FitzGerald Nicholas, Ling Jeffrey, Kwiatkowski Tom, Matching the blanks: Distributional similarity for relation learning, Proceedings of the 57th Annual Meeting of the Association for Computational Linguistics, pp. 2895-2905, (2019); DeGroot Morris H, Fienberg Stephen E, The comparison and evaluation of forecasters, Journal of the Royal Statistical Society: Series D (The Statistician), 32, 1-2, pp. 12-22, (1983); Devlin Jacob, Chang Ming-Wei, Lee Kenton, Toutanova Kristina, BERT: Pre-training of deep bidirectional transformers for language understanding, Proceedings of the 2019 Conference of the North American Chapter of the Association for Computational Linguistics: Human Language Technologies, Volume 1 (Long and Short Papers), pp. 4171-4186, (2019); Dong Manqing, Pan Chunguang, Luo Zhipeng, MapRE: An effective semantic mapping approach for low-resource relation extraction, Proceedings of the 2021 Conference on Empirical Methods in Natural Language Processing, pp. 2694-2704, (2021); Du Yangkai, Ma Tengfei, Wu Lingfei, Wu Yiming, Zhang Xuhong, Long Bo, Ji Shouling, Improving long tailed document-level relation extraction via easy relation augmentation and contrastive learning, (2022); Guo Chuan, Pleiss Geoff, Sun Yu, Weinberger Kilian Q, On calibration of modern neural networks, International conference on machine learning, pp. 1321-1330, (2017); Islam Mobarakol, Seenivasan Lalithkumar, Ren Hongliang, Glocker Ben, Class-distribution-aware calibration for long-tailed visual recognition, (2021); Jia Robin, Wong Cliff, Poon Hoifung, Document-level n-ary relation extraction with multiscale representation learning, Proceedings of the 2019 Conference of the North American Chapter of the Association for Computational Linguistics: Human Language Technologies, Volume 1 (Long and Short Papers), pp. 3693-3704, (2019); Liu Yinhan, Ott Myle, Goyal Naman, Du Jingfei, Joshi Mandar, Chen Danqi, Levy Omer, Lewis Mike, Zettlemoyer Luke, Stoyanov Veselin, Roberta: A robustly optimized bert pretraining approach, (2019); Loshchilov Ilya, Hutter Frank, Decoupled weight decay regularization, International Conference on Learning Representations, (2019); Naeini Mahdi Pakdaman, Cooper Gregory, Hauskrecht Milos, Obtaining well calibrated probabilities using bayesian binning, Proceedings of the AAAI conference on artificial intelligence, 29, (2015); Niculescu-Mizil Alexandru, Caruana Rich, Predicting good probabilities with supervised learning, Proceedings of the 22nd international conference on Machine learning, pp. 625-632, (2005); Nixon Jeremy, Dusenberry Michael W, Zhang Linchuan, Jerfel Ghassen, Tran Dustin, Measuring calibration in deep learning, CVPR workshops, 2, (2019); ChatGPT March 23 Version, (2023); Shi Peng, Lin Jimmy, Simple bert models for relation extraction and semantic role labeling, (2019); Tan Qingyu, He Ruidan, Bing Lidong, Ng Hwee Tou, Document-level relation extraction with adaptive focal loss and knowledge distillation, Findings of the Association for Computational Linguistics: ACL 2022, pp. 1672-1681, (2022); Tan Qingyu, Xu Lu, Bing Lidong, Ng Hwee Tou, Aljunied Sharifah Mahani, Revisiting DocRED - addressing the false negative problem in relation extraction, Proceedings of the 2022 Conference on Empirical Methods in Natural Language Processing, pp. 8472-8487, (2022); Wang Hong, Focke Christfried, Sylvester Rob, Mishra Nilesh, Wang William, Fine-tune bert for docred with two-step process, (2019); Wolf Thomas, Debut Lysandre, Sanh Victor, Chaumond Julien, Delangue Clement, Moi Anthony, Cistac Pierric, Rault Tim, Louf Remi, Funtowicz Morgan, Davison Joe, Shleifer Sam, von Platen Patrick, Ma Clara, Jernite Yacine, Plu Julien, Xu Canwen, Le Scao Teven, Gugger Sylvain, Drame Mariama, Lhoest Quentin, Rush Alexander, Transformers: State-of-the-art natural language processing, Proceedings of the 2020 Conference on Empirical Methods in Natural Language Processing: System Demonstrations, pp. 38-45, (2020); Xie Yiqing, Shen Jiaming, Li Sha, Mao Yuning, Han Jiawei, Eider: Empowering document-level relation extraction with efficient evidence extraction and inference-stage fusion, Findings of the Association for Computational Linguistics: ACL 2022, pp. 257-268, (2022); Xu Benfeng, Wang Quan, Lyu Yajuan, Zhu Yong, Mao Zhendong, Entity structure within and throughout: Modeling mention dependencies for document-level relation extraction, Proceedings of the AAAI conference on artificial intelligence, 35, pp. 14149-14157, (2021); Yang Kaijia, Zheng Nantao, Dai Xinyu, He Liang, Huang Shujian, Chen Jiajun, Enhance prototypical network with text descriptions for few-shot relation classification, Proceedings of the 29th ACM International Conference on Information &amp; Knowledge Management, pp. 2273-2276, (2020); Yao Yuan, Ye Deming, Li Peng, Han Xu, Lin Yankai, Liu Zhenghao, Liu Zhiyuan, Huang Lixin, Zhou Jie, Sun Maosong, DocRED: A large-scale document-level relation extraction dataset, Proceedings of the 57th Annual Meeting of the Association for Computational Linguistics, pp. 764-777, (2019); Ye Deming, Lin Yankai, Du Jiaju, Liu Zhenghao, Li Peng, Sun Maosong, Liu Zhiyuan, Coreferential Reasoning Learning for Language Representation, Proceedings of the 2020 Conference on Empirical Methods in Natural Language Processing (EMNLP), pp. 7170-7186, (2020); Zaporojets Klim, Deleu Johannes, Develder Chris, Demeester Thomas, Dwie: An entity-centric dataset for multi-task document-level information extraction, Information Processing &amp; Management, 58, 4, (2021); Zhang Ningyu, Chen Xiang, Xie Xin, Deng Shumin, Tan Chuanqi, Chen Mosha, Huang Fei, Si Luo, Chen Huajun, Document-level relation extraction as semantic segmentation, Proceedings of the Thirtieth International Joint Conference on Artificial Intelligence, IJCAI-21, pp. 3999-4006, (2021); Zhang Peiyuan, Lu Wei, Better few-shot relation extraction with label prompt dropout, Proceedings of the 2022 Conference on Empirical Methods in Natural Language Processing, pp. 6996-7006, (2022); Zhang Yuhao, Zhong Victor, Chen Danqi, Angeli Gabor, Manning Christopher D., Position-aware attention and supervised data improve slot filling, Proceedings of the 2017 Conference on Empirical Methods in Natural Language Processing, pp. 35-45, (2017); Zhou Wenxuan, Huang Kevin, Ma Tengyu, Huang Jing, Document-level relation extraction with adaptive thresholding and localized context pooling, Proceedings of the AAAI Conference on Artificial Intelligence, 35, pp. 14612-14620, (2021); Zhou Wenxuan, Zhang Sheng, Naumann Tristan, Chen Muhao, Poon Hoifung, Continual contrastive finetuning improves low-resource relation extraction, Proceedings of the 61st Annual Meeting of the Association for Computational Linguistics (Volume 1: Long Papers), pp. 13249-13263, (2023)</t>
  </si>
  <si>
    <t>Park J.C.; Arase Y.; Hu B.; Lu W.; Wijaya D.; Purwarianti A.; Krisnadhi A.A.</t>
  </si>
  <si>
    <t>ModelBest; NiuTrans.com; Translated.; Vivo; Zhipu.AI</t>
  </si>
  <si>
    <t>13th International Joint Conference on Natural Language Processing and the 3rd Conference of the Asia-Pacific Chapter of the Association for Computational Linguistics: Findings of the Association for Computational Linguistic, IJCNLP-AACL 2023</t>
  </si>
  <si>
    <t>1 November 2023 through 4 November 2023</t>
  </si>
  <si>
    <t>Nusa Dua, Bali</t>
  </si>
  <si>
    <t>197967.0</t>
  </si>
  <si>
    <t>979-889176018-9</t>
  </si>
  <si>
    <t>IJCNLP-AACL - Int. Jt. Conf. Nat. Lang. Process. Conf. Asia-Pacific Chapter Assoc. Comput. Linguist., Find. Assoc Comput. Linguist.: IJCNLP-AACL</t>
  </si>
  <si>
    <t>2-s2.0-85188516078</t>
  </si>
  <si>
    <t>Han P.; Liang G.; Wang Y.</t>
  </si>
  <si>
    <t>Han, Peisheng (57072499600); Liang, Geng (59552118400); Wang, Yongfei (55762258300)</t>
  </si>
  <si>
    <t>57072499600; 59552118400; 55762258300</t>
  </si>
  <si>
    <t>A Zero-Shot Framework for Low-Resource Relation Extraction via Distant Supervision and Large Language Models</t>
  </si>
  <si>
    <t>Electronics (Switzerland)</t>
  </si>
  <si>
    <t>10.3390/electronics14030593</t>
  </si>
  <si>
    <t>https://www.scopus.com/inward/record.uri?eid=2-s2.0-85217573729&amp;doi=10.3390%2felectronics14030593&amp;partnerID=40&amp;md5=328e326276c11f573e1073d524714b8f</t>
  </si>
  <si>
    <t>Institute of Cryptographic Engineering, PLA Information Engineering University, Zhengzhou, 450001, China</t>
  </si>
  <si>
    <t>Han P., Institute of Cryptographic Engineering, PLA Information Engineering University, Zhengzhou, 450001, China; Liang G., Institute of Cryptographic Engineering, PLA Information Engineering University, Zhengzhou, 450001, China; Wang Y., Institute of Cryptographic Engineering, PLA Information Engineering University, Zhengzhou, 450001, China</t>
  </si>
  <si>
    <t>While Large Language Models (LLMs) have significantly advanced various benchmarks in Natural Language Processing (NLP), the challenge of low-resource tasks persists, primarily due to the scarcity of data and difficulties in annotation. This study introduces LoRE, a framework designed for zero-shot relation extraction in low-resource settings, which blends distant supervision with the powerful capabilities of LLMs. LoRE addresses the challenges of data sparsity and noise inherent in traditional distant supervision methods, enabling high-quality relation extraction without requiring extensive labeled data. By leveraging LLMs for zero-shot open information extraction and incorporating heuristic entity and relation alignment with semantic disambiguation, LoRE enhances the accuracy and relevance of the extracted data. Low-resource tasks refer to scenarios where labeled data are extremely limited, making traditional supervised learning approaches impractical. This study aims to develop a robust framework that not only tackles these challenges but also demonstrates the theoretical and practical implications of zero-shot relation extraction. The Chinese Person Relationship Extraction (CPRE) dataset, developed under this framework, demonstrates LoRE‚Äôs proficiency in extracting person-related triples. The CPRE dataset consists of 1000 word pairs, capturing diverse semantic relationships. Extensive experiments on the CPRE, IPRE, and DuIE datasets show significant improvements in dataset quality and a reduction in manual annotation efforts. These findings highlight the potential of LoRE to advance both the theoretical understanding and practical applications of relation extraction in low-resource settings. Notably, the performance of LoRE on the manually annotated DuIE dataset attests to the quality of the CPRE dataset, rivaling that of manually curated datasets, and highlights LoRE‚Äôs potential for reducing the complexities and costs associated with dataset construction for zero-shot and low-resource tasks. ¬© 2025 by the authors.</t>
  </si>
  <si>
    <t>distant supervision; knowledge graphs; large language models; low-resource relation extraction; zero-shot learning</t>
  </si>
  <si>
    <t>National Natural Science Foundation of China, NSFC, (61572517); National Natural Science Foundation of China, NSFC</t>
  </si>
  <si>
    <t>This work was supported in part by the National Natural Science Foundation of China (61572517).</t>
  </si>
  <si>
    <t>Zhou W., Zhang S., Naumann T., Chen M., Poon H., Continual Contrastive Finetuning Improves Low-Resource Relation Extraction, Proceedings of the 61st Annual Meeting of the Association for Computational Linguistics (Volume 1: Long Papers), pp. 13249-13263; Gururaja S., Dutt R., Liao T., Rose C., Linguistic representations for fewer-shot relation extraction across domains, Proceedings of the 61st Annual Meeting of the Association for Computational Linguistics (Volume 1: Long Papers), pp. 7502-7514; Xu B., Wang Q., Lyu Y., Dai D., Zhang Y., Mao Z., S2ynRE: Two-stage Self-training with Synthetic data for Low-resource Relation Extraction, Proceedings of the 61st Annual Meeting of the Association for Computational Linguistics (Volume 1: Long Papers), pp. 8186-8207; Bonifacio L., Abonizio H., Fadaee M., Nogueira R., Inpars: Data augmentation for information retrieval using large language models, arXiv, (2022); Gholami S., Omar M., Does Synthetic Data Make Large Language Models More Efficient?, arXiv, (2023); Mintz M., Bills S., Snow R., Jurafsky D., Distant Supervision for Relation Extraction without Labeled Data, Proceedings of the Joint Conference of the 47th Annual Meeting of the ACL and the 4th International Joint Conference on Natural Language Processing of the AFNLP: Volume 2‚ÄîVolume 2, ACL ‚Äô09, pp. 1003-1011; Schick T., Schutze H., True Few-Shot Learning with Prompts‚ÄîA Real-World Perspective, Trans. Assoc. Comput. Linguist, 10, pp. 716-731, (2022); Xiao Y., Jin Y., Cheng R., Hao K., Hybrid attention-based transformer block model for distant supervision relation extraction, Neurocomputing, 470, pp. 29-39, (2022); Ben Abacha A., Zweigenbaum P., Automatic extraction of semantic relations between medical entities: A rule based approach, J. Biomed. Semant, 2, pp. 1-11, (2011); Cui M., Li L., Wang Z., You M., A Survey on Relation Extraction, Proceedings of the Knowledge Graph and Semantic Computing. Language, Knowledge, and Intelligence, pp. 50-58, (2017); Zhou K., Qiao Q., Li Y., Li Q., Improving Distantly Supervised Relation Extraction by Natural Language Inference, Proc. AAAI Conf. Artif. Intell, 37, pp. 14047-14055, (2023); Chen J., Guo Z., Yang J., Distant Supervision for Relation Extraction via Noise Filtering, Proceedings of the 2021 13th International Conference on Machine Learning and Computing, ICMLC ‚Äô21, pp. 361-367; Kumar V., Ntoutsi E., Rajawat P.S., Medda G., Recupero D.R., Unlocking LLMs: Addressing Scarce Data and Bias Challenges in Mental Health, arXiv, (2024); Hiller M., Ma R., Harandi M., Drummond T., Rethinking generalization in few-shot classification, Adv. Neural Inf. Process. Syst, 35, pp. 3582-3595, (2022); Wadhwa S., Amir S., Wallace B., Revisiting Relation Extraction in the era of Large Language Models, Proceedings of the 61st Annual Meeting of the Association for Computational Linguistics (Volume 1: Long Papers), pp. 15566-15589; Xu X., Zhu Y., Wang X., Zhang N., How to Unleash the Power of Large Language Models for Few-shot Relation Extraction?, Proceedings of the Fourth Workshop on Simple and Efficient Natural Language Processing (SustaiNLP), pp. 190-200; Li B., Fang G., Yang Y., Wang Q., Ye W., Zhao W., Zhang S., Evaluating ChatGPT‚Äôs Information Extraction Capabilities: An Assessment of Performance, Explainability, Calibration, and Faithfulness, arXiv, (2023); Liu H., GitHub Repository, (2018); Li J., Cheng X., Zhao W.X., Nie J.Y., Wen J.R., Halueval: A large-scale hallucination evaluation benchmark for large language models, arXiv, (2023); Huang C., Li X., Jiang Y., Lv W., Xu M., Feature Extension for Chinese Short Text Based on Tongyici Cilin, Computer and Information Science, pp. 167-180, (2023); Li S., He W., Shi Y., Jiang W., Liang H., Jiang Y., Zhang Y., Lyu Y., Zhu Y., DuIE: A Large-Scale Chinese Dataset for Information Extraction, Natural Language Processing and Chinese Computing: 8th CCF International Conference, NLPCC 2019, Dunhuang, China, October 9‚Äì14, 2019, Proceedings, Part II 8, pp. 791-800, (2019); Wang H., He Z., Ma J., Chen W., Zhang M., IPRE: A Dataset for Inter-Personal Relationship Extraction, Natural Language Processing and Chinese Computing: 8th CCF International Conference, NLPCC 2019, Dunhuang, China, October 9‚Äì14, 2019, Proceedings, Part II 8, pp. 103-115, (2019); Brody S., Wu S., Benton A., Towards realistic few-shot relation extraction, Proceedings of the 2021 Conference on Empirical Methods in Natural Language Processing, pp. 5338-5345; Devlin J., Chang M.W., Lee K., Toutanova K., BERT: Pre-training of Deep Bidirectional Transformers for Language Understanding, Proceedings of the 2019 Conference of the North American Chapter of the Association for Computational Linguistics: Human Language Technologies, Volume 1 (Long and Short Papers), pp. 4171-4186; Huguet Cabot P.L., Navigli R., REBEL: Relation Extraction By End-to-end Language generation, Proceedings of the Findings of the Association for Computational Linguistics: EMNLP 2021, pp. 2370-2381; Radford A., Wu J., Child R., Luan D., Amodei D., Sutskever I., Language models are unsupervised multitask learners, OpenAI Blog, 1, (2019); Shang Y.M., Huang H., Mao X., OneRel: Joint Entity and Relation Extraction with One Module in One Step, Proceedings of the AAAI Conference on Artificial Intelligence, 36, pp. 11285-11293; Wei Z., Su J., Wang Y., Tian Y., Chang Y., A Novel Cascade Binary Tagging Framework for Relational Triple Extraction, Proceedings of the 58th Annual Meeting of the Association for Computational Linguistics, pp. 1476-1488</t>
  </si>
  <si>
    <t>P. Han; Institute of Cryptographic Engineering, PLA Information Engineering University, Zhengzhou, 450001, China; email: hps9743003@163.com</t>
  </si>
  <si>
    <t>Multidisciplinary Digital Publishing Institute (MDPI)</t>
  </si>
  <si>
    <t>2-s2.0-85217573729</t>
  </si>
  <si>
    <t>Hu X.; Chen J.; Meng S.; Wen L.; Yu P.S.</t>
  </si>
  <si>
    <t>Hu, Xuming (57219742451); Chen, Junzhe (58547232700); Meng, Shiao (57985444300); Wen, Lijie (14030649200); Yu, Philip S. (7402366049)</t>
  </si>
  <si>
    <t>57219742451; 58547232700; 57985444300; 14030649200; 7402366049</t>
  </si>
  <si>
    <t>SelfLRE: Self-refining Representation Learning for Low-resource Relation Extraction</t>
  </si>
  <si>
    <t>SIGIR 2023 - Proceedings of the 46th International ACM SIGIR Conference on Research and Development in Information Retrieval</t>
  </si>
  <si>
    <t>2364.0</t>
  </si>
  <si>
    <t>2368.0</t>
  </si>
  <si>
    <t>5.0</t>
  </si>
  <si>
    <t>10.1145/3539618.3592058</t>
  </si>
  <si>
    <t>https://www.scopus.com/inward/record.uri?eid=2-s2.0-85168665422&amp;doi=10.1145%2f3539618.3592058&amp;partnerID=40&amp;md5=122e89254cde615a18bce905f834f1bf</t>
  </si>
  <si>
    <t>Tsinghua University, China; University of Illinois, Chicago, United States</t>
  </si>
  <si>
    <t>Hu X., Tsinghua University, China; Chen J., Tsinghua University, China; Meng S., Tsinghua University, China; Wen L., Tsinghua University, China; Yu P.S., University of Illinois, Chicago, United States</t>
  </si>
  <si>
    <t>Low-resource relation extraction (LRE) aims to extract potential relations from limited labeled corpus to handle the problem of scarcity of human annotations. Previous works mainly consist of two categories of methods: (1) Self-training methods, which improve themselves through the models' predictions, thus suffering from confirmation bias when the predictions are wrong. (2) Self-ensembling methods, which learn task-agnostic representations, therefore, generally do not work well for specific tasks. In our work, we propose a novel LRE architecture named SelfLRE, which leverages two complementary modules, one module uses self-training to obtain pseudo-labels for unlabeled data, and the other module uses self-ensembling learning to obtain the task-agnostic representations, and leverages the existing pseudo-labels to refine the better task-specific representations on unlabeled data. The two models are jointly trained through multi-task learning to iteratively improve the effect of LRE task. Experiments on three public datasets show that SelfLRE achieves 1.81% performance gain over the SOTA baseline. Source code is available at: https://github.com/THU-BPM/SelfLRE. ¬© 2023 Copyright held by the owner/author(s).</t>
  </si>
  <si>
    <t>Low-resource Relation Extraction; Representation Learning</t>
  </si>
  <si>
    <t>Data mining; Iterative methods; Learning systems; Confirmation bias; Human annotations; Learn+; Low-resource relation extraction; Model prediction; Relation extraction; Representation learning; Self-training; Training methods; Unlabeled data; Extraction</t>
  </si>
  <si>
    <t>Beijing Key Laboratory of Industrial Bigdata System; National Science Foundation, NSF, (III1909323); National Natural Science Foundation of China, NSFC, (62021002); National Key Research and Development Program of China, NKRDPC, (2019YFB1704003)</t>
  </si>
  <si>
    <t>Lijie Wen is the corresponding author. Xuming Hu and Junzhe Chen have made equal contributions to this work. The work was supported by the National Key Research and Development Program of China (No. 2019YFB1704003), the National Nature Science Foundation of China (No. 62021002), NSF under grants III1909323, Tsinghua BNRist and Beijing Key Laboratory of Industrial Bigdata System and Application.</t>
  </si>
  <si>
    <t>Ajjour Y., Braslavski P., Bondarenko A., Stein B., Identifying argumentative questions in web search logs, Proc. of SIGIR., pp. 2393-2399, (2022); Chakrabarti S., Deep knowledge graph representation learning for completion, alignment, and question answering, Proc. of SIGIR., pp. 3451-3454, (2022); Chen X., Li L., Zhang N., Tan C., Huang F., Si L., Chen H., Relation Extraction as Open-book Examination: Retrieval-enhanced Prompt Tuning, Proc. of SIGIR., pp. 2443-2448, (2022); Chu X., Zhao J., Zou L., Yin D., H-ERNIE: A multigranularity pre-trained language model for web search, Proc. of SIGIR., pp. 1478-1489, (2022); Devlin J., Chang M.-W., Lee K., Toutanova K., BERT: Pre-training of Deep Bidirectional Transformers for Language Understanding, Proc. of NAACL-HLT., pp. 4171-4186, (2019); Ghoshal A., Iyer S., Paranjape B., Lakhotia K., Yih S.W.-T., Mehdad Y., QUASER: Question Answering with Scalable Extractive Rationalization, Proc. of SIGIR., pp. 1208-1218, (2022); Hendrickx I., Kim S.N., Kozareva Z., Nakov P., Seaghdha D.O., Pado S., Pennacchiotti M., Romano L., Szpakowicz S., Semeval-2010 task 8: Multi-way classification of semantic relations between pairs of nominals, Proc. of SemEval., pp. 33-38, (2010); Hu X., Ma F., Liu C., Zhang C., Wen L., Yu P.S., Semi-supervised Relation Extraction via Incremental Meta Self-Training, Proc. of EMNLP: Findings., (2021); Hu X., Zhang C., Yang Y., Li X., Lin L., Wen L., Yu Philip S., Gradient Imitation Reinforcement Learning for Low Resource Relation Extraction, Proc. of EMNLP., pp. 2737-2746, (2021); Jaiswal A., Babu A.R., Zadeh M.Z., Banerjee D., Makedon F., A survey on contrastive self-supervised learning, Technologies, 9, 1, (2020); Kazai G., Thomas P., Craswell N., The emotion profile of web search, Proc. of SIGIR., pp. 1097-1100, (2019); Kingma D.P., Ba J., Adam: A method for stochastic optimization, Proc. of ICLR., (2015); Kumar P., Rawat P., Chauhan S., Contrastive self-supervised learning: review, progress, challenges and future research directions, International Journal of Multimedia Information Retrieval, 11, 4, pp. 461-488, (2022); Li J., Xiong C., Hoi S.C.H., Comatch: Semi-supervised learning with contrastive graph regularization, Proc. of ICCV., pp. 9475-9484, (2021); Li W., Qian T., Exploit Multiple Reference Graphs for Semi-supervised Relation Extraction, (2020); Li W., Qian T., Chen X., Tang K., Zhan S., Zhan T., Exploit a Multi-head Reference Graph for Semi-supervised Relation Extraction, Proc. of IJCNN. IEEE, pp. 1-7, (2021); Lin H., Yan J., Qu M., Ren X., Learning dual retrieval module for semi-supervised relation extraction, Proc. of WWW., pp. 1073-1083, (2019); Liu X., Zhang F., Hou Z., Mian L., Wang Z., Zhang J., Tang J., Self-supervised learning: Generative or contrastive, IEEE Transactions on Knowledge and Data Engineering, 35, 1, pp. 857-876, (2021); Mao B., Jia C., Huang Y., He K., Wu J., Gong T., Li C., Uncertainty-guided Mutual Consistency Training for Semi-supervised Biomedical Relation Extraction, Proc. of BIBM. IEEE, pp. 2318-2325, (2022); Qu C., Yang L., Chen C., Qiu M., Bruce Croft W., Iyyer M., Open-retrieval conversational question answering, Proc. of SIGIR., pp. 539-548, (2020); Rosenberg C., Hebert M., Schneiderman H., Semi-supervised self-training of object detection models, (2005); Soares L.B., FitzGerald N., Ling J., Kwiatkowski T., Matching the Blanks: Distributional Similarity for Relation Learning, Proc. of ACL., pp. 2895-2905, (2019); Stoica G., Platanios E.A., Poczos B., Re-tacred: Addressing shortcomings of the tacred dataset, Proc. of AAAI, 35, pp. 13843-13850, (2021); Tarvainen A., Valpola H., Mean teachers are better role models: Weight-averaged consistency targets improve semi-supervised deep learning results, NeurIPS, pp. 1195-1204, (2017); Teru K.K., On Data Augmentation and Consistency-based Semi-supervised Relation Extraction, First Workshop on Interpolation Regularizers and Beyond at NeurIPS 2022, (2022); Van Der Maaten L., Accelerating t-SNE using tree-based algorithms, The journal of machine learning research, 15, 1, pp. 3221-3245, (2014); Yu J., Wang X., Zhao J., Yang C., Chen W., STAD: Self-Training with Ambiguous Data for Low-Resource Relation Extraction, Proc. of COLING., pp. 2044-2054, (2022); Zhang S., Lu X., Wu J., Co-Training with Validation: A Generic Framework for Semi-Supervised Relation Extraction, Proc. of CIKM., pp. 4697-4701, (2022); Zhang Y., Zhong V., Chen D., Angeli G., Manning C.D., Position-aware attention and supervised data improve slot filling, Proc. of EMNLP., pp. 35-45, (2017)</t>
  </si>
  <si>
    <t>Association for Computing Machinery, Inc</t>
  </si>
  <si>
    <t>ACM SIGIR</t>
  </si>
  <si>
    <t>46th International ACM SIGIR Conference on Research and Development in Information Retrieval, SIGIR 2023</t>
  </si>
  <si>
    <t>23 July 2023 through 27 July 2023</t>
  </si>
  <si>
    <t>Taipei</t>
  </si>
  <si>
    <t>190882.0</t>
  </si>
  <si>
    <t>978-145039408-6</t>
  </si>
  <si>
    <t>SIGIR - Proc. Int. ACM SIGIR Conf. Res. Dev. Inf. Retr.</t>
  </si>
  <si>
    <t>All Open Access; Hybrid Gold Open Access</t>
  </si>
  <si>
    <t>2-s2.0-85168665422</t>
  </si>
  <si>
    <t>Lu Y.; Shi H.; Li J.; Chen T.; Wang X.; Tang S.</t>
  </si>
  <si>
    <t>Lu, Yilin (58537405100); Shi, Haochen (57220548974); Li, Juncheng (58747956200); Chen, Tao (57212144089); Wang, Xiaoqiang (55866350100); Tang, Siliang (55449979900)</t>
  </si>
  <si>
    <t>58537405100; 57220548974; 58747956200; 57212144089; 55866350100; 55449979900</t>
  </si>
  <si>
    <t>Reasoning Makes Good Annotators: An Automatic Task-specific Rules Distilling Framework for Low-resource Relation Extraction</t>
  </si>
  <si>
    <t>Findings of the Association for Computational Linguistics: EMNLP 2023</t>
  </si>
  <si>
    <t>7447.0</t>
  </si>
  <si>
    <t>7457.0</t>
  </si>
  <si>
    <t>https://www.scopus.com/inward/record.uri?eid=2-s2.0-85183304000&amp;partnerID=40&amp;md5=42e23681af65f2de830e996e9d7c0dbf</t>
  </si>
  <si>
    <t>Zhejiang University, China; Universit√© de Montr√©al, Canada</t>
  </si>
  <si>
    <t>Lu Y., Zhejiang University, China; Shi H., Universit√© de Montr√©al, Canada; Li J., Zhejiang University, China; Chen T., Zhejiang University, China; Wang X., Zhejiang University, China; Tang S., Zhejiang University, China</t>
  </si>
  <si>
    <t>Relation extraction is often challenged by insufficient labeled data. Previous methods exploit knowledge from unlabeled data by generating pseudo labels in a self-training pipeline, which suffers a gradual drift problem. Logic rules, a transferable and explainable form of expert knowledge, have achieved promising success by improving the model with weak labels. But manually writing comprehensive rules set is challenging and tedious. To alleviate the human labor of writing high-quality rules, in this work, we propose ARIA, an Automatic task-specific Rules dIstilling frAmework. Specifically, we guide the pre-trained language model to reason rules as experts and compose them into robust compound rules for data labeling. Besides, ARIA could continuously enrich the rules set to power the labeling ability by discovering reliable model-labeled data for distinguishable rules generation. Experiments on two public datasets demonstrate the effectiveness of ARIA in a low-resource scenario. ¬© 2023 Association for Computational Linguistics.</t>
  </si>
  <si>
    <t>Computational linguistics; Drift problem; Expert knowledge; Human labor; Labeled data; Logic rules; Relation extraction; Rule set; Self-training; Unlabeled data; Weak labels; Extraction</t>
  </si>
  <si>
    <t>Ant Group and Alibaba-Zhejiang University Joint Research Institute of Frontier Technologies; Key Research and Development Projects in Zhejiang Province, (2023C01030, 2023C01032); National Natural Science Foundation of China, NSFC, (62272411); National Natural Science Foundation of China, NSFC; Natural Science Foundation of Zhejiang Province, ZJNSF, (LR21F020004); Natural Science Foundation of Zhejiang Province, ZJNSF; National Key Research and Development Program of China, NKRDPC, (2018AAA0101900); National Key Research and Development Program of China, NKRDPC</t>
  </si>
  <si>
    <t>This work has been supported in part by the Zhejiang NSF (LR21F020004), Key Research and Development Projects in Zhejiang Province (No. 2023C01030, 2023C01032), NSFC (No. 62272411), National Key Research and Development Program of China (2018AAA0101900), Ant Group and Alibaba-Zhejiang University Joint Research Institute of Frontier Technologies.</t>
  </si>
  <si>
    <t>French Geoff, Mackiewicz Michal, Fisher Mark, Self-ensembling for visual domain adaptation, International Conference on Learning Representations, (2018); Han Bo, Yao Quanming, Yu Xingrui, Niu Gang, Xu Miao, Hu Weihua, Tsang Ivor W, Sugiyama Masashi, Co-teaching: Robust training of deep neural networks with extremely noisy labels, NeurIPS, (2018); Hendrickx Iris, Kim Su Nam, Kozareva Zornitsa, Nakov Preslav, Seaghdha Diarmuid O, Pado Sebastian, Pennacchiotti Marco, Romano Lorenza, Szpakowicz Stan, Semeval-2010 task 8: Multiway classification of semantic relations between pairs of nominals, Proceedings of the 5th International Workshop on Semantic Evaluation, pp. 33-38, (2010); Hochreiter Sepp, Schmidhuber Jurgen, Long short-term memory, Neural computation, 9, 8, pp. 1735-1780, (1997); Hu Xuming, Zhang Chenwei, Ma Fukun, Liu Chenyao, Wen Lijie, Yu Philip S, Semi-supervised relation extraction via incremental meta self-training, Findings of the Association for Computational Linguistics: EMNLP 2021, pp. 487-496, (2021); Hu Xuming, Zhang Chenwei, Yang Yawen, Li Xiaohe, Lin Li, Wen Lijie, Yu Philip S, Gradient imitation reinforcement learning for low resource relation extraction, Proceedings of the 2021 Conference on Empirical Methods in Natural Language Processing, pp. 2737-2746, (2021); Devlin Ming-Wei Jacob, Kenton Chang, Toutanova Lee Kristina, Bert: Pre-training of deep bidirectional transformers for language understanding, Proceedings of NAACL-HLT, pp. 4171-4186, (2019); Kojima Takeshi, Gu Shixiang Shane, Reid Machel, Matsuo Yutaka, Iwasawa Yusuke, Large language models are zero-shot reasoners, (2022); Li Juncheng, Gao Minghe, Wei Longhui, Tang Siliang, Zhang Wenqiao, Li Mengze, Ji Wei, Tian Qi, Chua Tat-Seng, Zhuang Yueting, Gradient-regulated meta-prompt learning for generalizable vision-language models, (2023); Li Juncheng, He Xin, Wei Longhui, Qian Long, Zhu Linchao, Xie Lingxi, Zhuang Yueting, Tian Qi, Tang Siliang, Fine-grained semantically aligned vision-language pre-training, Advances in neural information processing systems, 35, pp. 7290-7303, (2022); Li Juncheng, Tang Siliang, Zhu Linchao, Shi Haochen, Huang Xuanwen, Wu Fei, Yang Yi, Zhuang Yueting, Adaptive hierarchical graph reasoning with semantic coherence for video-and-language inference, Proceedings of the IEEE/CVF International Conference on Computer Vision, pp. 1867-1877, (2021); Li Juncheng, Wang Xin, Tang Siliang, Shi Haizhou, Wu Fei, Zhuang Yueting, Wang William Yang, Unsupervised reinforcement learning of transferable meta-skills for embodied navigation, Proceedings of the IEEE/CVF Conference on Computer Vision and Pattern Recognition, pp. 12123-12132, (2020); Li Juncheng, Xie Junlin, Qian Long, Zhu Linchao, Tang Siliang, Wu Fei, Yang Yi, Zhuang Yueting, Wang Xin Eric, Compositional temporal grounding with structured variational cross-graph correspondence learning, Proceedings of the IEEE/CVF Conference on Computer Vision and Pattern Recognition, pp. 3032-3041, (2022); Li Wanli, Qian Tieyun, Exploit multiple reference graphs for semi-supervised relation extraction, (2020); Lin Hongtao, Yan Jun, Qu Meng, Ren Xiang, Learning dual retrieval module for semi-supervised relation extraction, The World Wide Web Conference, pp. 1073-1083, (2019); Liu Yinhan, Ott Myle, Goyal Naman, Du Jingfei, Joshi Mandar, Chen Danqi, Levy Omer, Lewis Mike, Zettlemoyer Luke, Stoyanov Veselin, Roberta: A robustly optimized bert pretraining approach, (2019); Lu Yilin, Wang Xiaoqiang, Yang Haofeng, Tang Siliang, Kice: A knowledge consolidation and expansion framework for relation extraction, Proceedings of the AAAI Conference on Artificial Intelligence, 37, 11, pp. 13336-13343, (2023); Pennington Jeffrey, Socher Richard, Manning Christopher D, Glove: Global vectors for word representation, Proceedings of the 2014 conference on empirical methods in natural language processing (EMNLP), pp. 1532-1543, (2014); Riedel Sebastian, Yao Limin, McCallum Andrew, Modeling relations and their mentions without labeled text, Proceedings of the 2010 European conference on Machine learning and knowledge discovery in databases: Part III, pp. 148-163, (2010); Rosenberg Chuck, Hebert Martial, Schneiderman Henry, Semi-supervised self-training of object detection models, Proceedings of the Seventh IEEE Workshops on Application of Computer Vision (WACV/MOTION'05), 1, pp. 29-36, (2005); Saparov Abulhair, He He, Language models are greedy reasoners: A systematic formal analysis of chain-of-thought, (2022); Sun Ang, Grishman Ralph, Active learning for relation type extension with local and global data views, Proceedings of the 21st ACM international conference on Information and knowledge management, pp. 1105-1112, (2012); Tarvainen Antti, Valpola Harri, Mean teachers are better role models: Weight-averaged consistency targets improve semi-supervised deep learning results, Advances in neural information processing systems, 30, (2017); Velickovic Petar, Cucurull Guillem, Casanova Arantxa, Romero Adriana, Lio Pietro, Bengio Yoshua, Graph attention networks, International Conference on Learning Representations, (2018); Wang Xuezhi, Wei Jason, Schuurmans Dale, Le Quoc, Chi Ed, Zhou Denny, Self-consistency improves chain of thought reasoning in language models, (2022); Wei Jason, Wang Xuezhi, Schuurmans Dale, Bosma Maarten, Chi Ed, Le Quoc, Zhou Denny, Chain of thought prompting elicits reasoning in large language models, (2022); Ye Zhi-Xiu, Ling Zhen-Hua, Distant supervision relation extraction with intra-bag and inter-bag attentions, Proceedings of the 2019 Conference of the North American Chapter of the Association for Computational Linguistics: Human Language Technologies, Volume 1 (Long and Short Papers), pp. 2810-2819, (2019); Yu Qifan, Li Juncheng, Wu Yu, Tang Siliang, Ji Wei, Zhuang Yueting, Visually-prompted language model for fine-grained scene graph generation in an open world, Proceedings of the IEEE/CVF International Conference on Computer Vision, (2023); Zeng Daojian, Liu Kang, Chen Yubo, Zhao Jun, Distant supervision for relation extraction via piecewise convolutional neural networks, Proceedings of the 2015 conference on empirical methods in natural language processing, pp. 1753-1762, (2015); Zhang Rongzhi, Yu Yue, Shetty Pranav, Song Le, Zhang Chao, Prompt-based rule discovery and boosting for interactive weakly-supervised learning, Proceedings of the 60th Annual Meeting of the Association for Computational Linguistics (Volume 1: Long Papers), pp. 745-758, (2022); Zhang Yuhao, Zhong Victor, Chen Danqi, Angeli Gabor, Manning Christopher D, Position-aware attention and supervised data improve slot filling, Proceedings of the 2017 Conference on Empirical Methods in Natural Language Processing, pp. 35-45, (2017); Zhou Wenxuan, Lin Hongtao, Lin Bill Yuchen, Wang Ziqi, Du Junyi, Neves Leonardo, Ren Xiang, Nero: A neural rule grounding framework for label-efficient relation extraction, Proceedings of The Web Conference 2020, pp. 2166-2176, (2020)</t>
  </si>
  <si>
    <t>J. Li; Zhejiang University, China; email: junchengli@zju.edu.cn</t>
  </si>
  <si>
    <t>Apple; Colossal-AI; et al.; Google Research; GTCOM; King Salman Global Academy for Arabic Language</t>
  </si>
  <si>
    <t>2023 Findings of the Association for Computational Linguistics: EMNLP 2023</t>
  </si>
  <si>
    <t>6 December 2023 through 10 December 2023</t>
  </si>
  <si>
    <t>Singapore</t>
  </si>
  <si>
    <t>196127.0</t>
  </si>
  <si>
    <t>979-889176061-5</t>
  </si>
  <si>
    <t>2-s2.0-85183304000</t>
  </si>
  <si>
    <t>Wang H.; Mao X.-L.; Huang H.</t>
  </si>
  <si>
    <t>Wang, Hao (59648940800); Mao, Xian-Ling (56949703000); Huang, Heyan (7405614195)</t>
  </si>
  <si>
    <t>59648940800; 56949703000; 7405614195</t>
  </si>
  <si>
    <t>A Semi-supervised Transfer Learning Framework for Low Resource Entity and Relation Extraction in Scientific Domain</t>
  </si>
  <si>
    <t>CEUR Workshop Proceedings</t>
  </si>
  <si>
    <t>41.0</t>
  </si>
  <si>
    <t>https://www.scopus.com/inward/record.uri?eid=2-s2.0-85138353661&amp;partnerID=40&amp;md5=b57203f9b0ae739e9ab77ae6980ee484</t>
  </si>
  <si>
    <t>Beijing Institute of Technology, No.5, Zhongguancun South Street, Beijing, 100081, China</t>
  </si>
  <si>
    <t>Wang H., Beijing Institute of Technology, No.5, Zhongguancun South Street, Beijing, 100081, China; Mao X.-L., Beijing Institute of Technology, No.5, Zhongguancun South Street, Beijing, 100081, China; Huang H., Beijing Institute of Technology, No.5, Zhongguancun South Street, Beijing, 100081, China</t>
  </si>
  <si>
    <t>With the development of scientific communities, the amount of papers increases quickly. It's important to convert the unstructured scientific papers into structured knowledge base, which relies on Information Extraction (IE) to extract entities and their relationships. Most existing IE methods require abundant annotated data, which is time-consuming and expensive to obtain, especially in scientific domain because it requires annotators with domain knowledge. Recently, several works have been proposed to solve the problem by semi-supervised learning. However, these methods require the input sentence to contain only two entities and simply classify the relationship between these two entities. Obviously, it is far from the realistic application scenarios that both entities and relations need to be extracted from raw text. In this paper, we propose a Semi-supervised Transfer Learning (STL) framework to tackle joint entity and relation extraction problem in a low resource situation. Specifically, STL adopts two main strategies: a rebalancing strategy for alleviating the bias to the majority class during semi-supervised learning, and a transfer learning strategy for transferring knowledge from domains with relatively rich annotation to domains that lack annotated data. Experiment results on two public scientific IE datasets show the effectiveness of the proposed method. ¬© 2022 Copyright for this paper by its author.</t>
  </si>
  <si>
    <t>Information Extraction; Semi-supervised Learning; Transfer Learning</t>
  </si>
  <si>
    <t>Data mining; Information retrieval; Learning algorithms; Learning systems; Transfer learning; Entity extractions; Information extraction; Learning frameworks; Relation extraction; Scientific community; Scientific papers; Semi-supervised; Semi-supervised learning; Structured knowledge; Transfer learning; Domain Knowledge</t>
  </si>
  <si>
    <t>Bekoulis Giannis, Deleu Johannes, Demeester Thomas, Develder Chris, Adversarial training for multi-context joint entity and relation extraction, InProceedings of the 2018 Conference on Empirical Methods in Natural LanguageProcessing, pp. 2830-2836, (2018); Beltagy Iz, Lo Kyle, Cohan Arman, SciBERT: A Pretrained LanguageModel for Scientific Text, Proceedings of the 2019 Conference on EmpiricalMethods in Natural Language Processing and the 9th International Joint Conferenceon Natural Language Processing (EMNLP-IJCNLP), pp. 3615-3620, (2019); Di Shimin, Shen Yanyan, Chen Lei, Relation extraction via domain-aware transfer learning, Proceedings of the 25th ACM SIGKDD internationalconference on knowledge discovery &amp; Data Mining, pp. 1348-1357, (2019); Eberts Markus, Ulges Adrian, Span-based joint entity and relation extraction with transformer pre-training, (2019); Gurulingappa Harsha, Rajput Abdul Mateen, Roberts Angus, Fluck Juliane, Hofmann-Apitius Mar-tin, Toldo Luca, Development of a benchmark corpusto support the automatic extraction of drug-related adverse effects from medicalcase reports, Journal of biomedical informatics, 45, 5, pp. 885-892, (2012); Hafiane Walid, Legrand Joel, Toussaint Yannick, Coulet Adrien, Experiments on transfer learning architectures for biomedical relation extraction, (2020); Hu Xuming, Zhang Chenwei, Ma Fukun, Liu Chenyao, Wen Lijie, Yu Philip S, Semi-supervised Relation Extraction via Incremental Meta Self-Training, InFindings of the Association for Computational Linguistics: EMNLP, 2021, pp. 487-496, (2021); Hu Xuming, Zhang Chenwei, Yang Yawen, Li Xiaohe, Lin Li, Wen Lijie, Philip andS Yu, Gradient Imitation Reinforcement Learning for Low ResourceRelation Extraction, Proceedings of the 2021 Conference on Empirical Methodsin Natural Language Processing, pp. 2737-2746, (2021); Jawahar Ganesh, Sagot Benoit, Seddah Djame, What does BERTlearn about the structure of language?, ACL 2019-57th Annual Meeting of theAssociation for Computational Linguistics, (2019); Lee Jinhyuk, Yoon Wonjin, Kim Sungdong, Kim Donghyeon, Kim Sunkyu, So Chan Ho, Kang Jaewoo, BioBERT: a pre-trained biomedical lan-guage representation model for biomedical text mining, Bioinformatics, 36, 4, pp. 1234-1240, (2020); Legrand Joel, Toussaint Yannick, Raissi Chedy, Coulet Adrien, Syntax-based transfer learning for the task of biomedical relation extraction, Journal ofBiomedical Semantics, 12, 1, pp. 1-11, (2021); Lin Hongtao, Yan Jun, Qu Meng, Ren Xiang, Learning dual retrievalmodule for semi-supervised relation extraction, The World Wide Web Confer-ence, pp. 1073-1083, (2019); Luan Yi, He Luheng, Ostendorf Mari, Hajishirzi Hannaneh, MultiTaskIdentification of Entities, Relations, and Coreference for Scientific KnowledgeGraph Construction, Proceedings of the 2018 Conference on Empirical Methodsin Natural Language Processing, pp. 3219-3232, (2018); Ruder Sebastian, Peters Matthew E, Swayamdipta Swabha, Wolf Thomas, Transfer learning in natural language processing, Proceedings of the2019 conference of the North American chapter of the association for computationallinguistics: Tutorials, pp. 15-18, (2019); Scudder Henry, Probability of error of some adaptive pattern-recognitionmachines, IEEE Transactions on Information Theory, 11, 3, pp. 363-371, (1965); Taille Bruno, Guigue Vincent, Scoutheeten Geoffrey, Gallinari Patrick, Let's Stop Incorrect Comparisons in End-to-end Relation Extraction! arXivpreprint, (2020); Vaswani Ashish, Shazeer Noam, Parmar Niki, Uszkoreit Jakob, Jones Llion, Gomez Aidan N, Kaiser Lukasz, Polosukhin Illia, Attention is allyou need, Advances in neural information processing systems, 30, (2017); Wei Chen, Sohn Kihyuk, Mellina Clayton, Yuille Alan, Yang Fan, Crest:A class-rebalancing self-training framework for imbalanced semi-supervisedlearning, Proceedings of the IEEE/CVF Conference on Computer Vision andPattern Recognition, pp. 10857-10866, (2021); Zhou Wenxuan, Lin Hongtao, Lin Bill Yuchen, Wang Ziqi, Du Junyi, LeonardoNeves, Ren Xiang, Nero: A neural rule grounding framework forlabel-efficient relation extraction, Proceedings of The Web Conference 2020, pp. 2166-2176, (2020)</t>
  </si>
  <si>
    <t>Zhang C.; Nanjing University of Science and Technology, No. 200, Xiaolinvgwei, Nanjing; Mayr P.; GESIS - Leibniz Institute for the Social Sciences, Knowledge Technologies for the Social Sciences, Unter Sachsenhausen 6-8, Cologne; Lu W.; Zhang Y.; University of Technology Sydney, Australian Artificial Intelligence Institute, 15 Broadway, Ultimo, NSW</t>
  </si>
  <si>
    <t>CEUR-WS</t>
  </si>
  <si>
    <t>3rd Workshop on Extraction and Evaluation of Knowledge Entities from Scientific Documents, EEKE 2022</t>
  </si>
  <si>
    <t>23 June 2022 through 24 June 2022</t>
  </si>
  <si>
    <t>Virtual, Online</t>
  </si>
  <si>
    <t>182600.0</t>
  </si>
  <si>
    <t>CEUR Workshop Proc.</t>
  </si>
  <si>
    <t>2-s2.0-85138353661</t>
  </si>
  <si>
    <t>Zheng Y.; Tuan L.A.</t>
  </si>
  <si>
    <t>Zheng, Yandan (58337888400); Tuan, Luu Anh (55490655100)</t>
  </si>
  <si>
    <t>58337888400; 55490655100</t>
  </si>
  <si>
    <t>Incorporating Template-Based Contrastive Learning into Cognitively Inspired, Low-Resource Relation Extraction</t>
  </si>
  <si>
    <t>Cognitive Computation</t>
  </si>
  <si>
    <t>3228.0</t>
  </si>
  <si>
    <t>3240.0</t>
  </si>
  <si>
    <t>10.1007/s12559-024-10343-8</t>
  </si>
  <si>
    <t>https://www.scopus.com/inward/record.uri?eid=2-s2.0-85203420716&amp;doi=10.1007%2fs12559-024-10343-8&amp;partnerID=40&amp;md5=593fd777db2e0b1ab1503649c1207628</t>
  </si>
  <si>
    <t>School of Computer Science and Engineering, Nanyang Technological University, Singapore, Singapore</t>
  </si>
  <si>
    <t>Zheng Y., School of Computer Science and Engineering, Nanyang Technological University, Singapore, Singapore; Tuan L.A., School of Computer Science and Engineering, Nanyang Technological University, Singapore, Singapore</t>
  </si>
  <si>
    <t>From an unstructured text, relation extraction (RE) predicts semantic relationships between pairs of entities. The process of labeling tokens and phrases can be very expensive and require a great deal of time and effort. The low-resource relation extraction (LRE) problem comes into being and is challenging since there are only a limited number of annotated sentences available. Recent research has focused on minimizing the cross-entropy loss between pseudo labels and ground truth or on using external knowledge to make annotations for unlabeled data. Existing methods, however, fail to take into account the semantics of relation types and the information hidden within different relation groups. By drawing inspiration from the process of human interpretation of unstructured documents, we introduce a Template-based Contrastive Learning (TempCL). Through the use of template, we limit the model‚Äôs attention to the semantic information that is contained in a relation. Then, we employ a contrastive learning strategy using both group-wise and instance-wise perspectives to leverage shared semantic information within the same relation type to achieve a more coherent semantic representation. Particularly, the proposed group-wise contrastive learning minimizes the discrepancy between the template and original sentences in the same label group and maximizes the difference between those from separate label groups under limited annotation settings. Our experiment results on two public datasets show that our model TempCL achieves state-of-the-art results for low-resource relation extraction in comparison to baselines. The relative error reductions range from 0.68 to 1.32%. Our model encourages the feature to be aligned with both the original and template sentences. Using two contrastive losses, we exploit shared semantic information underlying sentences (both original and template) that have the same relation type. We demonstrate that our method reduces the noise caused by tokens that are unrelated and constrains the model‚Äôs attention to the tokens that are related. ¬© The Author(s), under exclusive licence to Springer Science+Business Media, LLC, part of Springer Nature 2024.</t>
  </si>
  <si>
    <t>Cognitive computation; Contrastive learning; Information extraction; Low-resource extraction; Natural language processing; Relation extraction; Template learning</t>
  </si>
  <si>
    <t>Adversarial machine learning; Natural language processing systems; Semantics; Cognitive computation; Information extraction; Language processing; Low-resource extraction; Natural language processing; Natural languages; Relation extraction; Resource extraction; Template learning; Template-based; Contrastive Learning</t>
  </si>
  <si>
    <t>Chen M., Herrera F., Hwang K., Cognitive computing: Architecture, technologies and intelligent applications, IEEE Access, 6, pp. 19774-19783, (2018); Wu T., Li X., Li Y.F., Haffari G., Qi G., Zhu Y., Xu G., Curriculum-meta learning for order-robust continual relation extraction., (2021); Zeng W., Lin Y., Liu Z., Sun M., Incorporating relation paths in neural relation extraction, In EMNLP, pp. 1768-1777, (2017); Zhang Y., Zhong V., Chen D., Angeli G., Manning C.D., Position-aware attention and supervised data improve slot filling, In EMNLP, pp. 35-45, (2017); Mintz M., Bills S., Snow R., Jurafsky D., Distant supervision for relation extraction without labeled data, In ACL, pp. 1003-1011, (2009); Zeng D., Liu K., Chen Y., Zhao J., Distant supervision for relation extraction via piecewise convolutional neural networks, In EMNLP, pp. 1753-1762, (2015); Hu X., Zhang C., Ma F., Liu C., Wen L., Yu P.S., Semi-supervised relation extraction via incremental meta self-training, In EMNLP (Findings), pp. 487-496, (2021); Hu X., Zhang C., Yang Y., Li X., Lin L., Wen L., Yu P.S., Gradient imitation reinforcement learning for low resource relation extraction, EMNLP. 2021, pp. 2737-2746; Peng H., Gao T., Han X., Lin Y., Li P., Liu Z., Sun M., Zhou J., Learning from context or names? An empirical study on neural relation extraction, EMNLP., pp. 3661-3672, (2020); Jaiswal A., Babu A.R., Zadeh M.Z., Banerjee D., Makedon F., A survey on contrastive self-supervised learning, Technologies, 9, 1, (2021); Qin Y., Lin Y., Takanobu R., Liu Z., Li P., Ji H., Huang M., Sun M., Zhou J., ERICA: Improving entity and relation understanding for pre-trained language models via contrastive learning, ACL/IJCNLP. 2021, pp. 3350-3363; Hendrickx I., Kim S.N., Kozareva Z., Nakov P., Seaghdha D.O., Pado S., Pennacchiotti M., Romano L., Szpakowicz S., Semeval-2010 task 8: Multi-way classification of semantic relations between pairs of nominals, Semeval., pp. 33-38, (2010); Rosenberg C., Hebert M., Schneiderman H., Semi-supervised self-training of object detection models, WACV/MOTION. 2005, pp. 29-36; Tarvainen A., Valpola H., Mean teachers are better role models: Weight-averaged consistency targets improve semi-supervised deep learning results, NIPS. 2017, pp. 1195-1204; Lin H., Yan J., Qu M., Ren X., Learning dual retrieval module for semi-supervised relation extraction, WWW. 2019, pp. 1073-1083; Li W., Qian T., Exploit multiple reference graphs for semi-supervised relation extraction, (2020); Guo Z., Nanwei G., Cohen L.B., Learning latent forests for medical relation extraction, pp. 3651-3657, (2020); Nan G., Guo Z., Sekulic I., Lu W., Reasoning with latent structure refinement for document-level relation extraction, pp. 1546-1557, (2020); Yan Y., Li R., Wang S., Zhang F., Wu W., Xu W., Consert: A contrastive framework for self-supervised sentence representation transfer, Association for Computational Linguistics., pp. 5065-5075, (2021); Gao T., Yao X., Chen D., Simcse: Simple contrastive learning of sentence embeddings, Association for Computational Linguistics., pp. 6894-6910, (2021); Giorgi J.M., Nitski O., Wang B., Bader G.D., Declutr: Deep contrastive learning for unsupervised textual representations, Association for Computational Linguistics., pp. 879-885, (2021); Kim T., Yoo K.M., Lee S.-G., Self-guided contrastive learning for BERT sentence representations, Association for Computational Linguistics., pp. 2528-2540, (2021); Soares L.B., Fitzgerald N., Ling J., Kwiatkowski T., Matching the blanks: Distributional similarity for relation learning, pp. 2895-2905, (2019); Devlin J., Chang M.-W., Lee K., Toutanova K., BERT: Pre-training of deep bidirectional transformers for language understanding, In: NAACL-HLT, pp. 4171-4186, (2019); Movshovitz-Attias Y., Toshev A., Leung T.K., Ioffe S., Singh S., No fuss distance metric learning using proxies, ICCV, pp. 360-368, (2017); Laine S., Aila T., Temporal ensembling for semi-supervised learning, In: ICLR, (2017); Hu X., Chen J., Meng S., Wen L., Yu P.S., Selflre: Self-refining representation learning for low-resource relation extraction, In: Proceedings of the 46Th International ACM SIGIR Conference on Research and Development in Information Retrieval, SIGIR ‚Äô23, pp. 2364-2368, (2023); Mao B., Jia C., Huang Y., He K., Wu J., Gong T., Li C., Uncertainty-guided mutual consistency training for semi-supervised biomedical relation extraction, In: 2022 IEEE International Conference on Bioinformatics and Biomedicine (BIBM)., pp. 2318-2325, (2022)</t>
  </si>
  <si>
    <t>Y. Zheng; School of Computer Science and Engineering, Nanyang Technological University, Singapore, Singapore; email: yandan002@e.ntu.edu.sg</t>
  </si>
  <si>
    <t>Springer</t>
  </si>
  <si>
    <t>Cognitive Comput.</t>
  </si>
  <si>
    <t>2-s2.0-85203420716</t>
  </si>
  <si>
    <t>Yu J.; Wang X.; Zhao J.; Yang C.; Chen W.</t>
  </si>
  <si>
    <t>Yu, Junjie (57189380183); Wang, Xing (55978420400); Zhao, Jiangjiang (57205196519); Yang, Chunjie (57886354000); Chen, Wenliang (55715988100)</t>
  </si>
  <si>
    <t>57189380183; 55978420400; 57205196519; 57886354000; 55715988100</t>
  </si>
  <si>
    <t>STAD: Self-Training with Ambiguous Data for Low-Resource Relation Extraction</t>
  </si>
  <si>
    <t>Proceedings - International Conference on Computational Linguistics, COLING</t>
  </si>
  <si>
    <t>2044.0</t>
  </si>
  <si>
    <t>2054.0</t>
  </si>
  <si>
    <t>https://www.scopus.com/inward/record.uri?eid=2-s2.0-85165726808&amp;partnerID=40&amp;md5=fe65914586977432f7552b84bbef330c</t>
  </si>
  <si>
    <t>Institute of Artificial Intelligence, School of Computer Science and Technology, Soochow University, China; Tencent AI Lab, Shenzhen, China; China Mobile Online Marketing and Services Center, China</t>
  </si>
  <si>
    <t>Yu J., Institute of Artificial Intelligence, School of Computer Science and Technology, Soochow University, China; Wang X., Tencent AI Lab, Shenzhen, China; Zhao J., China Mobile Online Marketing and Services Center, China; Yang C., China Mobile Online Marketing and Services Center, China; Chen W., Institute of Artificial Intelligence, School of Computer Science and Technology, Soochow University, China</t>
  </si>
  <si>
    <t>We present a simple yet effective self-training approach, named as STAD, for low-resource relation extraction. The approach first classifies the auto-annotated instances into two groups: confident instances and uncertain instances, according to the probabilities predicted by a teacher model. In contrast to most previous studies, which mainly only use the confident instances for self-training, we make use of the uncertain instances. To this end, we propose a method to identify ambiguous but useful instances from the uncertain instances and then divide the relations into candidate-label set and negative-label set for each ambiguous instance. Next, we propose a set-negative training method on the negative-label sets for the ambiguous instances and a positive training method for the confident instances. Finally, a joint-training method is proposed to build the final relation extraction system on all data. Experimental results on two widely used datasets SemEval2010 Task-8 and Re-TACRED with low-resource settings demonstrate that this new self-training approach indeed achieves significant and consistent improvements when comparing to several competitive self-training systems. ¬© 2022 Proceedings - International Conference on Computational Linguistics, COLING. All rights reserved.</t>
  </si>
  <si>
    <t>Computational linguistics; Data mining; Ambiguous Data; Extraction systems; Label sets; Low-resource settings; Relation extraction; Self-training; Self-training approaches; Simple++; Teacher models; Training methods; Extraction</t>
  </si>
  <si>
    <t>National Natural Science Foundation of China, NSFC, (61876115, 61936010); Priority Academic Program Development of Jiangsu Higher Education Institutions, PAPD</t>
  </si>
  <si>
    <t>This work was supported by the National Natural Science Foundation of China (61876115 and Grant No. 61936010), the Priority Academic Program Development of Jiangsu Higher Education Institutions. The corresponding authors are Wenliang Chen and Jiangjiang Zhao. We thank the anonymous reviewers for their constructive comments.</t>
  </si>
  <si>
    <t>Cour Timothee, Sapp Ben, Taskar Ben, Learning from partial labels, JMLR, (2011); Deng Shumin, Zhang Ningyu, Chen Hui, Xiong Feiyu, Pan Jeff Z, Chen Huajun, Knowledge extraction in low-resource scenarios: survey and perspective, (2022); Devlin Jacob, Chang Ming-Wei, Lee Kenton, Toutanova Kristina, Bert: Pre-training of deep bidirectional transformers for language understanding, pp. 4171-4186, (2019); Dong Manqing, Pan Chunguang, Luo Zhipeng, Mapre: An effective semantic mapping approach for low-resource relation extraction, Proceedings of the 2021 Conference on Empirical Methods in Natural Language Processing, pp. 2694-2704, (2021); Du Jingfei, Grave Edouard, Gunel Beliz, Chaudhary Vishrav, Celebi Onur, Auli Michael, Stoyanov Veselin, Conneau Alexis, Self-training improves pre-training for natural language understanding, NAACL, (2021); Feng Lei, An Bo, Partial label learning with self-guided retraining, Proceedings of the AAAI Conference on Artificial Intelligence, 33, pp. 3542-3549, (2019); Han Xu, Zhu Hao, Yu Pengfei, Wang Ziyun, Yao Yuan, Liu Zhiyuan, Sun Maosong, Fewrel: A large-scale supervised few-shot relation classification dataset with state-of-the-art evaluation, Proceedings of the 2018 Conference on Empirical Methods in Natural Language Processing, pp. 4803-4809, (2018); Hendrickx Iris, Kim Su Nam, Kozareva Zornitsa, Nakov Preslav, Seaghdha Diarmuid O, Pado Sebastian, Pennacchiotti Marco, Romano Lorenza, Szpakowicz Stan, Semeval-2010 task 8: Multiway classification of semantic relations between pairs of nominals, SemEval, (2010); Hu Xuming, Zhang Chenwei, Ma Fukun, Liu Chenyao, Wen Lijie, Yu Philip S, Semi-supervised relation extraction via incremental meta self-training, Findings of the Association for Computational Linguistics: EMNLP 2021, pp. 487-496, (2021); Hu Xuming, Zhang Chenwei, Yang Yawen, Li Xiaohe, Lin Li, Wen Lijie, Yu Philip S, Gradient imitation reinforcement learning for low resource relation extraction, Proceedings of the 2021 Conference on Empirical Methods in Natural Language Processing, pp. 2737-2746, (2021); Jiao Wenxiang, Wang Xing, He Shilin, King Irwin, Lyu Michael, Tu Zhaopeng, Data rejuvenation: Exploiting inactive training examples for neural machine translation, EMNLP, (2020); Jiao Wenxiang, Wang Xing, Tu Zhaopeng, Shi Shuming, Lyu Michael, King Irwin, Self-training sampling with monolingual data uncertainty for neural machine translation, ACL-IJCNLP, (2021); Kim Youngdong, Yim Junho, Yun Juseung, Kim Junmo, Nlnl: Negative learning for noisy labels, ICCV, (2019); Lee Dong-Hyun, Pseudo-label: The simple and efficient semi-supervised learning method for deep neural networks, ICML, (2013); Levy Omer, Seo Minjoon, Choi Eunsol, Zettlemoyer Luke, Zero-shot relation extraction via reading comprehension, Proceedings of the 21st Conference on Computational Natural Language Learning (CoNLL 2017), pp. 333-342, (2017); Li Zhenghua, Zhang Min, Chen Wenliang, Ambiguity-aware ensemble training for semi-supervised dependency parsing, ACL, pp. 457-467, (2014); Luo Fan, Nagesh Ajay, Sharp Rebecca, Surdeanu Mihai, Semi-supervised teacher-student architecture for relation extraction, Workshop on Structured Prediction, pp. 29-37, (2019); McClosky David, Charniak Eugene, Johnson Mark, Effective self-training for parsing, HLT-NAACL, (2006); Mintz Mike, Bills Steven, Snow Rion, Jurafsky Dan, Distant supervision for relation extraction without labeled data, ACL, (2010); Nguyen Nam, Caruana Rich, Classification with partial labels, KDD, pp. 551-559, (2008); Qian Longhua, Zhou Guodong, Kong Fang, Zhu Qiaoming, Semi-supervised learning for semantic relation classification using stratified sampling strategy, EMNLP, (2009); Rosenberg Chuck, Hebert Martial, Schneider-man Henry, Semi-supervised self-training of object detection models, (2005); Rotman Guy, Reichart Roi, Deep contextualized self-training for low resource dependency parsing, TACL, (2019); Sachan Mrinmaya, Xing Eric, Self-training for jointly learning to ask and answer questions, NAACL, (2018); Scudder Henry, Probability of error of some adaptive pattern-recognition machines, IEEE Transactions on Information Theory, (1965); Soares Livio Baldini, FitzGerald Nicholas, Ling Jeffrey, Kwiatkowski Tom, Matching the blanks: Distributional similarity for relation learning, ACL, (2019); Stoica George, Platanios Emmanouil Antonios, Poczos Barnabas, Re-tacred: Addressing shortcomings of the tacred dataset, AAAI, (2021); Xie Ming-Kun, Huang Sheng-Jun, Partial multi-label learning, AAAI, (2018); Xie Qizhe, Luong Minh-Thang, Hovy Eduard, Le Quoc V, Self-training with noisy student improves imagenet classification, CVPR, (2020); Xu Yan, Jia Ran, Mou Lili, Li Ge, Chen Yunchuan, Lu Yangyang, Jin Zhi, Improved relation classification by deep recurrent neural networks with data augmentation, Proceedings of COLING 2016, the 26th International Conference on Computational Linguistics: Technical Papers, pp. 1461-1470, (2016); Yan Yan, Guo Yuhong, Partial label learning with batch label correction, AAAI, 34, pp. 6575-6582, (2020); Yarowsky David, Unsupervised word sense disambiguation rivaling supervised methods, ACL, (1995); Yu Junjie, Zhu Tong, Chen Wenliang, Zhang Wei, Zhang Min, Improving relation extraction with relational paraphrase sentences, COLING, pp. 1687-1698, (2020); Zhang Jiajun, Zong Chengqing, Exploiting source-side monolingual data in neural machine translation, EMNLP, (2016); Zhang Ningyu, Deng Shumin, Sun Zhanlin, Wang Guanying, Chen Xi, Zhang Wei, Chen Huajun, Long-tail relation extraction via knowledge graph embeddings and graph convolution networks, Proceedings of the 2019 Conference of the North American Chapter of the Association for Computational Linguistics: Human Language Technologies, Volume 1 (Long and Short Papers), pp. 3016-3025, (2019); Zhang Yuhao, Zhong Victor, Chen Danqi, Angeli Gabor, Manning Christopher D, Position-aware attention and supervised data improve slot filling, EMNLP, (2017); Zhou Guodong, Li Junhui, Qian Longhua, Zhu Qiaoming, Semi-supervised learning for relation extraction, Proceedings of the Third International Joint Conference on Natural Language Processing, I, (2008); Zhou Guodong, Su Jian, Zhang Jie, Zhang Min, Exploring various knowledge in relation extraction, Proceedings of the 43rd annual meeting of the association for computational linguistics, pp. 427-434, (2005)</t>
  </si>
  <si>
    <t>Calzolari N.; Huang C.-R.; Kim H.; Pustejovsky J.; Wanner L.; Choi K.-S.; Ryu P.-M.; Chen H.-H.; Donatelli L.; Ji H.; Kurohashi S.; Paggio P.; Paggio P.; Xue N.; Kim S.; Hahm Y.; He Z.; Lee T.K.; Santus E.; Bond F.; Na S.-H.</t>
  </si>
  <si>
    <t>KISTI; Line; Naver</t>
  </si>
  <si>
    <t>29th International Conference on Computational Linguistics, COLING 2022</t>
  </si>
  <si>
    <t>12 October 2022 through 17 October 2022</t>
  </si>
  <si>
    <t>Gyeongju</t>
  </si>
  <si>
    <t>186893.0</t>
  </si>
  <si>
    <t>Proc. Main Conf. Int. Conf. Comput. Linguist., COLING</t>
  </si>
  <si>
    <t>2-s2.0-85165726808</t>
  </si>
  <si>
    <t>Wu X.; Hu J.; Wan W.; Zhang B.; Li C.</t>
  </si>
  <si>
    <t>Wu, Xiangping (57223791884); Hu, Jun (58598953000); Wan, Wangjun (59435514900); Zhang, Bingxuan (59180429000); Li, Changju (59180982800)</t>
  </si>
  <si>
    <t>57223791884; 58598953000; 59435514900; 59180429000; 59180982800</t>
  </si>
  <si>
    <t>Incentive Instruction for Event Relation Extraction in Low-Resource</t>
  </si>
  <si>
    <t>IEEE Access</t>
  </si>
  <si>
    <t>86096.0</t>
  </si>
  <si>
    <t>86105.0</t>
  </si>
  <si>
    <t>9.0</t>
  </si>
  <si>
    <t>10.1109/ACCESS.2024.3415426</t>
  </si>
  <si>
    <t>https://www.scopus.com/inward/record.uri?eid=2-s2.0-85196521459&amp;doi=10.1109%2fACCESS.2024.3415426&amp;partnerID=40&amp;md5=6e943b5e439a42c64bf5f66bd29565ed</t>
  </si>
  <si>
    <t>China Jiliang University, School of Information Engineering, Hangzhou, 310018, China; Technology Center of Hangzhou Customs District, Hangzhou, 310000, China</t>
  </si>
  <si>
    <t>Wu X., China Jiliang University, School of Information Engineering, Hangzhou, 310018, China; Hu J., China Jiliang University, School of Information Engineering, Hangzhou, 310018, China; Wan W., Technology Center of Hangzhou Customs District, Hangzhou, 310000, China; Zhang B., China Jiliang University, School of Information Engineering, Hangzhou, 310018, China; Li C., China Jiliang University, School of Information Engineering, Hangzhou, 310018, China</t>
  </si>
  <si>
    <t>Relation extraction is the foundation for constructing a Event Evolution Graph. However, existing methods for extracting relation are more focus on data sufficient. This paper proposes a method for extracting relation in low-resource domain. Firstly, a incentive instruction is designed for task. We incorporate incentive instruction into the original text, which contain factual descriptions of the relation between defective events and the relation that need to be predicted. Additionally, defective events are included in the incentive instruction, allowing the model to shift its focus from the contextual representation of individual event words to the overall representation of text units. By employing this approach, we transform the relation extraction task into a pre-training task. Specifically, the Bidirectional Encoder Representation from Transformers places relation prediction words in designated positions within the incentive instructions and generates labels for each prediction word. Finally, we obtain the optimal relation. Compared with other models, the proposed method improves the F1 scores of the three logical relations by 14.41% to 23.19%, 15.45% to 28.42%, and 15.33% to 27.02%, respectively.  ¬© 2013 IEEE.</t>
  </si>
  <si>
    <t>BERT studing; event relation extraction; Incentive instruction</t>
  </si>
  <si>
    <t>Extraction; Job analysis; Signal encoding; Adaptation models; BERT studing; Bidirectional control; Encodings; Event evolutions; Event relation extraction; Features extraction; Incentive instruction; Relation extraction; Task analysis; Semantics</t>
  </si>
  <si>
    <t>Li Z., Feng S., Shi J., Zhou Y., Liao Y., Yang Y., Li Y., Yu N., Shao X., Future event prediction based on temporal knowledge graph embedding, Comput. Syst. Sci. Eng, 44, 3, pp. 2411-2423, (2023); Deng J., Wang T., Wang Z., Zhou J., Cheng L., Research on event logic knowledge graph construction method of robot transmission system fault diagnosis, IEEE Access, 10, pp. 17656-17673, (2022); Li Q., Wang Q., Li X., Exploring the relationship between 2D/3D convolution for hyperspectral image super-resolution, IEEE Trans. Geosci. Remote Sens, 59, 10, pp. 8693-8703, (2021); Yu S., Li X., Zhao X., Zhang Z., Wu F., Wang J., Zhuang Y., Li X., A bilinear ranking SVM for knowledge based relation prediction and classification, IEEE Trans. Big Data, 5, 4, pp. 588-600, (2019); Liu Y., Li G., Lin L., Cross-modal causal relational reasoning for event-level visual question answering, IEEE Trans. Pattern Anal. Mach. Intell, 10, (2023); Li J., Xu S., Li P., Document-level event temporal relation extraction on global and local cues, Proc. Int. Joint Conf. Neural Netw. (IJCNN), pp. 1-8, (2022); Peters M.E., Neumann M., Zettlemoyer L., Yih W.-T., Dissecting contextual word embeddings: Architecture and representation, (2018); Fu J., Liu Z., Zhong Z., Shan J., Chinese event extraction based on feature weighting, Inf. Technol. J, 9, 1, pp. 184-187, (2009); Abdel-Moneim W.T., Abdel-Aziz M.H., Hassan M.M., Clinical relationships extraction techniques from patient narratives, (2013); Lean X., Junsheng Z., Weiguang Q., Spatial relation extraction based on multi-label classification, Int. J. Knowl. Lang. Process, 3, 4, pp. 33-42, (2012); Girju R., Beamer B., Rozovskaya A., Fister A., Bhat S., Aknowledgerich approach to identifying semantic relations between nominals, Inf. Process. Manag, 46, 5, pp. 589-610, (2010); Lin C., Miller T., Dligach D., Bethard S., Savova G., A BERTbased universal model for both within-and cross-sentence clinical temporal relation extraction, Proc. 2nd Clin. Natural Lang. Process. Workshop, pp. 65-71, (2019); Chikka V.R., CDE-IIITH at SemEval-2016 task 12: Extraction of temporal information from clinical documents using machine learning techniques, Proc. 10th Int. Workshop Semantic Eval, pp. 1237-1240, (2016); Qiu J., Xu L., Zhai J., Luo L., Extracting causal relations from emergency cases based on conditional random fields, Proc. Comput. Sci, 112, pp. 1623-1632, (2017); Guda V., Sanampudi S., Event time relationship in natural language text, Int. J. Recent Contributions Eng., Sci. IT (iJES), 7, 3, pp. 4-22, (2019); Li Z., Li Q., Zou X., Ren J., Causality extraction based on selfattentive BiLSTM-CRF with transferred embeddings, Neurocomputing, 423, pp. 207-219, (2021); Dligach D., Miller T., Lin C., Bethard S., Savova G., Neural temporal relation extraction, Proc. 15th Conf. Eur. Chapter Assoc. Comput. Linguistics, pp. 746-751, (2017); Zhang J., Huang W., Ji D., Ren Y., Globally normalized neural model for joint entity and event extraction, Inf. Process. Manag, 58, 5, (2021); Li P., Mao K., Knowledge-oriented convolutional neural network for causal relation extraction from natural language texts, Exp. Syst. Appl, 115, pp. 512-523, (2019); Ning Q., Subramanian S., Roth D., An improved neural baseline for temporal relation extraction, (2019); Dasgupta T., Saha R., Dey L., Naskar A., Automatic extraction of causal relations from text using linguistically informed deep neural networks, Proc. 19th Annu. SIGdial Meeting Discourse Dialogue, pp. 306-316, (2018); Liu S., Wang L., Chaudhary V., Liu H., Attention neural model for temporal relation extraction, Proc. 2nd Clin. Natural Lang. Process. Workshop, pp. 134-139, (2019); Li Z., Ding X., Liu T., Constructing narrative event evolutionary graph for script event prediction, (2018); Patel R., Tanwani S., Temporal relation identification from clinical text using LSTM based deep learning model, Int. J. Res. Anal. Rev, 5, 4, pp. 941-945, (2018); Xu X., Gao T., Wang Y., Xuan X., Event temporal relation extraction with attention mechanism and graph neural network, Tsinghua Sci. Technol, 27, 1, pp. 79-90, (2022); Han R., Hsu I.-H., Yang M., Galstyan A., Weischedel R., Peng N., Deep structured neural network for event temporal relation extraction, (2019); Lai T., Ji H., Zhai C., Hung Tran Q., Joint biomedical entity and relation extraction with knowledge-enhanced collective inference, (2021); Alicante A., Corazza A., Isgro F., Silvestri S., Unsupervised entity and relation extraction from clinical records in Italian, Comput. Biol. Med, 72, pp. 263-275, (2016); Ma K., Tan Y., Tian M., Xie X., Qiu Q., Li S., Wang X., Extraction of temporal information from social media messages using the BERT model, Earth Sci. Informat, 15, 1, pp. 573-584, (2022); Shi P., Lin J., Simple BERT models for relation extraction and semantic role labeling, (2019); Wan Q., Wan C., Xiao K., Hu R., Liu D., Liu X., CFERE: Multitype Chinese financial event relation extraction, Inf. Sci, 630, pp. 119-134, (2023); Yu H., Cao Y., Cheng G., Xie P., Yang Y., Yu P., Relation extraction with BERT-based pre-trained model, Proc. Int. Wireless Commun. Mobile Comput. (IWCMC), pp. 1382-1387, (2020); Ali W., Zuo W., Ali R., Rahman G., Zuo X., Ullah I., Towards improving causality mining using BERT with multi-level feature networks, KSII Trans. Internet Inf. Syst, 16, 10, pp. 3230-3255, (2022); Wang Z., Wang H., Luo X., Gao J., Back to prior knowledge: Joint event causality extraction via convolutional semantic infusion, Proc. Pacific-Asia Conf. Knowl. Discovery Data Mining, pp. 346-357, (2021); Zhou J., Dong S., Tu H., Wang X., Dou Y., RSGT: Relational structure guided temporal relation extraction, Proc. 29th Int. Conf. Comput. Linguistics, pp. 2001-2010, (2022); Tian C., Zhao Y., Ren L., A Chinese event relation extraction model based on BERT, Proc. 2nd Int. Conf. Artif. Intell. Big Data (ICAIBD), pp. 271-276, (2019); Ali M., Saleem M., Ngomo A.-C.N., Unsupervised relation extraction using sentence encoding, The Semantic Web: ESWC 2021 Satellite Events. Berlin, Germany: Springer, pp. 136-140, (2021); Loshchilov I., Hutter F., Decoupled weight decay regularization, (2017); Huang Z., Xu W., Yu K., Bidirectional LSTM-CRF models for sequence tagging, (2015); Radford A., Narasimhan K., Improving language understanding by generative pre-training, (2018); Liu Z., Lin W., Shi Y., Zhao J., A robustly optimized BERT pretraining approach with post-training, Proc. China Nat. Conf. Chin. Comput. Linguistics. Springer, pp. 471-484, (2021)</t>
  </si>
  <si>
    <t>X. Wu; China Jiliang University, School of Information Engineering, Hangzhou, 310018, China; email: xiangpingwu@cjlu.edu.cn</t>
  </si>
  <si>
    <t>2-s2.0-85196521459</t>
  </si>
  <si>
    <t>Xu B.; Wang Q.; Lyu Y.; Dai D.; Zhang Y.; Mao Z.</t>
  </si>
  <si>
    <t>Xu, Benfeng (57222289158); Wang, Quan (59093872200); Lyu, Yajuan (57192308367); Dai, Dai (57216617665); Zhang, Yongdong (57215882960); Mao, Zhendong (29467706600)</t>
  </si>
  <si>
    <t>57222289158; 59093872200; 57192308367; 57216617665; 57215882960; 29467706600</t>
  </si>
  <si>
    <t>S2ynRE: Two-stage Self-training with Synthetic data for Low-resource Relation Extraction</t>
  </si>
  <si>
    <t>8186.0</t>
  </si>
  <si>
    <t>8207.0</t>
  </si>
  <si>
    <t>21.0</t>
  </si>
  <si>
    <t>18.0</t>
  </si>
  <si>
    <t>https://www.scopus.com/inward/record.uri?eid=2-s2.0-85174392676&amp;partnerID=40&amp;md5=05a1185cc5b9ac41dd05d119daa3f884</t>
  </si>
  <si>
    <t>University of Science and Technology of China, China; Beijing University of Posts and Telecommunications, China; Baidu Inc., China; Institute of Artificial Intelligence, Hefei Comprehensive National Science Center, China</t>
  </si>
  <si>
    <t>Xu B., University of Science and Technology of China, China, Baidu Inc., China; Wang Q., Beijing University of Posts and Telecommunications, China; Lyu Y., Baidu Inc., China; Dai D., Baidu Inc., China; Zhang Y., University of Science and Technology of China, China, Institute of Artificial Intelligence, Hefei Comprehensive National Science Center, China; Mao Z., University of Science and Technology of China, China, Institute of Artificial Intelligence, Hefei Comprehensive National Science Center, China</t>
  </si>
  <si>
    <t>Current relation extraction methods suffer from the inadequacy of large-scale annotated data. While distant supervision alleviates the problem of data quantities, there still exists domain disparity in data qualities due to its reliance on domain-restrained knowledge bases. In this work, we propose S2ynRE, a framework of two-stage Self-training with Synthetic data for Relation Extraction. We first leverage the capability of large language models to adapt to the target domain and automatically synthesize large quantities of coherent, realistic training data. We then propose an accompanied two-stage self-training algorithm that iteratively and alternately learns from synthetic and golden data together. We conduct comprehensive experiments and detailed ablations on popular relation extraction datasets to demonstrate the effectiveness of the proposed framework. Code is available at https://github.com/BenfengXu/S2ynRE. ¬© 2023 Association for Computational Linguistics.</t>
  </si>
  <si>
    <t>Computational linguistics; Data mining; Extraction; 'current; Data quality; Data quantity; Extraction method; Language model; Large-scales; Relation extraction; Self-training; Synthetic data; Target domain; Iterative methods</t>
  </si>
  <si>
    <t>National Natural Science Foundation of China, NSFC, (61876223, 62121002, 62222212, U19A0527); National Natural Science Foundation of China, NSFC; National Key Research and Development Program of China, NKRDPC, (2020AAA0109400); National Key Research and Development Program of China, NKRDPC</t>
  </si>
  <si>
    <t>This work is supported by the National Key Research and Development Program of China No.2020AAA0109400, the National Natural Science Foundation of China under Grant 62222212, U19A0527, 62121002 and 61876223.</t>
  </si>
  <si>
    <t>Alt Christoph, Gabryszak Aleksandra, Hennig Leonhard, TACRED revisited: A thorough evaluation of the TACRED relation extraction task, Proceedings of the 58th Annual Meeting of the Association for Computational Linguistics, pp. 1558-1569, (2020); Anaby-Tavor Ateret, Carmeli Boaz, Goldbraich Esther, Kantor Amir, Kour George, Shlomov Segev, Tepper Naama, Zwerdling Naama, Do not have enough data? deep learning to the rescue!, Proceedings of the AAAI Conference on Artificial Intelligence, 34, pp. 7383-7390, (2020); Soares Livio Baldini, FitzGerald Nicholas, Ling Jeffrey, Kwiatkowski Tom, Matching the blanks: Distributional similarity for relation learning, Proceedings of the 57th Annual Meeting of the Association for Computational Linguistics, pp. 2895-2905, (2019); Beltagy Iz, Lo Kyle, Cohan Arman, SciBERT: A pretrained language model for scientific text, Proceedings of the 2019 Conference on Empirical Methods in Natural Language Processing and the 9th International Joint Conference on Natural Language Processing (EMNLP-IJCNLP), pp. 3615-3620, (2019); Blodgett Su Lin, Barocas Solon, Daume Hal, Wallach Hanna, Language (technology) is power: A critical survey of ‚Äúbias‚Äù in NLP, Proceedings of the 58th Annual Meeting of the Association for Computational Linguistics, pp. 5454-5476, (2020); Bollacker Kurt, Evans Colin, Paritosh Praveen, Sturge Tim, Taylor Jamie, Freebase: A collaboratively created graph database for structuring human knowledge, Proceedings of the 2008 ACM SIGMOD International Conference on Management of Data, SIGMOD'08, pp. 1247-1250, (2008); Bommasani Rishi, Hudson Drew A., Adeli Ehsan, Altman Russ, Arora Simran, von Arx Sydney, Bernstein Michael S., Bohg Jeannette, Bosselut Antoine, Brunskill Emma, Brynjolfsson Erik, Buch Shyamal, Card Dallas, Castellon Rodrigo, Chatterji Niladri S., Chen Annie S., Creel Kathleen, Davis Jared Quincy, Demszky Dorottya, Donahue Chris, Doumbouya Moussa, Durmus Esin, Ermon Stefano, Etchemendy John, Ethayarajh Kawin, Fei-Fei Li, Finn Chelsea, Gale Trevor, Gillespie Lauren, Goel Karan, Goodman Noah D., Grossman Shelby, Guha Neel, Hashimoto Tatsunori, Henderson Peter, Hewitt John, Ho Daniel E., Hong Jenny, Hsu Kyle, Huang Jing, Icard Thomas, Jain Saahil, Jurafsky Dan, Kalluri Pratyusha, Karamcheti Siddharth, Keeling Geoff, Khani Fereshte, Khattab Omar, Koh Pang Wei, Krass Mark S., Krishna Ranjay, Kuditipudi Rohith, Et al., On the opportunities and risks of foundation models, CoRR, (2021); Brown Tom, Mann Benjamin, Ryder Nick, Subbiah Melanie, Kaplan Jared D, Dhariwal Prafulla, Neelakantan Arvind, Shyam Pranav, Sastry Girish, Askell Amanda, Agarwal Sandhini, Herbert-Voss Ariel, Krueger Gretchen, Henighan Tom, Child Rewon, Ramesh Aditya, Ziegler Daniel, Wu Jeffrey, Winter Clemens, Hesse Chris, Chen Mark, Sigler Eric, Litwin Mateusz, Gray Scott, Chess Benjamin, Clark Jack, Berner Christopher, McCandlish Sam, Radford Alec, Sutskever Ilya, Amodei Dario, Language models are few-shot learners, Advances in Neural Information Processing Systems, 33, pp. 1877-1901, (2020); Cardie Claire, Empirical methods in information extraction, AI Magazine, 18, 4, (1997); Chen Xiang, Zhang Ningyu, Xie Xin, Deng Shumin, Yao Yunzhi, Tan Chuanqi, Huang Fei, Si Luo, Chen Huajun, Knowprompt: Knowledge-aware prompt-tuning with synergistic optimization for relation extraction, Proceedings of the ACM Web Conference 2022, WWW'22, pp. 2778-2788, (2022); Chia Yew Ken, Bing Lidong, Poria Soujanya, Si Luo, Relationprompt: Leveraging prompts to generate synthetic data for zero-shot relation triplet extraction, Findings of the Association for Computational Linguistics: ACL 2022, (2022); Devlin Jacob, Chang Ming-Wei, Lee Kenton, Toutanova Kristina, BERT: Pre-training of deep bidirectional transformers for language understanding, Proceedings of the 2019 Conference of the North American Chapter of the Association for Computational Linguistics: Human Language Technologies, Volume 1 (Long and Short Papers), pp. 4171-4186, (2019); Ding Bosheng, Liu Linlin, Bing Lidong, Kruengkrai Canasai, Nguyen Thien Hai, Joty Shafiq, Si Luo, Miao Chunyan, DAGA: Data augmentation with a generation approach for low-resource tagging tasks, Proceedings of the 2020 Conference on Empirical Methods in Natural Language Processing (EMNLP), pp. 6045-6057, (2020); Ding Ning, Wang Xiaobin, Fu Yao, Xu Guangwei, Wang Rui, Xie Pengjun, Shen Ying, Huang Fei, Zheng Hai-Tao, Zhang Rui, Prototypical representation learning for relation extraction, International Conference on Learning Representations, (2021); Dong Manqing, Pan Chunguang, Luo Zhipeng, MapRE: An effective semantic mapping approach for low-resource relation extraction, Proceedings of the 2021 Conference on Empirical Methods in Natural Language Processing, pp. 2694-2704, (2021); Feng Steven Y., Gangal Varun, Wei Jason, Chandar Sarath, Vosoughi Soroush, Mitamura Teruko, Hovy Eduard, A survey of data augmentation approaches for NLP, Findings of the Association for Computational Linguistics: ACL-IJCNLP 2021, pp. 968-988, (2021); Gupta Umang, Dhamala Jwala, Kumar Varun, Verma Apurv, Pruksachatkun Yada, Krishna Satyapriya, Gupta Rahul, Chang Kai-Wei, Steeg Greg Ver, Galstyan Aram, Mitigating gender bias in distilled language models via counterfactual role reversal, Findings of the Association for Computational Linguistics: ACL 2022, pp. 658-678, (2022); Han Xu, Gao Tianyu, Lin Yankai, Peng Hao, Yang Yaoliang, Xiao Chaojun, Liu Zhiyuan, Li Peng, Zhou Jie, Sun Maosong, More data, more relations, more context and more openness: A review and outlook for relation extraction, Proceedings of the 1st Conference of the Asia-Pacific Chapter of the Association for Computational Linguistics and the 10th International Joint Conference on Natural Language Processing, pp. 745-758, (2020); Han Xu, Gao Tianyu, Yao Yuan, Ye Deming, Liu Zhiyuan, Sun Maosong, OpenNRE: An open and extensible toolkit for neural relation extraction, Proceedings of the 2019 Conference on Empirical Methods in Natural Language Processing and the 9th International Joint Conference on Natural Language Processing (EMNLP-IJCNLP): System Demonstrations, pp. 169-174, (2019); Han Xu, Zhu Hao, Yu Pengfei, Wang Ziyun, Yao Yuan, Liu Zhiyuan, Sun Maosong, FewRel: A large-scale supervised few-shot relation classification dataset with state-of-the-art evaluation, Proceedings of the 2018 Conference on Empirical Methods in Natural Language Processing, pp. 4803-4809, (2018); He Xuanli, Nassar Islam, Kiros Jamie, Haffari Gholamreza, Norouzi Mohammad, Generate, annotate, and learn: Nlp with synthetic text, (2021); Hendrickx Iris, Kim Su Nam, Kozareva Zornitsa, Nakov Preslav, Seaghdha Diarmuid O, Pado Sebastian, Pennacchiotti Marco, Romano Lorenza, Szpakowicz Stan, SemEval-2010 task 8: Multiway classification of semantic relations between pairs of nominals, Proceedings of the Workshop on Semantic Evaluations: Recent Achievements and Future Directions (SEW-2009), pp. 94-99, (2009); Hu Xuming, Zhang Chenwei, Ma Fukun, Liu Chenyao, Wen Lijie, Yu Philip S., Semi-supervised relation extraction via incremental meta self-training, Findings of the Association for Computational Linguistics: EMNLP 2021, pp. 487-496, (2021); Hu Xuming, Zhang Chenwei, Yang Yawen, Li Xiaohe, Lin Li, Wen Lijie, Yu Philip S., Gradient imitation reinforcement learning for low resource relation extraction, Proceedings of the 2021 Conference on Empirical Methods in Natural Language Processing, pp. 2737-2746, (2021); Kobayashi Sosuke, Contextual augmentation: Data augmentation by words with paradigmatic relations, Proceedings of the 2018 Conference of the North American Chapter of the Association for Computational Linguistics: Human Language Technologies, Volume 2 (Short Papers), pp. 452-457, (2018); Kringelum Jens, Kjaerulff Sonny Kim, Brunak Soren, Lund Ole, Oprea Tudor I, Taboureau Olivier, Chemprot-3.0: a global chemical biology diseases mapping, Database, (2016); Kumar Varun, Choudhary Ashutosh, Cho Eunah, Data augmentation using pre-trained transformer models, Proceedings of the 2nd Workshop on Life-long Learning for Spoken Language Systems, pp. 18-26, (2020); Lee Jinhyuk, Yoon Wonjin, Kim Sungdong, Kim Donghyeon, Kim Sunkyu, So Chan Ho, Kang Jaewoo, BioBERT: a pre-trained biomedical language representation model for biomedical text mining, Bioinformatics, 36, 4, pp. 1234-1240, (2019); Li Wanli, Qian Tieyun, From consensus to disagreement: Multi-teacher distillation for semi-supervised relation extraction, (2021); Meng Yu, Huang Jiaxin, Zhang Yu, Han Jiawei, Generating training data with language models: Towards zero-shot language understanding, CoRR, (2022); Mintz Mike, Bills Steven, Snow Rion, Jurafsky Daniel, Distant supervision for relation extraction without labeled data, Proceedings of the Joint Conference of the 47th Annual Meeting of the ACL and the 4th International Joint Conference on Natural Language Processing of the AFNLP, pp. 1003-1011, (2009); Nadeem Moin, Bethke Anna, Reddy Siva, StereoSet: Measuring stereotypical bias in pretrained language models, Proceedings of the 59th Annual Meeting of the Association for Computational Linguistics and the 11th International Joint Conference on Natural Language Processing (Volume 1: Long Papers), pp. 5356-5371, (2021); Ng Nathan, Cho Kyunghyun, Ghassemi Marzyeh, SSMBA: Self-supervised manifold based data augmentation for improving out-of-domain robustness, Proceedings of the 2020 Conference on Empirical Methods in Natural Language Processing (EMNLP), pp. 1268-1283, (2020); Paolini Giovanni, Athiwaratkun Ben, Krone Jason, Ma Jie, Achille Alessandro, ANUBHAI RISHITA, dos Santos Cicero Nogueira, Xiang Bing, Soatto Stefano, Structured prediction as translation between augmented natural languages, International Conference on Learning Representations, (2021); Papanikolaou Yannis, Pierleoni Andrea, Dare: Data augmented relation extraction with gpt-2, (2020); Peng Hao, Gao Tianyu, Han Xu, Lin Yankai, Li Peng, Liu Zhiyuan, Sun Maosong, Zhou Jie, Learning from Context or Names? An Empirical Study on Neural Relation Extraction, Proceedings of the 2020 Conference on Empirical Methods in Natural Language Processing (EMNLP), pp. 3661-3672, (2020); Qin Yujia, Lin Yankai, Takanobu Ryuichi, Liu Zhiyuan, Li Peng, Ji Heng, Huang Minlie, Sun Maosong, Zhou Jie, ERICA: Improving entity and relation understanding for pre-trained language models via contrastive learning, Proceedings of the 59th Annual Meeting of the Association for Computational Linguistics and the 11th International Joint Conference on Natural Language Processing (Volume 1: Long Papers), pp. 3350-3363, (2021); Radford Alec, Wu Jeffrey, Child Rewon, Luan David, Amodei Dario, Sutskever Ilya, Et al., Language models are unsupervised multitask learners, OpenAI blog, 1, 8, (2019); Raffel Colin, Shazeer Noam, Roberts Adam, Lee Katherine, Narang Sharan, Matena Michael, Zhou Yanqi, Li Wei, Liu Peter J., Exploring the limits of transfer learning with a unified text-to-text transformer, Journal of Machine Learning Research, 21, 140, pp. 1-67, (2020); Roemmele Melissa, Gordon Andrew S, Swanson Reid, Evaluating story generation systems using automated linguistic analyses, Workshop on Machine Learning for Creativity, at the 23rd SIGKDD Conference on Knowledge Discovery and Data Mining, (2017); Sainz Oscar, de Lacalle Oier Lopez, Labaka Gorka, Barrena Ander, Agirre Eneko, Label verbalization and entailment for effective zero and few-shot relation extraction, Proceedings of the 2021 Conference on Empirical Methods in Natural Language Processing, pp. 1199-1212, (2021); Schick Timo, Schutze Hinrich, Generating datasets with pretrained language models, Proceedings of the 2021 Conference on Empirical Methods in Natural Language Processing, pp. 6943-6951, (2021); Stoica George, Platanios Emmanouil Antonios, Poczos Barnabas, Re-tacred: Addressing shortcomings of the tacred dataset, Proceedings of the AAAI Conference on Artificial Intelligence, 35, 15, pp. 13843-13850, (2021); Vrandecic Denny, Krotzsch Markus, Wikidata: A free collaborative knowledgebase, Commun. ACM, 57, 10, pp. 78-85, (2014); Vu Tu, Luong Minh-Thang, Le Quoc, Simon Grady, Iyyer Mohit, STraTA: Self-training with task augmentation for better few-shot learning, Proceedings of the 2021 Conference on Empirical Methods in Natural Language Processing, pp. 5715-5731, (2021); Wang Zirui, Yu Adams Wei, Firat Orhan, Cao Yuan, Towards zero-label language learning, CoRR, (2021); Wu Shanchan, He Yifan, Enriching pretrained language model with entity information for relation classification, Proceedings of the 28th ACM International Conference on Information and Knowledge Management, CIKM'19, pp. 2361-2364, (2019); Wu Xing, Lv Shangwen, Zang Liangjun, Han Jizhong, Hu Songlin, Conditional bert contextual augmentation, Computational Science - ICCS 2019, pp. 84-95, (2019); Xie Qizhe, Luong Minh-Thang, Hovy Eduard, Le Quoc V., Self-training with noisy student improves imagenet classification, 2020 IEEE/CVF Conference on Computer Vision and Pattern Recognition (CVPR), pp. 10684-10695, (2020); Xu Benfeng, Wang Quan, Mao Zhendong, Lyu Yajuan, She Qiaoqiao, Zhang Yongdong, $k$NN prompting: Beyond-context learning with calibration-free nearest neighbor inference, The Eleventh International Conference on Learning Representations, (2023); Yarowsky David, Unsupervised word sense disambiguation rivaling supervised methods, 33rd Annual Meeting of the Association for Computational Linguistics, pp. 189-196, (1995); Ye Jiacheng, Gao Jiahui, Li Qintong, Xu Hang, Feng Jiangtao, Wu Zhiyong, Yu Tao, Kong Lingpeng, Zerogen: Efficient zero-shot learning via dataset generation, (2022); Zeng Daojian, Liu Kang, Lai Siwei, Zhou Guangyou, Zhao Jun, Relation classification via convolutional deep neural network, Proceedings of COLING 2014, the 25th International Conference on Computational Linguistics: Technical Papers, pp. 2335-2344, (2014); Zhang Yuhao, Qi Peng, Manning Christopher D., Graph convolution over pruned dependency trees improves relation extraction, Proceedings of the 2018 Conference on Empirical Methods in Natural Language Processing, pp. 2205-2215, (2018); Zhang Yuhao, Zhong Victor, Chen Danqi, Angeli Gabor, Manning Christopher D., Position-aware attention and supervised data improve slot filling, Proceedings of the 2017 Conference on Empirical Methods in Natural Language Processing (EMNLP 2017), pp. 35-45, (2017); Zhou Peng, Shi Wei, Tian Jun, Qi Zhenyu, Li Bingchen, Hao Hongwei, Xu Bo, Attention-based bidirectional long short-term memory networks for relation classification, Proceedings of the 54th Annual Meeting of the Association for Computational Linguistics (Volume 2: Short Papers), pp. 207-212, (2016)</t>
  </si>
  <si>
    <t>Z. Mao; University of Science and Technology of China, China; email: zdmao@ustc.edu.cn</t>
  </si>
  <si>
    <t>2-s2.0-85174392676</t>
  </si>
  <si>
    <t>Hu X.; Zhang C.; Yang Y.; Li X.; Lin L.; Wen L.; Yu P.S.</t>
  </si>
  <si>
    <t>Hu, Xuming (57219742451); Zhang, Chenwei (57095203500); Yang, Yawen (57274917800); Li, Xiaohe (57221316357); Lin, Li (57204731957); Wen, Lijie (14030649200); Yu, Philip S. (7402366049)</t>
  </si>
  <si>
    <t>57219742451; 57095203500; 57274917800; 57221316357; 57204731957; 14030649200; 7402366049</t>
  </si>
  <si>
    <t>Gradient Imitation Reinforcement Learning for Low Resource Relation Extraction</t>
  </si>
  <si>
    <t>2737.0</t>
  </si>
  <si>
    <t>2746.0</t>
  </si>
  <si>
    <t>50.0</t>
  </si>
  <si>
    <t>https://www.scopus.com/inward/record.uri?eid=2-s2.0-85123977559&amp;partnerID=40&amp;md5=27f43361f7c845638f99b125c0df2928</t>
  </si>
  <si>
    <t>Tsinghua University, China; Amazon; University of Illinois, Chicago, United States</t>
  </si>
  <si>
    <t>Hu X., Tsinghua University, China; Zhang C., Amazon; Yang Y., Tsinghua University, China; Li X., Tsinghua University, China; Lin L., Tsinghua University, China; Wen L., Tsinghua University, China; Yu P.S., Tsinghua University, China, University of Illinois, Chicago, United States</t>
  </si>
  <si>
    <t>Low-resource Relation Extraction (LRE) aims to extract relation facts from limited labeled corpora when human annotation is scarce. Existing works either utilize self-training scheme to generate pseudo labels that will cause the gradual drift problem, or leverage meta-learning scheme which does not solicit feedback explicitly. To alleviate selection bias due to the lack of feedback loops in existing LRE learning paradigms, we developed a Gradient Imitation Reinforcement Learning method to encourage pseudo label data to imitate the gradient descent direction on labeled data and bootstrap its optimization capability through trial and error. We also propose a framework called GradLRE, which handles two major scenarios in low-resource relation extraction. Besides the scenario where unlabeled data is sufficient, GradLRE handles the situation where no unlabeled data is available, by exploiting a contextualized augmentation method to generate data. Experimental results on two public datasets demonstrate the effectiveness of GradLRE on low resource relation extraction when comparing with baselines. Source code is available. ¬© 2021 Association for Computational Linguistics</t>
  </si>
  <si>
    <t>Computational linguistics; Extraction; Reinforcement learning; Drift problem; Human annotations; Learning schemes; Metalearning; Reinforcement learnings; Relation extraction; Selection bias; Self-training; Training schemes; Unlabeled data; Gradient methods</t>
  </si>
  <si>
    <t>Beijing Key Laboratory of Industrial Bigdata System; National Science Foundation, NSF, (III-1763325, III-1909323, III-2106758, SaTC-1930941); National Natural Science Foundation of China, NSFC, (62021002, 71690231); National Key Research and Development Program of China, NKRDPC, (2019YFB1704003)</t>
  </si>
  <si>
    <t>We thank the reviewers for their valuable comments. The work was supported by the National Key Research and Development Program of China (No. 2019YFB1704003), the National Nature Science Foundation of China (No. 71690231 and No. 62021002), NSF under grants III-1763325, III-1909323, III-2106758, SaTC-1930941, Tsinghua BNRist and Beijing Key Laboratory of Industrial Bigdata System and Application.</t>
  </si>
  <si>
    <t>Arazo Eric, Ortego Diego, Albert Paul, O'Connor Noel, McGuinness Kevin, Unsupervised label noise modeling and loss correction, Proc. of ICML, pp. 312-321, (2019); Curran James R, Murphy Tara, Scholz Bernhard, Minimising semantic drift with mutual exclusion bootstrapping, Proc. of PACL, 6, pp. 172-180, (2007); Dai Xiang, Adel Heike, An analysis of simple data augmentation for named entity recognition, Proc. of COLING, pp. 3861-3867, (2020); Devlin Jacob, Chang Ming-Wei, Lee Kenton, Toutanova Kristina, Bert: Pre-training of deep bidirectional transformers for language understanding, Proc. of NAACL-HLT, pp. 4171-4186, (2019); Du Yunshu, Czarnecki Wojciech M, Jayakumar Siddhant M, Farajtabar Mehrdad, Pascanu Razvan, Lakshminarayanan Balaji, Adapting auxiliary losses using gradient similarity, (2018); Gao Fei, Zhu Jinhua, Wu Lijun, Xia Yingce, Qin Tao, Cheng Xueqi, Zhou Wengang, Liu Tie-Yan, Soft contextual data augmentation for neural machine translation, Proc. of ACL, pp. 5539-5544, (2019); Guo Zhijiang, Nan Guoshun, Lu Wei, Cohen Shay B., Learning latent forests for medical relation extraction, Proc. of IJCAI, pp. 3651-3657, (2020); Han Bo, Yao Quanming, Yu Xingrui, Niu Gang, Xu Miao, Hu Weihua, Tsang Ivor, Sugiyama Masashi, Co-teaching: Robust training of deep neural networks with extremely noisy labels, NeurIPS, 31, (2018); Hendrickx Iris, Kim Su Nam, Kozareva Zornitsa, Nakov Preslav, Seaghdha Diarmuid O, Pado Sebastian, Pennacchiotti Marco, Romano Lorenza, Szpakowicz Stan, Semeval-2010 task 8: Multi-way classification of semantic relations between pairs of nominals, Proc. of SemEval, pp. 33-38, (2010); Hochreiter Sepp, Schmidhuber Jurgen, Long short-term memory, Neural computation, 9, 8, pp. 1735-1780, (1997); Hu Xuming, Ma Fukun, Liu Chenyao, Zhang Chenwei, Wen Lijie, Yu Philip S, Semi-supervised relation extraction via incremental meta self-training, Proc. of EMNLP: Findings., (2021); Hu Xuming, Wen Lijie, Xu Yusong, Zhang Chenwei, Yu Philip, SelfORE: Self-supervised relational feature learning for open relation extraction, Proc. of EMNLP, pp. 3673-3682, (2020); Jiang Lu, Zhou Zhengyuan, Leung Thomas, Li Li-Jia, Fei-Fei Li, Mentornet: Learning data-driven curriculum for very deep neural networks on corrupted labels, Proc. of ICML, pp. 2304-2313, (2018); Joshi Mandar, Chen Danqi, Liu Yinhan, Weld Daniel S, Zettlemoyer Luke, Levy Omer, Spanbert: Improving pre-training by representing and predicting spans, TACL, 8, pp. 64-77, (2020); Kobayashi Sosuke, Contextual augmentation: Data augmentation by words with paradigmatic relations, Proc. of NAACL-HLT, pp. 452-457, (2018); Kumar Varun, Choudhary Ashutosh, Cho Eunah, Data augmentation using pre-trained transformer models, (2020); Levy Omer, Seo Minjoon, Choi Eunsol, Zettlemoyer Luke, Zero-shot relation extraction via reading comprehension, Proc. of CoNLL, pp. 333-342, (2017); Li Jiwei, Monroe Will, Ritter Alan, Jurafsky Dan, Galley Michel, Gao Jianfeng, Deep reinforcement learning for dialogue generation, Proc. of EMNLP, pp. 1192-1202, (2016); Li Wanli, Qian Tieyun, Exploit multiple reference graphs for semi-supervised relation extraction, (2020); Lin Hongtao, Yan Jun, Qu Meng, Ren Xiang, Learning dual retrieval module for semi-supervised relation extraction, Proc. of WWW, pp. 1073-1083, (2019); Liu Kun, Fu Yao, Tan Chuanqi, Chen Mosha, Zhang Ningyu, Huang Songfang, Gao Sheng, Noisy-labeled NER with confidence estimation, Proc. of NAACL-HLT, pp. 3437-3445, (2021); Loshchilov Ilya, Hutter Frank, Fixing weight decay regularization in adam, (2018); Mintz Mike, Bills Steven, Snow Rion, Jurafsky Dan, Distant supervision for relation extraction without labeled data, Proc. of ACL, pp. 1003-1011, (2009); Nan Guoshun, Guo Zhijiang, Sekulic Ivan, Lu Wei, Reasoning with latent structure refinement for document-level relation extraction, Proc. of ACL, pp. 1546-1557, (2020); Narasimhan Karthik, Yala Adam, Barzilay Regina, Improving information extraction by acquiring external evidence with reinforcement learning, Proc. of EMNLP, pp. 2355-2365, (2016); Rosenberg Chuck, Hebert Martial, Schneiderman Henry, Semi-supervised self-training of object detection models, (2005); Sariyildiz Mert Bulent, Cinbis Ramazan Gokberk, Gradient matching generative networks for zero-shot learning, Proc. of CVPR, pp. 2168-2178, (2019); Soares Livio Baldini, FitzGerald Nicholas, Ling Jeffrey, Kwiatkowski Tom, Matching the blanks: Distributional similarity for relation learning, Proc. of ACL, pp. 2895-2905, (2019); Su Pei-Hao, Gasic Milica, Mrksic Nikola, Rojas Barahona Lina M, Ultes Stefan, Vandyke David, Wen Tsung-Hsien, Young Steve, On-line active reward learning for policy optimisation in spoken dialogue systems, Proc. of ACL, pp. 2431-2441, (2016); Takanobu Ryuichi, Zhang Tianyang, Liu Jiexi, Huang Minlie, A hierarchical framework for relation extraction with reinforcement learning, Proc. of AAAI, 33, pp. 7072-7079, (2019); Tarvainen Antti, Valpola Harri, Mean teachers are better role models: Weight-averaged consistency targets improve semi-supervised deep learning results, NeurIPS, pp. 1195-1204, (2017); Williams Ronald J, Simple statistical gradient-following algorithms for connectionist reinforcement learning, Machine learning, 8, 3-4, pp. 229-256, (1992); Wold Svante, Esbensen Kim, Geladi Paul, Principal component analysis, Chemometrics and intelligent laboratory systems, 2, 1-3, pp. 37-52, (1987); Yu Lantao, Zhang Weinan, Wang Jun, Yu Yong, Seqgan: Sequence generative adversarial nets with policy gradient, Proc. of AAAI, 31, (2017); Yu Tianhe, Kumar Saurabh, Gupta Abhishek, Levine Sergey, Hausman Karol, Finn Chelsea, Gradient surgery for multi-task learning, NeurIPS, (2020); Zeng Daojian, Liu Kang, Chen Yubo, Zhao Jun, Distant supervision for relation extraction via piecewise convolutional neural networks, Proc. of EMNLP, pp. 1753-1762, (2015); Zeng Wenyuan, Lin Yankai, Liu Zhiyuan, Sun Maosong, Incorporating relation paths in neural relation extraction, Proc. of EMNLP, pp. 1768-1777, (2017); Zeng Xiangrong, He Shizhu, Zeng Daojian, Liu Kang, Liu Shengping, Zhao Jun, Learning the extraction order of multiple relational facts in a sentence with reinforcement learning, Proc. of EMNLP-IJCNLP, pp. 367-377, (2019); Zhang Chiyuan, Bengio Samy, Hardt Moritz, Recht Benjamin, Vinyals Oriol, Understanding deep learning requires rethinking generalization, (2016); Zhang Yuhao, Zhong Victor, Chen Danqi, An-geli Gabor, Manning Christopher D, Position-aware attention and supervised data improve slot filling, Proc. of EMNLP, pp. 35-45, (2017)</t>
  </si>
  <si>
    <t>C. Zhang; Amazon; email: cwzhang@amazon.com; L. Wen; Tsinghua University, China; email: wenlj@tsinghua.edu.cn</t>
  </si>
  <si>
    <t>2-s2.0-85123977559</t>
  </si>
  <si>
    <t>Peng D.; Pei Z.; Mo D.</t>
  </si>
  <si>
    <t>Peng, Da (57221682382); Pei, Zhongmin (35590446700); Mo, Delin (58244228500)</t>
  </si>
  <si>
    <t>57221682382; 35590446700; 58244228500</t>
  </si>
  <si>
    <t>MTL-JER: Meta-Transfer Learning for Low-Resource Joint Entity and Relation Extraction</t>
  </si>
  <si>
    <t>2023 3rd International Conference on Neural Networks, Information and Communication Engineering, NNICE 2023</t>
  </si>
  <si>
    <t>78.0</t>
  </si>
  <si>
    <t>83.0</t>
  </si>
  <si>
    <t>10.1109/NNICE58320.2023.10105766</t>
  </si>
  <si>
    <t>https://www.scopus.com/inward/record.uri?eid=2-s2.0-85159024362&amp;doi=10.1109%2fNNICE58320.2023.10105766&amp;partnerID=40&amp;md5=933774d2704c4087c99c6655f72f867b</t>
  </si>
  <si>
    <t>Space Engineering University, Science and Technology on Complex Electronic System Simulation Laboratory, Beijing, China; Institute of War Studies Academy of Military Sciences</t>
  </si>
  <si>
    <t>Peng D., Space Engineering University, Science and Technology on Complex Electronic System Simulation Laboratory, Beijing, China; Pei Z., Space Engineering University, Science and Technology on Complex Electronic System Simulation Laboratory, Beijing, China; Mo D., Institute of War Studies Academy of Military Sciences</t>
  </si>
  <si>
    <t>Joint entity and relation extraction has achieved impressive advances in NLP, such as document understanding and knowledge graph construction. The typical methods for entity and relation extraction typically break down the joint task into several smaller components or stages for ease of implementation, but this leads to a loss of the interconnected knowledge in the triple. Hence, we propose to model the triple in one module jointly. Furthermore, the labeling of a joint entity and relation extraction tasks is costly and domain-specific; therefore, it is important to improve its performance on low-resource data and domain adaption. To address this issue, we suggest using two sources that are rich in information, namely pre-trained models on large data and multi-domain text corpora. Pretraining allows us to provide the model with the fundamental ability to perform joint entity and relationship extraction. Second, through meta-learning on multi-domain text, we can improve the model's generalization capabilities, enabling it to perform well even with limited data. We present MTL-JER, a Meta-Transfer Learning method for Joint Entity and Relation Extraction in low-resource settings in this paper. Using exhaustive experiments on five datasets, we prove that our model obtains optimal results.  ¬© 2023 IEEE.</t>
  </si>
  <si>
    <t>Joint entity and relation extraction; Low-resource; Meta-Learning</t>
  </si>
  <si>
    <t>Knowledge graph; Learning systems; Linearization; Document understanding; Entity extractions; Graph construction; Joint entity and relation extraction; Knowledge graphs; Low-resource; Metalearning; Multi-domains; Relation extraction; Transfer learning; Extraction</t>
  </si>
  <si>
    <t>Science and Technology on Complex Electronic System Simulation Laboratory Fund Project</t>
  </si>
  <si>
    <t>ACKNOWLEDGEMENT The work is supported by the Science and Technology on Complex Electronic System Simulation Laboratory Fund Project(Item No:6142401004032106)</t>
  </si>
  <si>
    <t>Zelenko D., Aone C., Richardella A., Kernel Methods for Relation Extraction, J. Mach. Learn. Res., 3, pp. 1083-1106, (2003); Chan Y.S., Roth D., Exploiting SyntacticoSemantic Structures for Relation Extraction, Proceedings of the 49th Annual Meeting of the Association for Computational Linguistics: Human Language Technologies, pp. 551-560, (2011); Li Q., Ji H., Incremental Joint Extraction of Entity Mentions and Relations, Proceedings of the 52nd Annual Meeting of the Association for Computational Linguistics (Volume 1: Long Papers), pp. 402-412, (2014); Yu B., Zhang Z., Shu X., Wang Y., Liu T., Wang B., Li S., Joint extraction of entities and relations based on a novel decomposition strategy, Proceedings of ECAI, (2020); Wei Z., Su J., Wang Y., Et al., A novel cascade binary tagging framework for relational triple extraction [J], (2019); Wang Y., Yu B., Zhang Y., Et al., TPLinker: Single-stage joint extraction of entities and relations through token pair linking [J], (2020); Shang Y.M., Huang H., Mao X., Onerel: Joint entity and relation extraction with one module in one step [C], Proceedings of the AAAI Conference on Artificial Intelligence., 36, 10, pp. 11285-11293, (2022); Devlin J., Chang M., Lee K., Toutanova K., BERT: Pretraining of deep bidirectional transformers for language understanding [J], Proceedings of the 2019 Conference of the North American Chapter of the Association for Computational Linguistics: Human Language Technologies, 1, pp. 4171-4186, (2019); He P., Liu X., Gao J., Et al., Deberta: Decodingenhanced bert with disentangled attention [J], (2020); Liu Y., Ott M., Goyal N., Et al., Roberta: A robustly optimized bert pretraining approach [J], (2019); Finn C., Abbeel P., Levine S., ModelAgnostic Meta-Learning for Fast Adaptation of Deep Networks, Proceedings of the 34th International Conference on Machine Learning, volume 70 of Proceedings of Machine Learning Research, pp. 1126-1135, (2017); Li R., Wang X., Yu H., MetaMT is a Meta-Learning Method Leveraging Multiple Domain Data for Low Resource Machine Translation, Proceedings of the AAAI Conference on Artificial Intelligence, 34, 5, pp. 8245-8252, (2020); Obamuyide A., Vlachos A., Model-Agnostic Meta-Learning for Relation Classification with Limited Supervision, Proceedings of the 57th Annual Meeting of the Association for Computational Linguistics, pp. 5873-5879, (2019); Chen Y.S., Shuai H.H., Meta-Transfer Learning for LowResource Abstractive Summarization [C], Proceedings of the AAAI Conference on Artificial Intelligence., 35, 14, pp. 12692-12700, (2021); Dou Z.-Y., Yu K., Anastasopoulos A., Investigating Meta-Learning Algorithms for Low-Resource Natural Language Understanding Tasks, Proceedings of the 2019 Conference on Empirical Methods in Natural Language Processing and the 9th International Joint Conference on Natural Language Processing (EMNLPIJCNLP), pp. 1192-1197, (2019); Pfeiffer J., Ruckle A., Poth C., Kamath A., Vulic I., Ruder S., Cho K., Gurevych I., Adapterhub: A framework for adapting transformers, EMNLP: System Demonstrations, (2020); Zintgraf L., Shiarli K., Kurin V., Hofmann K., Whiteson S., Fast Context Adaptation via MetaLearning, Proceedings of the 36th International Conference on Machine Learning, volume 97 of Proceedings of Machine Learning Research, pp. 7693-7702, (2019); Su J., Murtadha A., Pan S., Et al., Global Pointer: Novel Efficient Span-based Approach for Named Entity Recognition [J], (2022); Nickel M., Rosasco L., Poggio T., Holographic embeddings of knowledge graphs, Proceedings of the AAAI Conference on Artificial Intelligence, 30, (2016); Dodge J., Ilharco G., Schwartz R., Farhadi A., Hajishirzi H., Smith N., Fine-tuning pre-trained language models: Weight initializations, data orders, and early stopping, (2020); Mahabadi R.K., Zettlemoyer L., Henderson J., Et al., Perfect: Prompt-free and efficient few-shot learning with language models [J], (2022); Wolf T., Debut L., Sanh V., Et al., Transformers: State-of-the-art natural language processing [C], Proceedings of the 2020 conference on empirical methods in natural language processing: system demonstrations., pp. 38-45, (2020); Han X., Zhu H., Yu P., Et al., Fewrel: A large-scale supervised few-shot relation classification dataset with state-of-the-art evaluation [J], (2018); Luan Y., He L., Ostendorf M., Hajishirzi H., Multi-task identification of entities, relations, and coreference for scientific knowledge graph construction, Empirical Methods in Natural Language Processing (EMNLP), pp. 3219-3232, (2018); Zhong Z., Chen D., A frustratingly easy approach for entity and relation extraction [J], (2020); Riedel S., Yao L., McCallum A., Modeling relations and their mentions without labeled text, ECML, pp. 148-163, (2010); Gardent C., Shimorina A., Narayan S., PerezBeltrachini L., Creating training corpora for NLG micro planners, ACL, pp. 179-188, (2017); Li L., Chen X., Ye H., Et al., On robustness and bias analysis of bert-based relation extraction [C], China Conference on Knowledge Graph and Semantic Computing. Springer, Singapore, pp. 43-59, (2021); Liu J., Chen S., Wang B., Zhang J., Li N., Xu T., Attention as relation: Learning supervised multi-head self-attention for relation extraction, IJCAI, pp. 3787-3793, (2020)</t>
  </si>
  <si>
    <t>Z. Pei; Space Engineering University, Science and Technology on Complex Electronic System Simulation Laboratory, Beijing, China; email: peizhongmin@tsinghua.org.cn</t>
  </si>
  <si>
    <t>3rd International Conference on Neural Networks, Information and Communication Engineering, NNICE 2023</t>
  </si>
  <si>
    <t>24 February 2023 through 26 February 2023</t>
  </si>
  <si>
    <t>Guangzhou</t>
  </si>
  <si>
    <t>188205.0</t>
  </si>
  <si>
    <t>979-835033597-2</t>
  </si>
  <si>
    <t>Int. Conf. Neural Networks, Inf. Commun. Eng., NNICE</t>
  </si>
  <si>
    <t>2-s2.0-85159024362</t>
  </si>
  <si>
    <t>Xu Z.; Fu L.; Wang X.</t>
  </si>
  <si>
    <t>Xu, Zihang (57833631100); Fu, Luoyi (35955852600); Wang, Xinbing (22136880500)</t>
  </si>
  <si>
    <t>57833631100; 35955852600; 22136880500</t>
  </si>
  <si>
    <t>PromptRGD: Prompt Learning with Relation-aware Gradient Denoising for Low-resource Relation Extraction</t>
  </si>
  <si>
    <t>Proceedings - 2022 IEEE International Conference on Big Data, Big Data 2022</t>
  </si>
  <si>
    <t>1162.0</t>
  </si>
  <si>
    <t>1171.0</t>
  </si>
  <si>
    <t>10.1109/BigData55660.2022.10020399</t>
  </si>
  <si>
    <t>https://www.scopus.com/inward/record.uri?eid=2-s2.0-85147897978&amp;doi=10.1109%2fBigData55660.2022.10020399&amp;partnerID=40&amp;md5=737c0c93ce93bcfafb8300e365ee5970</t>
  </si>
  <si>
    <t>Shanghai Jiao Tong University, Department of Computer Science, Shanghai, China</t>
  </si>
  <si>
    <t>Xu Z., Shanghai Jiao Tong University, Department of Computer Science, Shanghai, China; Fu L., Shanghai Jiao Tong University, Department of Computer Science, Shanghai, China; Wang X., Shanghai Jiao Tong University, Department of Computer Science, Shanghai, China</t>
  </si>
  <si>
    <t>Relation extraction is a fundamental task to construct a knowledge graph, which aims to find the relation categories between two entities from a string of text input sequences. Considering the fact that high-quality labeled data is rare, a recent trend is low-resource setting. Existing works either utilize prompt-based learning method to achieve encouraging results for few-shot tasks by determining an appropriate prompt template, or leverage unlabeled data by generating pseudo labels. However, the manual design of the prompt template requires not only labor-intensive but also expert knowledge. Roughly utilizing a semi-supervised method to assign pseudo-label to unlabeled data will suffer from noise accumulation. To tackle these problems, we propose a novel semi-supervised prompt learning framework with relation-aware gradient denoising for low-resource relation extraction(PromptRGD). Firstly, using learnable template words and virtual labels for prompt learning, we introduce entity type and relation prior knowledge into prompt template construction. Secondly, given the relation-aware gradient similarity between labeled and unlabeled data, PromptRGD generates a pseudo label and then improves the quality of pseudo labels on unlabeled samples in a self-training fashion. The main experimental results and a series of analyses prove the effectiveness of PromptRGD. ¬© 2022 IEEE.</t>
  </si>
  <si>
    <t>gradient denoising; low-resource relation extraction; self-training; semi-supervised prompt learning</t>
  </si>
  <si>
    <t>Knowledge graph; Learning systems; Supervised learning; De-noising; Gradient denoising; Knowledge graphs; Low-resource relation extraction; Relation extraction; Self-training; Semi-supervised; Semi-supervised prompt learning; Text input; Unlabeled data; Extraction</t>
  </si>
  <si>
    <t>Radford A., Wu J., Child R., Luan D., Amodei D., Sutskever I., Et al., Language models are unsupervised multitask learners, OpenAI Blog, 1, 8, (2019); Devlin J., Chang M.W., Lee K., Toutanova K., BERT: Pretraining of deep bidirectional transformers for language understanding, Naacl Hlt 2019-2019 Conference of the North American Chapter of the Association for Computational Linguistics: Human Language Technologies-Proceedings of the Conference, 1, 2019, pp. 4171-4186; Raffel C., Shazeer N., Roberts A., Lee K., Narang S., Matena M., Zhou Y., Li W., Liu P.J., Exploring the limits of transfer learning with a unified text-to-text transformer, Journal of Machine Learning Research, 21, pp. 1-67, (2020); Zeng W., Lin Y., Liu Z., Sun M., Incorporating Relation Paths in Neural Relation Extraction, (2016); Zhang Y., Zhong V., Chen D., Angeli G., Manning C.D., Positionaware attention and supervised data improve slot filling, Conference on Empirical Methods in Natural Language Processing, (2017); Liu P., Yuan W., Fu J., Jiang Z., Hayashi H., Neubig G., Pre-train, Prompt, and Predict: A Systematic Survey of Prompting Methods in Natural Language Processing, pp. 1-46, (2021); Gao T., Fisch A., Chen D., Making Pre-trained Language Models Better Few-shot Learners, (2020); Shin T., Razeghi Y., Logan R.L., Wallace E., Singh S., Autoprompt: Eliciting Knowledge from Language Models with Automatically Generated Prompts, (2020); Liu X., Zheng Y., Du Z., Ding M., Qian Y., Yang Z., Tang J., Gpt Understands, Too, (2021); Schick T., Schutze H., Exploiting Cloze Questions for Few Shot Text Classification and Natural Language Inference, (2020); It's Not Just Size That Matters: Small Language Models Are Also Few-shot Learners, (2020); Mintz M., Bills S., Snow R., Jurafsky D., Distant supervision for relation extraction without labeled data, Proceedings of the Joint Conference of the 47th Annual Meeting of the Acl and the 4th International Joint Conference on Natural Language Processing of the Afnlp, pp. 1003-1011, (2009); Zeng D., Liu K., Chen Y., Zhao J., Distant supervision for relation extraction via piecewise convolutional neural networks, Proceedings of the 2015 Conference on Empirical Methods in Natural Language Processing, pp. 1753-1762, (2015); Rosenberg C., Hebert M., Schneiderman H., Semi-supervised Selftraining of Object Detection Models, (2005); Curran J.R., Murphy T., Scholz B., Minimising semantic drift with mutual exclusion bootstrapping, Proceedings of the 10th Conference of the Pacific Association for Computational Linguistics, 6, pp. 172-180, (2007); Zhang C., Bengio S., Hardt M., Recht B., Vinyals O., Understanding Deep Learning Requires Rethinking Generalization. Arxiv 2016, (2019); Hu X., Zhang C., Yang Y., Li X., Lin L., Wen L., Yu P.S., Gradient Imitation Reinforcement Learning for Low Resource Relation Extraction, (2021); Zhou W., Chen M., An Improved Baseline for Sentence-level Relation Extraction, (2021); Zhou P., Shi W., Tian J., Qi Z., Li B., Hao H., Xu B., Attentionbased bidirectional long short-term memory networks for relation classification, Proceedings of the 54th Annual Meeting of the Association for Computational Linguistics, 2, pp. 207-212, (2016); Tarvainen A., Valpola H., Mean teachers are better role models: Weight-averaged consistency targets improve semi-supervised deep learning results, Advances in Neural Information Processing Systems, 30, (2017); Lin H., Yan J., Qu M., Ren X., Learning dual retrieval module for semi-supervised relation extraction, The World Wide Web Conference, pp. 1073-1083, (2019); Li W., Qian T., Exploit Multiple Reference Graphs for Semisupervised Relation Extraction, (2020); Hu X., Zhang C., Ma F., Liu C., Wen L., Yu P.S., Semi-supervised Relation Extraction Via Incremental Meta Self-training, (2020); Hendrickx I., Kim S.N., Kozareva Z., Nakov P., Seaghdha D.O., Pado S., Pennacchiotti M., Romano L., Szpakowicz S., Semeval-2010 Task 8: Multi-way Classification of Semantic Relations between Pairs of Nominals, (2019); Stoica G., Platanios E.A., Poczos B., Re-tacred: Addressing shortcomings of the tacred dataset, Proceedings of the Thirty-fifth Aaai Conference on Aritificial Intelligence, (2021); Soderland S., Fisher D., Aseltine J., Lehnert W., Crystal: Inducing a Conceptual Dictionary, (1995); Mooney R., Relational learning of pattern-match rules for information extraction, Proceedings of the Sixteenth National Conference on Artificial Intelligence, 328, (1999); Jiang J., Zhai C., A systematic exploration of the feature space for relation extraction, Human Language Technologies 2007: The Conference of the North American Chapter of the Association for Computational Linguistics; Proceedings of the Main Conference, pp. 113-120, (2007); Nguyen D.P., Matsuo Y., Ishizuka M., Relation extraction from wikipedia using subtree mining, Proceedings of the National Conference on Artificial Intelligence, 22, 2, (2007); Zhou G., Su J., Zhang J., Zhang M., Exploring various knowledge in relation extraction, Proceedings of the 43rd Annual Meeting of the Association for Computational Linguistics (acl'05, pp. 427-434, (2005); Zeng D., Liu K., Lai S., Zhou G., Zhao J., Relation classification via convolutional deep neural network, Proceedings of Coling 2014, the 25th International Conference on Computational Linguistics: Technical Papers, pp. 2335-2344, (2014); Vu N.T., Adel H., Gupta P., Schutze H., Combining Recurrent and Convolutional Neural Networks for Relation Classification, (2016); Guo Z., Zhang Y., Lu W., Attention Guided Graph Convolutional Networks for Relation Extraction, (2019); Guo Z., Nan G., Lu W., Cohen S.B., Learning latent forests for medical relation extraction, Proceedings of the Twenty-Ninth International Conference on International Joint Conferences on Artificial Intelligence, pp. 3651-3657, (2021); Zhang Y., Qi P., Manning C.D., Graph Convolution over Pruned Dependency Trees Improves Relation Extraction, (2018); Lin Y., Ji H., Huang F., Wu L., A joint neural model for information extraction with global features, Proceedings of the 58th Annual Meeting of the Association for Computational Linguistics, pp. 7999-8009, (2020); Wang Z., Wen R., Chen X., Huang S.-L., Zhang N., Zheng Y., Finding Influential Instances for Distantly Supervised Relation Extraction, (2020); Zhang N., Chen X., Xie X., Deng S., Tan C., Chen M., Huang F., Si L., Chen H., Document-level Relation Extraction As Semantic Segmentation, (2021); Joshi M., Chen D., Liu Y., Weld D.S., Zettlemoyer L., Levy O., Spanbert: Improving pre-training by representing and predicting spans, Transactions of the Association for Computational Linguistics, 8, pp. 64-77, (2020); Lyu S., Chen H., Relation Classification with Entity Type Restriction, (2021); Han X., Zhu H., Yu P., Wang Z., Yao Y., Liu Z., Sun M., Fewrel: A Large-scale Supervised Few-shot Relation Classification Dataset with Stateof-The-art Evaluation, (2018); Gao T., Han X., Xie R., Liu Z., Lin F., Lin L., Sun M., Neural snowball for few-shot relation learning, Proceedings of the Aaai Conference on Artificial Intelligence, 34, 5, pp. 7772-7779, (2020); Brown T., Mann B., Ryder N., Subbiah M., Kaplan J.D., Dhariwal P., Neelakantan A., Shyam P., Sastry G., Askell A., Et al., Language models are few-shot learners, Advances in Neural Information Processing Systems, 33, pp. 1877-1901, (2020); Li X.L., Liang P., Prefix-tuning: Optimizing Continuous Prompts for Generation, (2021); Han X., Zhao W., Ding N., Liu Z., Sun M., Ptr: Prompt Tuning with Rules for Text Classification, (2021); Chen X., Zhang N., Xie X., Deng S., Yao Y., Tan C., Huang F., Si L., Chen H., Knowprompt: Knowledge-aware prompt-tuning with synergistic optimization for relation extraction, Proceedings of the Acm Web Conference 2022, pp. 2778-2788, (2022)</t>
  </si>
  <si>
    <t>Z. Xu; Shanghai Jiao Tong University, Department of Computer Science, Shanghai, China; email: zihang_x@sjtu.edu.cn; L. Fu; Shanghai Jiao Tong University, Department of Computer Science, Shanghai, China; email: yiluofu@sjtu.edu.cn</t>
  </si>
  <si>
    <t>Tsumoto S.; Ohsawa Y.; Chen L.; Van den Poel D.; Hu X.; Motomura Y.; Takagi T.; Wu L.; Xie Y.; Abe A.; Raghavan V.</t>
  </si>
  <si>
    <t>Ankura; et al.; Hitachi; KPMG Consulting Co., Ltd.; NTT Data Intellilink Corporation; Think in Data Initiative, Association Inc</t>
  </si>
  <si>
    <t>2022 IEEE International Conference on Big Data, Big Data 2022</t>
  </si>
  <si>
    <t>17 December 2022 through 20 December 2022</t>
  </si>
  <si>
    <t>Osaka</t>
  </si>
  <si>
    <t>186390.0</t>
  </si>
  <si>
    <t>978-166548045-1</t>
  </si>
  <si>
    <t>Proc. - IEEE Int. Conf. Big Data, Big Data</t>
  </si>
  <si>
    <t>2-s2.0-85147897978</t>
  </si>
  <si>
    <t>Guo Q.; Guo Y.; Zhao J.</t>
  </si>
  <si>
    <t>Guo, Qian (57672458400); Guo, Yi (57215820367); Zhao, Jin (35794303200)</t>
  </si>
  <si>
    <t>57672458400; 57215820367; 35794303200</t>
  </si>
  <si>
    <t>HRCL: Hierarchical Relation Contrastive Learning for Low-Resource Relation Extraction</t>
  </si>
  <si>
    <t>IEEE Transactions on Neural Networks and Learning Systems</t>
  </si>
  <si>
    <t>13.0</t>
  </si>
  <si>
    <t>10.1109/TNNLS.2024.3386611</t>
  </si>
  <si>
    <t>https://www.scopus.com/inward/record.uri?eid=2-s2.0-85192164676&amp;doi=10.1109%2fTNNLS.2024.3386611&amp;partnerID=40&amp;md5=8ce39f4cce1fba44a8b5128194b21f8e</t>
  </si>
  <si>
    <t>Department of Computer Science and Engineering, East China University of Science and Technology, Shanghai, China; School of Computer Science, Shanghai Key Laboratory of Data Science, Fudan University, Shanghai, China</t>
  </si>
  <si>
    <t>Guo Q., Department of Computer Science and Engineering, East China University of Science and Technology, Shanghai, China; Guo Y., Department of Computer Science and Engineering, East China University of Science and Technology, Shanghai, China; Zhao J., School of Computer Science, Shanghai Key Laboratory of Data Science, Fudan University, Shanghai, China</t>
  </si>
  <si>
    <t>Low-resource relation extraction (LRE) aims to extract the relationships between given entities from natural language sentences in low-resource application scenarios, which has been an incredibly challenging task due to the limited annotated corpora. Existing studies either leverage self-training schemes to expand the scale of labeled data, while the error accumulation of pseudo-labels&amp;#x2019; selection bias provoke the gradual drift problem in subsequent relation prediction, or utilize the instance-wise contrastive learning that fails to distinguish those sentence pairs with similar semantics. To alleviate these defects, this article introduces a novel contrastive learning framework called hierarchical relation contrastive learning (HRCL) for LRE. HRCL leverages task-related instruction description and schema-constrained as prompts to generate high-level relation representations. To enhance the efficacy of contrastive learning, we further employ hierarchical affinity propagation clustering (HiPC) to derive hierarchical signals from relational feature space with a hierarchy cross-attention (HCA) mechanism and effectively optimize pair-level relation features through relation-wise contrastive learning. Exhaustive experiments have been conducted on five public relation extraction (RE) datasets in low-resource settings. The results demonstrate the effectiveness and robustness of HRCL and outperform the current state-of-the-art (SOTA) model by 6.56% on average in terms of &lt;inline-formula&gt; &lt;tex-math notation="LaTeX"&gt;${{\rm B}^{3}{\rm F}_{1}}$&lt;/tex-math&gt; &lt;/inline-formula&gt;. Our source code is publicly available at https://github.com/Phevos75/HRCLRE. IEEE</t>
  </si>
  <si>
    <t>Clustering algorithms; Data models; Feature extraction; Hierarchical propagation clustering; Iterative methods; low-resource relation extraction (LRE); relation contrastive learning; relational feature space; Self-supervised learning; Semantics; Task analysis</t>
  </si>
  <si>
    <t>Clustering algorithms; Data mining; Extraction; Feature extraction; Job analysis; Semantics; Clusterings; Features extraction; Hierarchical propagation clustering; Hierarchical relations; Low-resource relation extraction; Relation contrastive learning; Relation extraction; Relational feature spaces; Self-supervised learning; Task analysis; Iterative methods</t>
  </si>
  <si>
    <t>2162237X</t>
  </si>
  <si>
    <t>IEEE Trans. Neural Networks Learn. Sys.</t>
  </si>
  <si>
    <t>Article in press</t>
  </si>
  <si>
    <t>2-s2.0-85192164676</t>
  </si>
  <si>
    <t>Zhou W.; Zhang S.; Naumann T.; Chen M.; Poon H.</t>
  </si>
  <si>
    <t>Zhou, Wenxuan (57216971947); Zhang, Sheng (57211157782); Naumann, Tristan (56355422000); Chen, Muhao (57077271100); Poon, Hoifung (15056546800)</t>
  </si>
  <si>
    <t>57216971947; 57211157782; 56355422000; 57077271100; 15056546800</t>
  </si>
  <si>
    <t>Continual Contrastive Finetuning Improves Low-Resource Relation Extraction</t>
  </si>
  <si>
    <t>13249.0</t>
  </si>
  <si>
    <t>13263.0</t>
  </si>
  <si>
    <t>10.18653/v1/2023.acl-long.739</t>
  </si>
  <si>
    <t>https://www.scopus.com/inward/record.uri?eid=2-s2.0-85173655117&amp;doi=10.18653%2fv1%2f2023.acl-long.739&amp;partnerID=40&amp;md5=11345ea1f1cb9b8e62181bdc5fd1e181</t>
  </si>
  <si>
    <t>University of Southern California, United States; Microsoft Research</t>
  </si>
  <si>
    <t>Zhou W., University of Southern California, United States; Zhang S., Microsoft Research; Naumann T., Microsoft Research; Chen M., University of Southern California, United States; Poon H., Microsoft Research</t>
  </si>
  <si>
    <t>Relation extraction (RE), which has relied on structurally annotated corpora for model training, has been particularly challenging in low-resource scenarios and domains. Recent literature has tackled low-resource RE by self-supervised learning, where the solution involves pretraining the entity pair embedding by RE-based objective and finetuning on labeled data by classification-based objective. However, a critical challenge to this approach is the gap in objectives, which prevents the RE model from fully utilizing the knowledge in pretrained representations. In this paper, we aim at bridging the gap and propose to pretrain and finetune the RE model using consistent objectives of contrastive learning. Since in this kind of representation learning paradigm, one relation may easily form multiple clusters in the representation space, we further propose a multi-center contrastive loss that allows one relation to form multiple clusters to better align with pretraining. Experiments on two document-level RE datasets, BioRED and Re-DocRED, demonstrate the effectiveness of our method. Particularly, when using 1% end-task training data, our method outperforms PLM-based RE classifier by 10.5% and 6.1% on the two datasets, respectively. ¬© 2023 Association for Computational Linguistics.</t>
  </si>
  <si>
    <t>Classification (of information); Computational linguistics; Learning systems; Critical challenges; Embeddings; Extraction modeling; Labeled data; Learning paradigms; Model training; Multiple clusters; Pre-training; Relation extraction; Representation space; Extraction</t>
  </si>
  <si>
    <t>Soares Livio Baldini, FitzGerald Nicholas, Ling Jeffrey, Kwiatkowski Tom, Matching the blanks: Distributional similarity for relation learning, Proceedings of the 57th Annual Meeting of the Association for Computational Linguistics, pp. 2895-2905, (2019); Chen Mayee, Fu Daniel Y, Narayan Avanika, Zhang Michael, Song Zhao, Fatahalian Kayvon, Re Christopher, Perfectly balanced: Improving transfer and robustness of supervised contrastive learning, International Conference on Machine Learning, pp. 3090-3122, (2022); Chen Ting, Kornblith Simon, Norouzi Mohammad, Hinton Geoffrey, A simple framework for contrastive learning of visual representations, International conference on machine learning, pp. 1597-1607, (2020); Angeline Christobel Y, Sivaprakasam P, A new classwise k nearest neighbor (cknn) method for the classification of diabetes dataset, International Journal of Engineering and Advanced Technology, 2, 3, pp. 396-200, (2013); Christopoulou Fenia, Miwa Makoto, Ananiadou Sophia, Connecting the dots: Document-level neural relation extraction with edge-oriented graphs, Proceedings of the 2019 Conference on Empirical Methods in Natural Language Processing and the 9th International Joint Conference on Natural Language Processing (EMNLP-IJCNLP), pp. 4925-4936, (2019); Devlin Jacob, Chang Ming-Wei, Lee Kenton, Toutanova Kristina, BERT: Pre-training of deep bidirectional transformers for language understanding, Proceedings of the 2019 Conference of the North American Chapter of the Association for Computational Linguistics: Human Language Technologies, Volume 1 (Long and Short Papers), pp. 4171-4186, (2019); Gao Tianyu, Yao Xingcheng, Chen Danqi, SimCSE: Simple contrastive learning of sentence embeddings, Proceedings of the 2021 Conference on Empirical Methods in Natural Language Processing, pp. 6894-6910, (2021); Graf Florian, Hofer Christoph, Niethammer Marc, Kwitt Roland, Dissecting supervised con-strastive learning, International Conference on Machine Learning, pp. 3821-3830, (2021); Gu Yu, Tinn Robert, Cheng Hao, Lucas Michael, Usuyama Naoto, Liu Xiaodong, Naumann Tristan, Gao Jianfeng, Poon Hoifung, Domain-specific language model pretraining for biomedical natural language processing, ACM Transactions on Computing for Healthcare (HEALTH), 3, 1, pp. 1-23, (2021); Gunel Beliz, Du Jingfei, Conneau Alexis, Stoyanov Veselin, Supervised contrastive learning for pre-trained language model fine-tuning, International Conference on Learning Representations, (2021); Hadsell Raia, Chopra Sumit, LeCun Yann, Dimensionality reduction by learning an invariant mapping, 2006 IEEE Computer Society Conference on Computer Vision and Pattern Recognition (CVPR'06), 2, pp. 1735-1742, (2006); Han Xu, Zhu Hao, Yu Pengfei, Wang Ziyun, Yao Yuan, Liu Zhiyuan, Sun Maosong, FewRel: A large-scale supervised few-shot relation classification dataset with state-of-the-art evaluation, Proceedings of the 2018 Conference on Empirical Methods in Natural Language Processing, pp. 4803-4809, (2018); Hendrickx Iris, Kim Su Nam, Kozareva Zornitsa, Nakov Preslav, Seaghdha Diarmuid O, Pado Sebastian, Pennacchiotti Marco, Romano Lorenza, Szpakowicz Stan, SemEval-2010 task 8: Multi-way classification of semantic relations between pairs of nominals, Proceedings of the 5th International Workshop on Semantic Evaluation, pp. 33-38, (2010); Islam Ashraful, Richard Chen Chun-Fu, Panda Rameswar, Karlinsky Leonid, Radke Richard, Feris Rogerio, A broad study on the transferability of visual representations with contrastive learning, Proceedings of the IEEE/CVF International Conference on Computer Vision, pp. 8845-8855, (2021); Jia Robin, Wong Cliff, Poon Hoifung, Document-level n-ary relation extraction with multiscale representation learning, Proceedings of the 2019 Conference of the North American Chapter of the Association for Computational Linguistics: Human Language Technologies, Volume 1 (Long and Short Papers), pp. 3693-3704, (2019); Khandelwal Urvashi, Fan Angela, Jurafsky Dan, Zettlemoyer Luke, Lewis Mike, Nearest neighbor machine translation, International Conference on Learning Representations, (2021); Khandelwal Urvashi, Levy Omer, Jurafsky Dan, Zettlemoyer Luke, Lewis Mike, Generalization through memorization: Nearest neighbor language models, International Conference on Learning Representations, (2020); Khosla Prannay, Teterwak Piotr, Wang Chen, Sarna Aaron, Tian Yonglong, Isola Phillip, Maschinot Aaron, Liu Ce, Krishnan Dilip, Supervised contrastive learning, Advances in Neural Information Processing Systems, 33, pp. 18661-18673, (2020); Kipf Thomas N., Welling Max, Semi-supervised classification with graph convolutional networks, International Conference on Learning Representations (ICLR), (2017); Levy Omer, Seo Minjoon, Choi Eunsol, Zettlemoyer Luke, Zero-shot relation extraction via reading comprehension, Proceedings of the 21st Conference on Computational Natural Language Learning (CoNLL 2017), pp. 333-342, (2017); Loshchilov Ilya, Hutter Frank, Decoupled weight decay regularization, International Conference on Learning Representations, (2018); Lu Keming, Hsu I-Hung, Ma Mingyu Derek, Zhou Wenxuan, Chen Muhao, Summarization as indirect supervision for relation extraction, Findings of ACL: EMNLP, (2022); Luo Ling, Lai Po-Ting, Wei Chih-Hsuan, Arighi Cecilia N, Lu Zhiyong, Biored: a rich biomedical relation extraction dataset, Briefings in Bioinformatics, 23, 5, (2022); Mintz Mike, Bills Steven, Snow Rion, Jurafsky Daniel, Distant supervision for relation extraction without labeled data, Proceedings of the Joint Conference of the 47th Annual Meeting of the ACL and the 4th International Joint Conference on Natural Language Processing of the AFNLP, pp. 1003-1011, (2009); Movshovitz-Attias Yair, Toshev Alexander, Leung Thomas K, Ioffe Sergey, Singh Saurabh, No fuss distance metric learning using proxies, Proceedings of the IEEE International Conference on Computer Vision, pp. 360-368, (2017); Nan Guoshun, Guo Zhijiang, Sekulic Ivan, Lu Wei, Reasoning with latent structure refinement for document-level relation extraction, Proceedings of the 58th Annual Meeting of the Association for Computational Linguistics, pp. 1546-1557, (2020); van den Oord Aaron, Li Yazhe, Vinyals Oriol, Representation learning with contrastive predictive coding, (2018); Peng Hao, Gao Tianyu, Han Xu, Lin Yankai, Li Peng, Liu Zhiyuan, Sun Maosong, Zhou Jie, Learning from Context or Names? An Empirical Study on Neural Relation Extraction, Proceedings of the 2020 Conference on Empirical Methods in Natural Language Processing (EMNLP), pp. 3661-3672, (2020); Peng Nanyun, Poon Hoifung, Quirk Chris, Toutanova Kristina, Yih Wen-tau, Cross-sentence n-ary relation extraction with graph LSTMs, Transactions of the Association for Computational Linguistics, 5, pp. 101-115, (2017); Qin Yujia, Lin Yankai, Takanobu Ryuichi, Liu Zhiyuan, Li Peng, Ji Heng, Huang Minlie, Sun Maosong, Zhou Jie, ERICA: Improving entity and relation understanding for pre-trained language models via contrastive learning, Proceedings of the 59th Annual Meeting of the Association for Computational Linguistics and the 11th International Joint Conference on Natural Language Processing (Volume 1: Long Papers), pp. 3350-3363, (2021); Quirk Chris, Poon Hoifung, Distant supervision for relation extraction beyond the sentence boundary, Proceedings of the 15th Conference of the European Chapter of the Association for Computational Linguistics: Volume 1, Long Papers, pp. 1171-1182, (2017); Ronneberger Olaf, Fischer Philipp, Brox Thomas, U-net: Convolutional networks for biomedical image segmentation, International Conference on Medical image computing and computer-assisted intervention, pp. 234-241, (2015); Sainz Oscar, de Lacalle Oier Lopez, Labaka Gorka, Barrena Ander, Agirre Eneko, Label verbalization and entailment for effective zero and few-shot relation extraction, Proceedings of the 2021 Conference on Empirical Methods in Natural Language Processing, pp. 1199-1212, (2021); Tan Qingyu, He Ruidan, Bing Lidong, Ng Hwee Tou, Document-level relation extraction with adaptive focal loss and knowledge distillation, Findings of the Association for Computational Linguistics: ACL 2022, pp. 1672-1681, (2022); Tan Qingyu, Xu Lu, Bing Lidong, Ng Hwee Tou, Revisiting docred - addressing the overlooked false negative problem in relation extraction, (2022); Van der Maaten Laurens, Hinton Geoffrey, Visualizing data using t-sne, Journal of machine learning research, 9, 11, (2008); Wang Feng, Liu Huaping, Understanding the behaviour of contrastive loss, Proceedings of the IEEE/CVF conference on computer vision and pattern recognition, pp. 2495-2504, (2021); Wei Chih-Hsuan, Allot Alexis, Leaman Robert, Lu Zhiyong, Pubtator central: automated concept annotation for biomedical full text articles, Nucleic acids research, 47, W1, pp. W587-W593, (2019); Wolf Thomas, Debut Lysandre, Sanh Victor, Chaumond Julien, Delangue Clement, Moi Anthony, Cistac Pierric, Rault Tim, Louf Remi, Funtowicz Morgan, Davison Joe, Shleifer Sam, von Platen Patrick, Ma Clara, Jernite Yacine, Plu Julien, Xu Canwen, Le Scao Teven, Gugger Sylvain, Drame Mariama, Lhoest Quentin, Rush Alexander, Transformers: State-of-the-art natural language processing, Proceedings of the 2020 Conference on Empirical Methods in Natural Language Processing: System Demonstrations, pp. 38-45, (2020); Yao Yuan, Ye Deming, Li Peng, Han Xu, Lin Yankai, Liu Zhenghao, Liu Zhiyuan, Huang Lixin, Zhou Jie, Sun Maosong, DocRED: A large-scale document-level relation extraction dataset, Proceedings of the 57th Annual Meeting of the Association for Computational Linguistics, pp. 764-777, (2019); Zeng Shuang, Xu Runxin, Chang Baobao, Li Lei, Double graph based reasoning for document-level relation extraction, Proceedings of the 2020 Conference on Empirical Methods in Natural Language Processing (EMNLP), pp. 1630-1640, (2020); Zhang Ningyu, Chen Xiang, Xie Xin, Deng Shumin, Tan Chuanqi, Chen Mosha, Huang Fei, Si Luo, Chen Huajun, Document-level relation extraction as semantic segmentation, IJCAI, (2021); Zhang Ningyu, Deng Shumin, Sun Zhanlin, Wang Guanying, Chen Xi, Zhang Wei, Chen Huajun, Long-tail relation extraction via knowledge graph embeddings and graph convolution networks, Proceedings of the 2019 Conference of the North American Chapter of the Association for Computational Linguistics: Human Language Technologies, Volume 1 (Long and Short Papers), pp. 3016-3025, (2019); Zhang Yuhao, Qi Peng, Manning Christopher D., Graph convolution over pruned dependency trees improves relation extraction, Proceedings of the 2018 Conference on Empirical Methods in Natural Language Processing, pp. 2205-2215, (2018); Zhang Yuhao, Zhong Victor, Chen Danqi, An-geli Gabor, Manning Christopher D., Position-aware attention and supervised data improve slot filling, Proceedings of the 2017 Conference on Empirical Methods in Natural Language Processing, pp. 35-45, (2017); Zhong Zexuan, Chen Danqi, A frustratingly easy approach for entity and relation extraction, Proceedings of the 2021 Conference of the North American Chapter of the Association for Computational Linguistics: Human Language Technologies, pp. 50-61, (2021); Zhou Wenxuan, Chen Muhao, An improved baseline for sentence-level relation extraction, AACL-IJCNLP, (2022); Zhou Wenxuan, Huang Kevin, Ma Tengyu, Huang Jing, Document-level relation extraction with adaptive thresholding and localized context pooling, Proceedings of the AAAI conference on artificial intelligence, 35, pp. 14612-14620, (2021); Zhu Jianggang, Wang Zheng, Chen Jingjing, Phoebe Chen Yi-Ping, Jiang Yu-Gang, Balanced contrastive learning for long-tailed visual recognition, Proceedings of the IEEE/CVF Conference on Computer Vision and Pattern Recognition, pp. 6908-6917, (2022)</t>
  </si>
  <si>
    <t>2-s2.0-85173655117</t>
  </si>
  <si>
    <t>Enayati S.; Vucetic S.</t>
  </si>
  <si>
    <t>Enayati, Saman (57221805885); Vucetic, Slobodan (6603260730)</t>
  </si>
  <si>
    <t>57221805885; 6603260730</t>
  </si>
  <si>
    <t>Leveraging shortest dependency paths in low-resource biomedical relation extraction</t>
  </si>
  <si>
    <t>BMC Medical Informatics and Decision Making</t>
  </si>
  <si>
    <t>10.1186/s12911-024-02592-2</t>
  </si>
  <si>
    <t>https://www.scopus.com/inward/record.uri?eid=2-s2.0-85199363601&amp;doi=10.1186%2fs12911-024-02592-2&amp;partnerID=40&amp;md5=6b0ee56abdaa73f415108ad77c14b7dc</t>
  </si>
  <si>
    <t>Department of Computer and Information Sciences, Temple University, 1925 N. 12th Street, Suite 304, Philadelphia, 19122, PA, United States</t>
  </si>
  <si>
    <t>Enayati S., Department of Computer and Information Sciences, Temple University, 1925 N. 12th Street, Suite 304, Philadelphia, 19122, PA, United States; Vucetic S., Department of Computer and Information Sciences, Temple University, 1925 N. 12th Street, Suite 304, Philadelphia, 19122, PA, United States</t>
  </si>
  <si>
    <t>Background: Biomedical Relation Extraction (RE) is essential for uncovering complex relationships between biomedical entities within text. However, training RE classifiers is challenging in low-resource biomedical applications with few labeled examples. Methods: We explore the potential of Shortest Dependency Paths (SDPs) to aid biomedical RE, especially in situations with limited labeled examples. In this study, we suggest various approaches to employ SDPs when creating word and sentence representations under supervised, semi-supervised, and in-context-learning settings. Results: Through experiments on three benchmark biomedical text datasets, we find that incorporating SDP-based representations enhances the performance of RE classifiers. The improvement is especially notable when working with small amounts of labeled data. Conclusion: SDPs offer valuable insights into the complex sentence structure found in many biomedical text passages. Our study introduces several straightforward techniques that, as demonstrated experimentally, effectively enhance the accuracy of RE classifiers. ¬© The Author(s) 2024.</t>
  </si>
  <si>
    <t>BERT; Low-resource; Natural language processing; Relation extraction; Shortest dependency path</t>
  </si>
  <si>
    <t>Data Mining; Humans; Machine Learning; Natural Language Processing; article; benchmarking; classifier; controlled study; human; human experiment; learning; male; natural language processing; normal human; data mining; machine learning; procedures</t>
  </si>
  <si>
    <t>Department of Computer and Information Sciences at Temple University</t>
  </si>
  <si>
    <t xml:space="preserve">This project was funded by the Department of Computer and Information Sciences at Temple University. The funding bodies played no role in the design of the study and collection, analysis, and interpretation of data and in writing the manuscript. </t>
  </si>
  <si>
    <t>Bairoch A., Apweiler R., The SWISS-PROT protein sequence data bank and its supplement TrEMBL, Nucleic Acids Res, 25, 1, pp. 31-36, (1997); Wishart D.S., Knox C., Guo A.C., Shrivastava S., Hassanali M., Stothard P., Et al., DrugBank: A comprehensive resource for in silico drug discovery and exploration, Nucleic Acids Res, 34, pp. D668-D672, (2006); Kohler G., Bode-Boger S., Busse R., Hoopmann M., Welte T., Boger R., Drug-drug interactions in medical patients: effects of in-hospital treatment and relation to multiple drug use, Int J Clin Pharmacol Ther, 38, 11, pp. 504-513, (2000); Von Mering C., Krause R., Snel B., Cornell M., Oliver S.G., Fields S., Et al., Comparative assessment of large-scale data sets of protein-protein interactions, Nature, 417, 6887, pp. 399-403, (2002); Wilkinson G.R., Drug metabolism and variability among patients in drug response, N Engl J Med, 352, 21, pp. 2211-2221, (2005); Wei Q., Ji Z., Si Y., Du J., Wang J., Tiryaki F., Et al., Relation extraction from clinical narratives using pre-trained language models, AMIA Annual Symposium Proceedings, 2019, (2019); Lee J., Yoon W., Kim S., Kim D., Kim S., So C.H., Et al., BioBERT: a pre-trained biomedical language representation model for biomedical text mining, Bioinformatics, 36, 4, pp. 1234-1240, (2020); Zhou W., Huang K., Ma T., Huang J., Document-level relation extraction with adaptive thresholding and localized context pooling, Proceedings of the AAAI Conference on Artificial Intelligence, 35, pp. 14612-14620; Mintz M., Bills S., Snow R., Jurafsky D., Distant supervision for relation extraction without labeled data, Proceedings of the Joint Conference of the 47Th Annual Meeting of the ACL and the 4Th International Joint Conference on Natural Language Processing of the AFNLP. Association for Computational Linguistics (ACL), pp. 1003-1011, (2009); Ouali Y., Hudelot C., Tami M., An overview of deep semi-supervised learning, Arxiv Preprint Arxiv, 2006, (2020); Liu J., Shen D., Zhang Y., Dolan B., Carin L., Chen W. What Makes Good In-Context Examples for GPT- 3, 2021. Arxiv Preprint Arxiv; Rubin O., Herzig J., Berant J., Learning to Retrieve Prompts for In-Context Learning., 2112, (2021); Qu M., Ren X., Zhang Y., Han J., Republic and Canton of Geneva Switzerland: International World Wide Web Conferences Steering Committee, Proceedings of the 2018 World Wide Web Conference, pp. 1257-1266, (2018); Zhou W., Lin H., Lin B.Y., Wang Z., Du J., Neves L., Et al., Nero: A neural rule grounding framework for label-efficient relation extraction, Proceedings of the Web Conference 2020, pp. 2166-2176, (2020); Rosenberg C., Hebert M., Schneiderman H., Semi-Supervised Self-Training of Object Detection Models, 2005 Seventh IEEE Workshops on Applications of Computer Vision (WACV/MOTION‚Äô05) - Volume 1, 1, pp. 29-36, (2005); Lin H., Yan J., Qu M., Ren X., Learning dual retrieval module for semi-supervised relation extraction, The World Wide Web Conference. New York, NY: Association for Computing Machinery, pp. 1073-1083, (2019); Hu X., Zhang C., Yang Y., Li X., Lin L., Wen L., Et al., Gradient Imitation Reinforcement Learning for Low Resource Relation Extraction, Proceedings of the 2021 Conference on Empirical Methods in Natural Language Processing, (2021); Zhou D., Bousquet O., Lal T., Weston J., Scholkopf B., Learning with local and global consistency, Adv Neural Inf Process Syst, 16, pp. 321-328, (2003); Chen J., Ji D., Tan C.L., Niu Z.Y., Relation extraction using label propagation based semi-supervised learning, Proceedings of the 21St International Conference on Computational Linguistics and 44Th Annual Meeting of the Association for Computational Linguistics, pp. 129-136, (2006); Li Z., Yang Z., Shen C., Xu J., Zhang Y., Xu H., Integrating shortest dependency path and sentence sequence into a deep learning framework for relation extraction in clinical text, BMC Med Inform Decis Mak, 19, 1, pp. 1-8, (2019); Zhang Y., Zheng W., Lin H., Wang J., Yang Z., Dumontier M., Drug-drug interaction extraction via hierarchical RNNs on sequence and shortest dependency paths, Bioinformatics, 34, 5, pp. 828-835, (2018); Liu H., Hunter L., Keselj V., Verspoor K., Approximate subgraph matching-based literature mining for biomedical events and relations, PLoS ONE, 8, 4, (2013); Devlin J., Chang M.W., Lee K., Toutanova K.B.E.R.T., Pre-training of Deep Bidirectional Transformers for Language Understanding, Proceedings of the 2019 Conference of the North American Chapter of the Association for Computational Linguistics: Human Language Technologies, 1, pp. 4171-4186, (2019); Baldini Soares L., Fitzgerald N., Ling J., Kwiatkowski T., Matching the Blanks: Distributional Similarity for Relation Learning, In: Proceedings of the 57Th Annual Meeting of the Association for Computational Linguistics, pp. 2895-2905, (2019); Zhu X., Ghahramani Z., Learning from Labeled and Unlabeled Data with Label Propagation, (2002); Sajjadi M., Javanmardi M., Tasdizen T., Regularization with stochastic transformations and perturbations for deep semi-supervised learning, Adv Neural Inf Process Syst, 29, pp. 1171-1179, (2016); Krallinger M., Rabal O., Akhondi S.A., Perez M.P., Santamaria J., Rodriguez G.P., Et al., Overview of the BioCreative VI chemical-protein interaction Track, Proceedings of the Sixth Biocreative Challenge Evaluation Workshop, 1, pp. 141-146, (2017); Segura-Bedmar I., Martinez Fernandez P., Herrero Zazo M., Semeval-2013 task 9: Extraction of drug-drug interactions from biomedical texts (ddiextraction 2013), Association for Computational Linguistics, (2013); Bunescu R., Ge R., Kate R.J., Marcotte E.M., Mooney R.J., Ramani A.K., Et al., Comparative experiments on learning information extractors for proteins and their interactions, Artif Intell Med, 33, 2, pp. 139-155, (2005); Beltagy I., Lo K., Cohan A., SciBERT: A pretrained language model for scientific text, 2019. Arxiv Preprint Arxiv, (1903); Zhang Y., Zhong V., Chen D., Angeli G., Manning C.D., Position-aware attention and supervised data improve slot filling, Conference on Empirical Methods in Natural Language Processing. Copenhagen, Denmark: Association for Computational Linguistics, (2017); Pedregosa F., Varoquaux G., Gramfort A., Michel V., Thirion B., Grisel O., Et al., Scikit-learn: Machine Learning in Python, J Mach Learn Res, 12, pp. 2825-2830, (2011); Neumann M., King D., Beltagy I., Ammar W., ScispaCy: Fast and robust models for biomedical natural language processing, In: Proceedings of the 18Th Bionlp Workshop and Shared Task, pp. 319-327, (2019); Tikk D., Thomas P., Palaga P., Hakenberg J., Leser U., A comprehensive benchmark of kernel methods to extract protein-protein interactions from literature, PLoS Comput Biol, 6, 7, (2010); Smola A., Vishwanathan S., Fast kernels for string and tree matching, Adv Neural Inf Process Syst, 15, pp. 585-592, (2002); Collins M., Duffy N., Convolution kernels for natural language, Adv Neural Inf Process Syst, 14, pp. 625-632, (2001); Moschitti A., Efficient convolution kernels for dependency and constituent syntactic trees, European Conference on Machine Learning, pp. 318-329, (2006); Kuboyama T., Hirata K., Kashima H., Aoki-Kinoshita K.F., Yasuda H., A spectrum tree kernel, Inf Media Technol, 2, 1, pp. 292-299, (2007); Erkan G., Ozgur A., Radev D., Semi-supervised classification for extracting protein interaction sentences using dependency parsing, Proceedings of the 2007 Joint Conference on Empirical Methods in Natural Language Processing and Computational Natural Language Learning (Emnlp-Conll). Prague, Czech Republic: Association for Computational Linguistics, pp. 228-237, (2007); Airola A., Pyysalo S., Bjorne J., Pahikkala T., Ginter F., Salakoski T., All-paths graph kernel for protein-protein interaction extraction with evaluation of cross-corpus learning, BMC Bioinformatics, 9, pp. 1-12, (2008); Palaga P., Extracting relations from biomedical texts using syntactic information. M√©moire de DEA, Technische Universit√§t Berlin, (2009)</t>
  </si>
  <si>
    <t>S. Enayati; Department of Computer and Information Sciences, Temple University, Philadelphia, 1925 N. 12th Street, Suite 304, 19122, United States; email: samanenayati@temple.edu</t>
  </si>
  <si>
    <t>BioMed Central Ltd</t>
  </si>
  <si>
    <t>39049015.0</t>
  </si>
  <si>
    <t>BMC Med. Informatics Decis. Mak.</t>
  </si>
  <si>
    <t>2-s2.0-85199363601</t>
  </si>
  <si>
    <t>Deng S.; Zhang N.; Chen H.; Tan C.; Huang F.; Xu C.; Chen H.</t>
  </si>
  <si>
    <t>Deng, Shumin (57201556430); Zhang, Ningyu (55923601900); Chen, Hui (57221150709); Tan, Chuanqi (57221151395); Huang, Fei (57210150087); Xu, Changliang (57225936783); Chen, Huajun (35268022500)</t>
  </si>
  <si>
    <t>57201556430; 55923601900; 57221150709; 57221151395; 57210150087; 57225936783; 35268022500</t>
  </si>
  <si>
    <t>Low-resource extraction with knowledge-aware pairwise prototype learning[Formula presented]</t>
  </si>
  <si>
    <t>Knowledge-Based Systems</t>
  </si>
  <si>
    <t>10.1016/j.knosys.2021.107584</t>
  </si>
  <si>
    <t>https://www.scopus.com/inward/record.uri?eid=2-s2.0-85119588924&amp;doi=10.1016%2fj.knosys.2021.107584&amp;partnerID=40&amp;md5=a5f3fa4b7c1a91c27345b3260399e756</t>
  </si>
  <si>
    <t>Zhejiang University, China; AZFT Joint Lab for Knowledge Engine, China; Hangzhou Innovation Center, Zhejiang University, China; Alibaba Group, China; State Key Laboratory of Media Convergence, China</t>
  </si>
  <si>
    <t>Deng S., Zhejiang University, China, AZFT Joint Lab for Knowledge Engine, China; Zhang N., Zhejiang University, China, AZFT Joint Lab for Knowledge Engine, China; Chen H., AZFT Joint Lab for Knowledge Engine, China, Alibaba Group, China; Tan C., AZFT Joint Lab for Knowledge Engine, China, Alibaba Group, China; Huang F., AZFT Joint Lab for Knowledge Engine, China, Alibaba Group, China; Xu C., State Key Laboratory of Media Convergence, China; Chen H., Zhejiang University, China, AZFT Joint Lab for Knowledge Engine, China, Hangzhou Innovation Center, Zhejiang University, China</t>
  </si>
  <si>
    <t>Knowledge Extraction (KE) aims at extracting structured information from raw texts, such as relation extraction and event extraction. One of the major issues for KE is the low-resource problem due to deficient samples. Previous work addresses the low-resource issue mostly via data-driven methods, such as transfer learning, while neglecting correlation knowledge among classes. For example, inherent correlation of entailment between the relation pair and causality between the event pair can also be utilized for low-resource KE. Consequently, we propose to leverage correlation knowledge via pairwise prototype learning on the hypersphere with a novel framework called Knowledge-aware Hyperspherical Prototype Network (K-HPN). K-HPN is able to recognize inherent correlation among classes, where each class is represented as a prototype on the hypersphere. The experimental results demonstrate that K-HPN outperforms previous methods of KE, particularly with low-resource training data regimes. ¬© 2021 Elsevier B.V.</t>
  </si>
  <si>
    <t>Knowledge extraction; Knowledge-aware; Low-resource; Pairwise prototype learning</t>
  </si>
  <si>
    <t>Data mining; Knowledge management; Hyper-spheres; Hyperspherical; Knowledge extraction; Knowledge-aware; Low-resource; Pairwise prototype learning; Prototype learning; Relation extraction; Resource extraction; Structured information; Extraction</t>
  </si>
  <si>
    <t>Alibaba-Zhejiang University Joint Institute of Frontier Technologies</t>
  </si>
  <si>
    <t>The authors would like to acknowledge that this work is funded by national key research program 2018YFB1402800 and NSFCU19B2027 , and also supported by Alibaba-Zhejiang University Joint Institute of Frontier Technologies .</t>
  </si>
  <si>
    <t>Zeng D., Liu K., Chen Y., Zhao J., Distant supervision for relation extraction via piecewise convolutional neural networks, EMNLP, pp. 1753-1762, (2015); Chen Y., Xu L., Liu K., Zeng D., Zhao J., Event extraction via dynamic multi-pooling convolutional neural networks, ACL (1), pp. 167-176, (2015); Zhao X., Wu W., Tao C., Xu C., Zhao D., Yan R., Low-resource knowledge-grounded dialogue generation, ICLR, (2020); Deng S., Zhang N., Zhang W., Chen J., Pan J.Z., Chen H., Knowledge-driven stock trend prediction and explanation via temporal convolutional network, WWW (Companion Volume), pp. 678-685, (2019); Wang P., Jiang H., Xu J., Zhang Q., Knowledge graph construction and applications for web search and beyond, Data Intell., 1, 4, pp. 333-349, (2019); Chen Y., Liu S., Zhang X., Liu K., Zhao J., Automatically labeled data generation for large scale event extraction, ACL (1), pp. 409-419, (2017); Zhang N., Deng S., Sun Z., Chen X., Zhang W., Chen H., Attention-based capsule network with dynamic routing for relation extraction, EMNLP, pp. 986-992, (2018); Yang S., Feng D., Qiao L., Kan Z., Li D., Exploring pre-trained language models for event extraction and generation, ACL (1), pp. 5284-5294, (2019); Ye H., Zhang N., Deng S., Chen M., Tan C., Huang F., Chen H., Contrastive triple extraction with generative transformer, AAAI, pp. 14257-14265, (2021); Zhang N., Deng S., Sun Z., Wang G., Chen X., Zhang W., Chen H., Long-tail relation extraction via knowledge graph embeddings and graph convolution networks, NAACL-HLT (1), pp. 3016-3025, (2019); Deng S., Zhang N., Kang J., Zhang Y., Zhang W., Chen H., Meta-learning with dynamic-memory-based prototypical network for few-shot event detection, WSDM, pp. 151-159, (2020); Zhang N., Deng S., Sun Z., Chen J., Zhang W., Chen H., Relation adversarial network for low resource knowledge graph completion, WWW, (2020); Zhang N., Deng S., Bi Z., Yu H., Yang J., Chen M., Huang F., Zhang W., Chen H., OpenUE: An open toolkit of universal extraction from text, EMNLP (Demos), pp. 1-8, (2020); Zhang N., Chen X., Xie X., Deng S., Tan C., Chen M., Huang F., Si L., Chen H., Document-level relation extraction as semantic segmentation, IJCAI, pp. 3999-4006, (2021); Sahraei B.R., Rahmani H., Weiss G., Tuyls K., Distant supervision of relation extraction in sparse data, Intell. Data Anal., 23, 5, pp. 1145-1166, (2019); Peng H., Song Y., Roth D., Event detection and co-reference with minimal supervision, EMNLP, pp. 392-402, (2016); Soares L.B., FitzGerald N., Ling J., Kwiatkowski T., Matching the blanks: Distributional similarity for relation learning, ACL (1), pp. 2895-2905, (2019); Yu H., Zhang N., Deng S., Ye H., Zhang W., Chen H., Bridging text and knowledge with multi-prototype embedding for few-shot relational triple extraction, COLING, pp. 6399-6410, (2020); Deng S., Zhang N., Li L., Hui C., Tou H., Chen M., Huang F., Chen H., Ontoed: Low-resource event detection with ontology embedding, ACL/IJCNLP (1), pp. 2828-2839, (2021); Snell J., Swersky K., Zemel R.S., Prototypical networks for few-shot learning, NIPS, pp. 4077-4087, (2017); Mettes P., van der Pol E., Snoek C., Hyperspherical prototype networks, Advances in Neural Information Processing Systems, vol. 32, pp. 1487-1497, (2019); Wang T., Isola P., Understanding contrastive representation learning through alignment and uniformity on the hypersphere, Proceedings of the 37th International Conference on Machine Learning, ICML 2020, 13‚Äì18 July 2020, Virtual Event, Proceedings of Machine Learning Research, 119, pp. 9929-9939, (2020); Gao T., Han X., Liu Z., Sun M., Hybrid attention-based prototypical networks for noisy few-shot relation classification, AAAI, pp. 6407-6414, (2019); Wu L., Zhang H., Yang Y., Liu X., Gao K., Dynamic prototype selection by fusing attention mechanism for few-shot relation classification, ACIIDS (1), Lecture Notes in Computer Science, 12033, pp. 431-441, (2020); Xie Y., Xu H., Li J., Yang C., Gao K., Heterogeneous graph neural networks for noisy few-shot relation classification, Knowl. Based Syst., 194, (2020); Chen Y., Yang H., Liu K., Zhao J., Jia Y., Collective event detection via a hierarchical and bias tagging networks with gated multi-level attention mechanisms, EMNLP, pp. 1267-1276, (2018); Nguyen D.Q., Verspoor K., From POS tagging to dependency parsing for biomedical event extraction, BMC Bioinform., 20, 1, pp. 721-72:13, (2019); Milne D.N., Witten I.H., Learning to link with wikipedia, CIKM, pp. 509-518, (2008); Zeng D., Liu K., Lai S., Zhou G., Zhao J., Relation classification via convolutional deep neural network, COLING, pp. 2335-2344, (2014); Ebrahimi J., Dou D., Chain based RNN for relation classification, HLT-NAACL, pp. 1244-1249, (2015); Devlin J., Chang M., Lee K., Toutanova K., BERT: pre-training of deep bidirectional transformers for language understanding, NAACL-HLT (1), pp. 4171-4186, (2019); Saff E.B., Kuijlaars A.B., Distributing many points on a sphere, Math. Intelligencer, 19, 1, pp. 5-11, (1997); ElSahar H., Vougiouklis P., Remaci A., Gravier C., Hare J.S., Laforest F., Simperl E., T-REx: A large scale alignment of natural language with knowledge base triples, LREC, (2018); Sorokin D., Gurevych I., Context-aware representations for knowledge base relation extraction, EMNLP, pp. 1784-1789, (2017); Mirza P., Tonelli S., An analysis of causality between events and its relation to temporal information, COLING, pp. 2097-2106, (2014); Ning Q., Feng Z., Wu H., Roth D., Joint reasoning for temporal and causal relations, ACL (1), pp. 2278-2288, (2018); Do Q., Chan Y.S., Roth D., Minimally supervised event causality identification, EMNLP, pp. 294-303, (2011); Nguyen T.H., Cho K., Grishman R., Joint event extraction via recurrent neural networks, HLT-NAACL, pp. 300-309, (2016); Liu X., Luo Z., Huang H., Jointly multiple events extraction via attention-based graph information aggregation, EMNLP, pp. 1247-1256, (2018); Ketkar N., Stochastic gradient descent, Optimization, (2014); Huang L., Ji H., Cho K., Dagan I., Riedel S., Voss C.R., Zero-shot transfer learning for event extraction, ACL (1), pp. 2160-2170, (2018); Ding N., Wang X., Fu Y., Xu G., Wang R., Xie P., Shen Y., Huang F., Zheng H., Zhang R., Prototypical representation learning for relation extraction, ICLR, (2021); Zhao S., Wang Q., Massung S., Qin B., Liu T., Wang B., Zhai C., Constructing and embedding abstract event causality networks from text snippets, WSDM, pp. 335-344, (2017); Li J., Wang R., Zhang N., Zhang W., Yang F., Chen H., Logic-guided semantic representation learning for zero-shot relation classification, COLING, pp. 2967-2978, (2020); Li M., Zeng Q., Lin Y., Cho K., Ji H., May J., Chambers N., Voss C.R., Connecting the dots: Event graph schema induction with path language modeling, EMNLP (1), pp. 684-695, (2020); Chen H., Deng S., Zhang W., Xu Z., Li J., Kharlamov E., Neural symbolic reasoning with knowledge graphs: Knowledge extraction, relational reasoning, and inconsistency checking, Fund. Res., (2021)</t>
  </si>
  <si>
    <t>N. Zhang; Zhejiang University, China; email: zhangningyu@zju.edu.cn; H. Chen; Zhejiang University, China; email: huajunsir@zju.edu.cn</t>
  </si>
  <si>
    <t>Elsevier B.V.</t>
  </si>
  <si>
    <t>KNSYE</t>
  </si>
  <si>
    <t>Knowl Based Syst</t>
  </si>
  <si>
    <t>2-s2.0-85119588924</t>
  </si>
  <si>
    <t>Halike A.; Wumaier A.; Yibulayin T.</t>
  </si>
  <si>
    <t>Halike, Ayiguli (57214761803); Wumaier, Aishan (35119676700); Yibulayin, Tuergen (35119649600)</t>
  </si>
  <si>
    <t>57214761803; 35119676700; 35119649600</t>
  </si>
  <si>
    <t>Zero-Shot Relation Triple Extraction with Prompts for Low-Resource Languages</t>
  </si>
  <si>
    <t>Applied Sciences (Switzerland)</t>
  </si>
  <si>
    <t>10.3390/app13074636</t>
  </si>
  <si>
    <t>https://www.scopus.com/inward/record.uri?eid=2-s2.0-85152677040&amp;doi=10.3390%2fapp13074636&amp;partnerID=40&amp;md5=74ed4b757a7820a9a405d41ada8f9a6d</t>
  </si>
  <si>
    <t>School of Information Science and Engineering, Xinjiang University, Urumqi, 830046, China; Xinjiang Laboratory of Multi-Language Information Technology, Urumqi, 830046, China</t>
  </si>
  <si>
    <t>Halike A., School of Information Science and Engineering, Xinjiang University, Urumqi, 830046, China, Xinjiang Laboratory of Multi-Language Information Technology, Urumqi, 830046, China; Wumaier A., School of Information Science and Engineering, Xinjiang University, Urumqi, 830046, China, Xinjiang Laboratory of Multi-Language Information Technology, Urumqi, 830046, China; Yibulayin T., School of Information Science and Engineering, Xinjiang University, Urumqi, 830046, China, Xinjiang Laboratory of Multi-Language Information Technology, Urumqi, 830046, China</t>
  </si>
  <si>
    <t>Although low-resource relation extraction is vital in knowledge construction and characterization, more research is needed on the generalization of unknown relation types. To fill the gap in the study of low-resource (Uyghur) relation extraction methods, we created a zero-shot with a quick relation extraction task setup. Each triplet extracted from an input phrase consists of the subject, relation type, and object. This paper suggests generating structured texts by urging language models to provide related instances. Our model consists of two modules: relation generator and relation and triplet extractor. We use the Uyghur relation prompt in the relation generator stage to generate new synthetic data. In the relation and triple extraction stage, we use the new data to extract the relation triplets in the sentence. We use multi-language model prompts and structured text techniques to offer a structured relation prompt template. This method is the first research that extends relation triplet extraction to a zero-shot setting for Uyghur datasets. Experimental results show that our method achieves a maximum weighted average F1 score of 47.39%. ¬© 2023 by the authors.</t>
  </si>
  <si>
    <t>prompt; relationship triple extraction; Uyghur; zero-shot</t>
  </si>
  <si>
    <t>National Key Research and Development Program of China, NKRDPC, (2017YFB1002103); Natural Science Foundation of Xinjiang, (2021D01C079)</t>
  </si>
  <si>
    <t>This research was supported by the Natural Science Foundation of Xinjiang Uyghur Autonomous Region of China (Grant No. 2021D01C079) and the National Key Research and Development Program of China (Grant No. 2017YFB1002103).</t>
  </si>
  <si>
    <t>Huang S., Liu J., Korn F., Wang X., Wu Y., Markowitz D., Yu C., Contextual fact ranking and its applications in table synthesis and compression, Proceedings of the 25th ACM SIGKDD International Conference on Knowledge Discovery &amp; Data Mining (KDD), pp. 285-293; Zhang Y., Qi P., Manning C.D., Graph convolution over pruned dependency trees improves relation extraction, Proceedings of the 2018 Conference on Empirical Methods in Natural Language Processing, pp. 2205-2215; Chen C., Li C., Zs-bert: Towards zero-shot relation extraction with attribute representation learning, Proceedings of the Conference of the North American Chapter of the Association for Computational Linguistics: Human Language Technologies, pp. 3470-3479; Mintz M., Bills S., Snow R., Jurafsky D., Distant supervision for relation extraction without labeled data, Proceedings of the Joint Conference of the 47th Annual Meeting of the ACL and the 4th International Joint Conference on Natural Language Processing of the AFNLP, pp. 1003-1011; Riedel S., Yao L., McCallum A., Modeling relations and their mentions without labeled text, Proceedings of the Joint European Conference on Machine Learning and Knowledge Discovery in Databases, pp. 148-163; Chia Y., Bing L., Soujanya P., Luo S., RelationPrompt: Leveraging Prompts to Generate Synthetic Data for Zero-Shot Relation Triplet Extraction, Proceedings of the 60th Annual Meeting of the Association for Computational Linguistics, pp. 45-47; John K., Ilias C., Prodromos M., Ion A., GREEK-BERT: The Greeks visiting Sesame Street Association for Computing Machinery, Proceedings of the 11th Hellenic Conference on Artificial Intelligence, pp. 110-117; Pundlik S., Dasare P., Kasbekar P., Gawade A., Gaikwad G., Pundlik P., Multiclass classification and class based sentiment analysis for hindi language, Proceedings of the 2016 International Conference on Advances in Computing, Communications and Informatics (ICACCI), pp. 512-518, (2016); Mukesh Y., Varunakshi B., Semi-supervised mix-hindi sentiment analysis using neural network, Proceedings of the 9th International Conference on Cloud Computing, Data Science &amp; Engineering (Confluence), IEEE, pp. 309-314; Tang J., Wang Y., Zheng K., Mei Q., End-to-End Learning for Short Text Expansion, Proceedings of the 23rd ACMSIGKDD International Conference on Knowledge Discovery and Data Mining, pp. 1105-1113; Shi M., Tang Y., Liu J., Functional and Contextual Attention-Based LSTM for Service Recommendation in Mashup Creation, IEEE Transactions on Parallel and Distributed Systems, Piscataway, NJ, USA, 6‚Äì8 June 2018, pp. 1-10, (2018); Cheng F., Yada S., Tanaka R., Aramaki E., Kurohashi S., JaMIE: A Pipeline Japanese Medical Information Extraction System, arXiv, (2021); Gordeev D.I., Davletov A.A., Rey A.I., Akzhigitova G.R., Geymbukh G.A., Relation extraction dataset for the russian, Proceedings of the International Conference on Computational Linguistics and Intellectual Technologies ‚ÄúDialogue, pp. 1-13; Hennig L., Truong P.T., Gabryszak A., MobIE: A German Dataset for Named Entity Recognition, Entity Linking and Relation Extraction in the Mobility Domain, arXiv, (2021); Hamdi A., Pontes E.L., Boros E., Nguyen T.T.H., Hackl G., Moreno J.G., Doucet A., A Multilingual Dataset for Named Entity Recognition, Entity Linking and Stance Detection in Historical Newspapers, Proceedings of the SIGIR ‚Äò21: The 44th International ACM SIGIR Conference on Research and Development in Information Retrieval; Xin X., Chen X., Zhang N., Xie X., Chen X., Chen H., Towards Realistic Low-resource Relation Extraction: A Benchmark with Empirical Baseline Study, arXiv, (2022); Rami A., Andreas V., Ryan M., Leveraging type descriptions for zero-shot named entity recognition and classification, Proceedings of the ACL, pp. 1516-1528; Yoshua B., Rejean D., Pascal V., Christian J., A neural probabilistic language model, Proceedings of the Fourteenth Annual Neural Information Processing Systems (NIPS) Conference, pp. 932-938; Cui L., Wu Y., Liu J., Yang S., Zhang Y., Template-based named entity recognition using BART, Proceedings of the Findings of ACL-IJCNLP, pp. 1835-1845; Wei Z., Su J., Wang Y., Tian Y., Chang Y., A Novel Cascade Binary Tagging Framework for Relational Triple Extraction, Proceedings of the 58th Annual Meeting of the Association for Computational Linguistics, pp. 1476-1488; Ye H., Zhang N., Deng S., Chen M., Tan C., Huang F., Chen H., Contrastive Triple Extraction with Generative Transformer, Proceedings of the Thirty-Fifth AAAI Conference on Artificial Intelligence, AAAI 2021, pp. 14257-14265; Omer L., Minjoon S., Eunsol C., Luke Z., Zero-shot relation extraction via reading comprehension, Proceedings of the CoNLL, pp. 333-342; Wang Y., Yu B., Zhang Y., Liu T., Zhu H., Sun L., TPLinker: Single-stage Joint Extraction of Entities and Relations through Token Pair Linking, Proceedings of the 28th International Conference on Computational Linguistics, pp. 1572-1582; Wang Y., Sun C., Wu Y., Zhou H., Li L., Yan J., UniRE: A Unified Label Space for Entity Relation Extraction, Proceedings of the 59th Annual Meeting of the Association for Computational Linguistics and the 11th International Joint Conference on Natural Language Processing, pp. 220-231; Yu B., Zhang Z., Shu X., Liu T., Wang Y., Wang B., Li S., Joint Extraction of Entities and Relations Based on a Novel Decomposition Strategy, Proceedings of the ECAI 2020‚Äî24th European Conference on Artificial Intelligence, Santiago De Compostela, pp. 2282-2289; Abiola O., Andreas V., Zero- shot relation classification as textual entailment, Proceedings of the First workshop on fact extraction and VERification, pp. 72-78; Laria R., Kyle M., Prompt programming for large language models: Beyond the few-shot paradigm, Proceedings of the CHI, pp. 1-10; Ding B., Liu L., Bing L., Canasai K., Thien H., Shafiq J., Luo S., Chunyan M., DAGA: Data augmentation with a generation approach for low-resource tagging tasks, Proceedings of the EMNLP, pp. 6045-6057; Han X., Zhu H., Yu P., Wang Z., Yao Y., Liu Z., Sun M., Fewrel: A large-scale supervised few-shot relation classification dataset with state-of-the-art evaluation, Proceedings of the EMNLP, pp. 4803-4809; Das R., Nelakantan A., Belanger D., McCallum A., Chains of reasoning over entities, relations, and text using recurrent neural networks, Proceedings of the 15th Conference of the European Chapter of the Association for Computational Linguistics, pp. 132-141; Huang L., Ji H., Kyunghyun C., Ido D., Sebastian R., Clare V., Zero-shot transfer learning for event extraction. In Proceedings of the ACL, pp. 2160-2170; Ji G., Liu K., He S., Zhao J., Distant supervision for relation extraction with sentence-level attention and entity descriptions, Proceedings of the AAAI, pp. 2506-2512; Shang Y., Huang H., Mao X., OneRel: Joint Entity and Relation Extraction with One Module in One Step, Proceedings of the 60th Annual Meeting of the Association for Computational Linguistics and the 12th International Joint Conference on Natural Language Processing, ACL/IJCNLP 2022, pp. 22-27; Yuan Y., Zhou X., Pan S., Zhu Q., Song Z., Guo L., A Relation-Specific Attention Network for Joint Entity and Relation Extraction, Proceedings of the Twenty Ninth International Joint Conference on Artificial Intelligence, pp. 4054-4060; Fu T., Li P., Ma W., Graphrel: Modeling text as relational graphs for joint entity and relation extraction, Proceedings of the 57th Annual Meeting of the Association for Computational Linguistics, pp. 1409-1418; Abiderexiti K., Halike A., Maimaiti M., Wumaier A., Yibulayin T., Semi-automatic corpus expansion for Uyghur named entity relation based on a hybrid method, Proceedings of the 11th International Conference on Language Resources and Evaluation, European Language Resources Association, pp. 1-5; Abiderexiti K., Maimaiti M., Yibulayin T., Wumaier A., Annotation schemes for constructing Uyghur named entity relation corpus, Proceedings of the 2016 International Conference on Asian Language Processing (IALP), pp. 103-107; Aili M., Xialifu A., Maihefureti M., Maimaitimin S., Building Uyghur dependency treebank: Design principles, annotation schema and tools, Proceedings of the Worldwide Language Service Infrastructure, WLSI 2015, Lecture Notes in Computer Science, pp. 124-136; Gong H., Chen G., Liu S., Yu Y., Li G., Cross-modal self-attention with multi-task pre-training for medical visual question answering, Proceedings of the 2021 International Conference on Multimedia Retrieval, pp. 456-460; Taghizadeh N., Faili H., Maleki J., Cross-Language Learning for Arabic Relation Extraction, Procedia Comput. Sci, 142, pp. 190-197, (2018); Hur Y., Son S., Shim M., Lim J., Lim H., K-EPIC: Entity-Perceived Context Representation in Korean Relation Extraction, Appl. Sci, 11, (2021); Maimaiti M., Wumaier A., Abiderexiti K., Yibulayin T., Bidirectional long short-term memory network with a conditional random field layer for Uyghur part-of-speech tagging, Information, 8, (2017); Parhat S., Ablimit M., Hamdulla A., A Robust Morpheme Sequence and Convolutional Neural Network-Based Uyghur and Kazakh Short Text Classification, Information, 10, (2019); Halike A., Abiderexiti K., Yibulayin T., Semi-Automatic Corpus Expansion and Extraction of Uyghur-Named Entities and Relations Based on a Hybrid Method, Information, 11, (2020); Mike L., Liu Y., Naman G., Marjan G., Abdelrahman M., Omer L., Veselin S., Luke Z., Bart: Denoising sequence-to-sequence pretraining for natural language generation, translation, and comprehension, Proceedings of the ACL, pp. 7871-7880; Li X., Arianna Y., Chai D., Zhou M., Li J., Entity-relation extraction as multi-turn question answering, Proceedings of the ACL, pp. 1340-1350; Liu Y., Zhu X., Learning entity and relation embeddings for knowledge graph completion, Proceedings of the AAAI, pp. 2181-2187; Zheng S., Wang F., Bao H., Hao Y., Zhou P., Xu B., Joint extraction of entities and relations based on a novel tagging scheme, Proceedings of the 55th Annual Meeting of the Association for Computational Linguistics (Volume 1: Long Papers), pp. 1227-1236; Tapas N., Hwee T., Effective modeling of encoder-decoder architecture for joint entity and relation extraction, Proceedings of the AAAI, pp. 8528-8535; Giovanni P., Ben A., Jason K., Ma J., Alessandro A., Rishita A., Cicero N., Stefano S., Structured prediction as translation between augmented natural languages, Proceedings of the ICLR, Virtual Conference, Formerly Addis Ababa ETHIOPIA, pp. 1-26; Miwa M., Sasaki Y., Modeling joint entity and relation extraction with table representation, Proceedings of the 2014 Conference on Empirical Methods in Natural Language Processing (EMNLP), pp. 1858-1869; Devlin J., Chang M., Lee K., Toutanova K., Bert: Pre-training of deep bidirectional transformers for language understanding, Proceedings of the 2019 Conference of the North American Chapter of the Association for Computational Linguistics: Human Language Technologies, pp. 4171-4186; Jiang T., Zhao T., Qin B., Liu T., The role of ‚Äúcondition‚Äù: A novel scientific knowledge graph representation and construction model, Proceedings of the 25th ACM SIGKDD International Conference on Knowledge Discovery &amp; Data Mining (KDD), pp. 1634-1642; Hao J., Chen M., Yu W., Sun Y., Wang W., Universal representation learning of knowledge bases by jointly embedding instances and ontological concepts, Proceedings of the 25th ACM SIGKDD International Conference on Knowledge Discovery &amp; Data Mining (KDD), pp. 1709-1719; Bollacker K., Evans C., Paritosh P., Sturge T., Taylor J., Freebase: A collaboratively created graph database for structuring human knowledge, Proceedings of the 2008 ACM SIGMOD International Conference on Management of Data, pp. 1247-1250; Dong X., Gabrilovich E., Heitz G., Horn W., Lao N., Murphy K., Strohmann T., Sun S., Zhang W., Knowledge vault: A web-scale approach to probabilistic knowledge fusion, Proceedings of the 20th ACM SIGKDD International Conference on Knowledge Discovery and Data Mining, pp. 601-610; Adam R., Colin R., Noam S., How much knowledge can you pack into the parameters of a language model, Proceedings of the EMNLP, pp. 5418-5426; Wang J., Lu W., Two are better than one: Joint entity and relation extraction with table- sequence encoders, Proceedings of the EMNLP, pp. 1706-1721</t>
  </si>
  <si>
    <t>A. Wumaier; School of Information Science and Engineering, Xinjiang University, Urumqi, 830046, China; email: hasan1479@xju.edu.cn</t>
  </si>
  <si>
    <t>MDPI</t>
  </si>
  <si>
    <t>Appl. Sci.</t>
  </si>
  <si>
    <t>2-s2.0-85152677040</t>
  </si>
  <si>
    <t>Wang M.; Liu F.; Li X.; Dong B.; Li Z.; Pan T.; Wang J.</t>
  </si>
  <si>
    <t>Wang, Minjia (59557350600); Liu, Fangzhou (59556527900); Li, Xiuxing (57194616199); Dong, Bowen (57712459800); Li, Zhenyu (57462881700); Pan, Tengyu (58520022900); Wang, Jianyong (57208873256)</t>
  </si>
  <si>
    <t>59557350600; 59556527900; 57194616199; 57712459800; 57462881700; 58520022900; 57208873256</t>
  </si>
  <si>
    <t>Bio-RFX: Refining Biomedical Extraction via Advanced Relation Classification and Structural Constraints</t>
  </si>
  <si>
    <t>EMNLP 2024 - 2024 Conference on Empirical Methods in Natural Language Processing, Proceedings of the Conference</t>
  </si>
  <si>
    <t>10524.0</t>
  </si>
  <si>
    <t>10539.0</t>
  </si>
  <si>
    <t>15.0</t>
  </si>
  <si>
    <t>https://www.scopus.com/inward/record.uri?eid=2-s2.0-85217750200&amp;partnerID=40&amp;md5=8a36e1c68a62277897e78f1b16a37fc9</t>
  </si>
  <si>
    <t>Tsinghua University, China; Harvard University, United States; School of Computer Science &amp; Technology, Beijing Institute of Technology, China; Key Laboratory of Brain-Machine Intelligence Technology, Ministry of Education, Nanjing University of Aeronautics and Astronautics, China</t>
  </si>
  <si>
    <t>Wang M., Tsinghua University, China, Harvard University, United States; Liu F., Tsinghua University, China; Li X., School of Computer Science &amp; Technology, Beijing Institute of Technology, China, Key Laboratory of Brain-Machine Intelligence Technology, Ministry of Education, Nanjing University of Aeronautics and Astronautics, China; Dong B., Tsinghua University, China; Li Z., Tsinghua University, China; Pan T., Tsinghua University, China; Wang J., Tsinghua University, China</t>
  </si>
  <si>
    <t>The ever-growing biomedical publications magnify the challenge of extracting structured data from unstructured texts. This task involves two components: biomedical entity identification (Named Entity Recognition, NER) and their interrelation determination (Relation Extraction, RE). However, existing methods often neglect unique features of the biomedical literature, such as ambiguous entities, nested proper nouns, and overlapping relation triplets, and underutilize prior knowledge, leading to an intolerable performance decline in the biomedical domain, especially with limited annotated training data. In this paper, we propose the Biomedical Relation-First eXtraction (Bio-RFX) model by leveraging sentence-level relation classification before entity extraction to tackle entity ambiguity. Moreover, we exploit structural constraints between entities and relations to guide the model's hypothesis space, enhancing extraction performance across different training scenarios. Comprehensive experimental results on biomedical datasets show that Bio-RFX achieves significant improvements on both NER and RE tasks. Even under the low-resource training scenarios, it outperforms all baselines in NER and has highly competitive performance compared to the state-of-the-art fine-tuned baselines in RE. ¬© 2024 Association for Computational Linguistics.</t>
  </si>
  <si>
    <t>Classification (of information); Metadata; Extraction refining; Named entity recognition; Performance; Relation classifications; Relation extraction; Structural constraints; Structured data; Training scenario; Two-component; Unstructured texts; Computational linguistics</t>
  </si>
  <si>
    <t>Beijing Academy of Artificial Intelligence; National Key Research and Development Program of China, NKRDPC, (2020YFA0804503); National Natural Science Foundation of China, NSFC, (62272264, 62306300); Fundamental Research Funds for the Central Universities, (NJ2024029)</t>
  </si>
  <si>
    <t>This work was supported in part by National Key Research and Development Program of China under Grant No. 2020YFA0804503, National Natural Science Foundation of China under Grant No. 62272264, National Natural Science Foundation of China, NO. 62306300, Fundamental Research Funds for the Central Universities, NO. NJ2024029, and Beijing Academy of Artificial Intelligence (BAAI).</t>
  </si>
  <si>
    <t>Bastos Anson, Nadgeri Abhishek, Singh Kuldeep, Mulang Isaiah Onando, Shekarpour Saeedeh, Hoffart Johannes, Kaul Manohar, Recon: Relation extraction using knowledge graph context in a graph neural network, Proceedings of the Web Conference 2021, WWW'21, pp. 1673-1685, (2021); Beltagy Iz, Lo Kyle, Cohan Arman, SciBERT: A pretrained language model for scientific text, Proceedings of the 2019 Conference on Empirical Methods in Natural Language Processing and the 9th International Joint Conference on Natural Language Processing (EMNLP-IJCNLP), pp. 3615-3620, (2019); Bodenreider Olivier, The Unified Medical Language System (UMLS): integrating biomedical terminology, Nucleic Acids Research, 32, pp. D267-D270, (2004); Bretonnel Cohen K., Verspoor Karin, Fort Karen, Funk Christopher, Bada Michael, Palmer Martha, Hunter Lawrence E., The Colorado Richly Annotated Full Text (CRAFT) Corpus: Multi-Model Annotation in the Biomedical Domain, pp. 1379-1394, (2017); Demsar Janez, Statistical comparisons of classifiers over multiple data sets, Journal of Machine Learning Research, 7, 1, pp. 1-30, (2006); Devlin Jacob, Chang Ming-Wei, Lee Kenton, Toutanova Kristina, BERT: Pre-training of deep bidirectional transformers for language understanding, Proceedings of the 2019 Conference of the North American Chapter of the Association for Computational Linguistics: Human Language Technologies, Volume 1 (Long and Short Papers), pp. 4171-4186, (2019); Dienstmann Rodrigo, Jang Sock, Bot Brian, Friend Stephen, Guinney Justin, Database of Genomic Biomarkers for Cancer Drugs and Clinical Targetability in Solid Tumors, Cancer Discovery, 5, 2, pp. 118-123, (2015); Fabregat Hermenegildo, Duque Andres, Martinez-Romo Juan, Araujo Lourdes, Negation-based transfer learning for improving biomedical named entity recognition and relation extraction, Journal of Biomedical Informatics, 138, (2023); Fei Hao, Zhang Yue, Ren Yafeng, Ji Donghong, A span-graph neural model for overlapping entity relation extraction in biomedical texts, Bioinformatics, 37, 11, pp. 1581-1589, (2020); Gormley Matthew R., Yu Mo, Dredze Mark, Improved relation extraction with feature-rich compositional embedding models, Proceedings of the 2015 Conference on Empirical Methods in Natural Language Processing, pp. 1774-1784, (2015); Han Xu, Liu Zhiyuan, Sun Maosong, Joint representation learning of text and knowledge for knowledge graph completion, (2016); Hu Minghao, Peng Yuxing, Huang Zhen, Li Dongsheng, A multi-type multi-span network for reading comprehension that requires discrete reasoning, Proceedings of the 2019 Conference on Empirical Methods in Natural Language Processing and the 9th International Joint Conference on Natural Language Processing (EMNLP-IJCNLP), pp. 1596-1606, (2019); Huguet Cabot Pere-Lluis, Navigli Roberto, REBEL: Relation extraction by end-to-end language generation, Findings of the Association for Computational Linguistics: EMNLP 2021, pp. 2370-2381, (2021); Kingma Diederik P., Ba Jimmy, Adam: A method for stochastic optimization, (2017); Kiss Tibor, Strunk Jan, Unsupervised multilingual sentence boundary detection, Comput. Linguist, 32, 4, pp. 485-525, (2006); Lai Tuan, Ji Heng, Zhai ChengXiang, Tran Quan Hung, Joint biomedical entity and relation extraction with knowledge-enhanced collective inference, Proceedings of the 59th Annual Meeting of the Association for Computational Linguistics and the 11th International Joint Conference on Natural Language Processing (Volume 1: Long Papers), pp. 6248-6260, (2021); Lee Kenton, He Luheng, Lewis Mike, Zettlemoyer Luke, End-to-end neural coreference resolution, Proceedings of the 2017 Conference on Empirical Methods in Natural Language Processing, pp. 188-197, (2017); Li Jiao, Sun Yueping, Johnson Robin J., Sciaky Daniela, Wei Chih-Hsuan, Leaman Robert, Davis Allan Peter, Mattingly Carolyn J., Wiegers Thomas C., Lu Zhiyong, BioCreative V CDR task corpus: a resource for chemical disease relation extraction, Database, 2016, (2016); Li Xiaoya, Yin Fan, Sun Zijun, Li Xiayu, Yuan Arianna, Chai Duo, Zhou Mingxin, Li Jiwei, Entity-relation extraction as multi-turn question answering, Proceedings of the 57th Annual Meeting of the Association for Computational Linguistics, pp. 1340-1350, (2019); Miranda Antonio, Mehryary Farrokh, Luoma Jouni, Pyysalo Sampo, Valencia Alfonso, Krallinger Martin, Overview of drugprot biocreative vii track: quality evaluation and large scale text mining of drug-gene/protein relations, Proceedings of the seventh BioCreative challenge evaluation workshop, pp. 11-21, (2021); Gpt-4 technical report, (2023); Peng Nanyun, Poon Hoifung, Quirk Chris, Toutanova Kristina, Yih Wen-tau, Cross-sentence n-ary relation extraction with graph LSTMs, Transactions of the Association for Computational Linguistics, 5, pp. 101-115, (2017); Shang Yu-Ming, Huang Heyan, Mao Xianling, Onerel: Joint entity and relation extraction with one module in one step, Proceedings of the AAAI Conference on Artificial Intelligence, 36, 10, pp. 11285-11293, (2022); Sui Dianbo, Zeng Xiangrong, Chen Yubo, Liu Kang, Zhao Jun, Joint entity and relation extraction with set prediction networks, IEEE Transactions on Neural Networks and Learning Systems, pp. 1-12, (2023); Wang Chenguang, Liu Xiao, Chen Zui, Hong Haoyun, Tang Jie, Song Dawn, DeepStruct: Pre-training of language models for structure prediction, Findings of the Association for Computational Linguistics: ACL 2022, pp. 803-823, (2022); Wang Yucheng, Yu Bowen, Zhang Yueyang, Liu Tingwen, Zhu Hongsong, Sun Limin, TPLinker: Single-stage joint extraction of entities and relations through token pair linking, Proceedings of the 28th International Conference on Computational Linguistics, pp. 1572-1582, (2020); Wang Zhuo, Zhang Wei, Liu Ning, Wang Jianyong, Learning interpretable rules for scalable data representation and classification, IEEE Transactions on Pattern Analysis and Machine Intelligence, 46, 2, pp. 1121-1133, (2024); Wei Jason, Wang Xuezhi, Schuurmans Dale, Bosma Maarten, ichter brian, Xia Fei, Chi Ed, Le Quoc V, Zhou Denny, Chain-of-thought prompting elicits reasoning in large language models, Advances in Neural Information Processing Systems, 35, pp. 24824-24837, (2022); Wei Zhepei, Su Jianlin, Wang Yue, Tian Yuan, Chang Yi, A novel cascade binary tagging framework for relational triple extraction, Proceedings of the 58th Annual Meeting of the Association for Computational Linguistics, pp. 1476-1488, (2020); Xie Chenhao, Liang Jiaqing, Liu Jingping, Huang Chengsong, Huang Wenhao, Xiao Yanghua, Revisiting the negative data of distantly supervised relation extraction, Proceedings of the 59th Annual Meeting of the Association for Computational Linguistics and the 11th International Joint Conference on Natural Language Processing (Volume 1: Long Papers), pp. 3572-3581, (2021); Ye Deming, Lin Yankai, Li Peng, Sun Maosong, Packed levitated marker for entity and relation extraction, Proceedings of the 60th Annual Meeting of the Association for Computational Linguistics (Volume 1: Long Papers), pp. 4904-4917, (2022); Yu Bowen, Zhang Zhenyu, Shu Xiaobo, Wang Yubin, Liu Tingwen, Wang Bin, Li Sujian, Joint extraction of entities and relations based on a novel decomposition strategy, Proc. of ECAI., (2020); Yuan Hongyi, Yuan Zheng, Gan Ruyi, Zhang Jiaxing, Xie Yutao, Yu Sheng, BioBART: Pretraining and evaluation of a biomedical generative language model, Proceedings of the 21st Workshop on Biomedical Language Processing, pp. 97-109, (2022); Zhang Jiawen, Zhu Jiaqi, Yang Yi, Shi Wandong, Zhang Congcong, Wang Hongan, Knowledge-enhanced domain adaptation in few-shot relation classification, Proceedings of the 27th ACM SIGKDD Conference on Knowledge Discovery &amp; Data Mining, KDD'21, pp. 2183-2191, (2021); Zheng Hengyi, Wen Rui, Chen Xi, Yang Yifan, Zhang Yunyan, Zhang Ziheng, Zhang Ningyu, Qin Bin, Ming Xu, Zheng Yefeng, PRGC: Potential relation and global correspondence based joint relational triple extraction, Proceedings of the 59th Annual Meeting of the Association for Computational Linguistics and the 11th International Joint Conference on Natural Language Processing (Volume 1: Long Papers), pp. 6225-6235, (2021); Zheng Suncong, Wang Feng, Bao Hongyun, Hao Yuexing, Zhou Peng, Xu Bo, Joint extraction of entities and relations based on a novel tagging scheme, Proceedings of the 55th Annual Meeting of the Association for Computational Linguistics (Volume 1: Long Papers), pp. 1227-1236, (2017); Zhong Zexuan, Chen Danqi, A frustratingly easy approach for entity and relation extraction, Proceedings of the 2021 Conference of the North American Chapter of the Association for Computational Linguistics: Human Language Technologies, pp. 50-61, (2021)</t>
  </si>
  <si>
    <t>X. Li; School of Computer Science &amp; Technology, Beijing Institute of Technology, China; email: xxl@bit.edu.cn; J. Wang; Tsinghua University, China; email: jianyong@tsinghua.edu.cn</t>
  </si>
  <si>
    <t>Al-Onaizan Y.; Bansal M.; Chen Y.-N.</t>
  </si>
  <si>
    <t>Apple; Bloomberg; Citadel Securities; et al.; Google DeepMind; Meta</t>
  </si>
  <si>
    <t>2024 Conference on Empirical Methods in Natural Language Processing, EMNLP 2024</t>
  </si>
  <si>
    <t>12 November 2024 through 16 November 2024</t>
  </si>
  <si>
    <t>Hybrid, Miami</t>
  </si>
  <si>
    <t>205882.0</t>
  </si>
  <si>
    <t>979-889176164-3</t>
  </si>
  <si>
    <t>EMNLP - Conf. Empir. Methods Nat. Lang. Process., Proc. Conf.</t>
  </si>
  <si>
    <t>2-s2.0-85217750200</t>
  </si>
  <si>
    <t>Miao X.; Li Y.; Qian T.</t>
  </si>
  <si>
    <t>Miao, Xin (58130614000); Li, Yongqi (58115401100); Qian, Tieyun (17135487000)</t>
  </si>
  <si>
    <t>58130614000; 58115401100; 17135487000</t>
  </si>
  <si>
    <t>Generating Commonsense Counterfactuals for Stable Relation Extraction</t>
  </si>
  <si>
    <t>EMNLP 2023 - 2023 Conference on Empirical Methods in Natural Language Processing, Proceedings</t>
  </si>
  <si>
    <t>5654.0</t>
  </si>
  <si>
    <t>5668.0</t>
  </si>
  <si>
    <t>10.18653/v1/2023.emnlp-main.344</t>
  </si>
  <si>
    <t>https://www.scopus.com/inward/record.uri?eid=2-s2.0-85184816248&amp;doi=10.18653%2fv1%2f2023.emnlp-main.344&amp;partnerID=40&amp;md5=7989e2f6b1fb6757705dc9cc6a62d47e</t>
  </si>
  <si>
    <t>School of Computer Science, Wuhan University, China; Intellectual Computing Laboratory for Cultural Heritage, Wuhan University, China</t>
  </si>
  <si>
    <t>Miao X., School of Computer Science, Wuhan University, China; Li Y., School of Computer Science, Wuhan University, China; Qian T., School of Computer Science, Wuhan University, China, Intellectual Computing Laboratory for Cultural Heritage, Wuhan University, China</t>
  </si>
  <si>
    <t>Recent studies on counterfactual augmented data have achieved great success in the coarse-grained natural language processing tasks. However, existing methods encounter two major problems when dealing with the fine-grained relation extraction tasks. One is that they struggle to accurately identify causal terms under the invariant entity constraint. The other is that they ignore the commonsense constraint. To solve these problems, we propose a novel framework to generate commonsense counterfactuals for stable relation extraction. Specifically, to identify causal terms accurately, we introduce an intervention-based strategy and leverage a constituency parser for correction. To satisfy the commonsense constraint, we introduce the concept knowledge base WordNet and design a bottom-up relation expansion algorithm on it to uncover commonsense relations between entities. We conduct a series of comprehensive evaluations, including the low-resource, out-of-domain, and adversarial-attack settings. The results demonstrate that our framework significantly enhances the stability of base relation extraction models. ¬© 2023 Association for Computational Linguistics.</t>
  </si>
  <si>
    <t>Computational linguistics; Knowledge based systems; Natural language processing systems; Bottom up; Coarse-grained; Comprehensive evaluation; Counterfactuals; Extraction modeling; Fine grained; Language processing; Natural languages; Relation extraction; Wordnet; Extraction</t>
  </si>
  <si>
    <t>CSCI-Wuhan University; National Natural Science Foundation of China, NSFC, (62276193); National Natural Science Foundation of China, NSFC</t>
  </si>
  <si>
    <t>This work was supported by a grant from the National Natural Science Foundation of China (NSFC) project (No. 62276193). It was also supported by the Joint Laboratory on Credit Science and Technology of CSCI-Wuhan University.</t>
  </si>
  <si>
    <t>Calderon Nitay, Ben-David Eyal, Feder Amir, Reichart Roi, Docogen: Domain counterfactual generation for low resource domain adaptation, (2022); Carlsson Fredrik, Ohman Joey, Liu Fangyu, Verlinden Severine, Nivre Joakim, Sahlgren Magnus, Fine-grained controllable text generation using nonresidual prompting, Proceedings of the 60th Annual Meeting of the Association for Computational Linguistics (Volume 1: Long Papers), pp. 6837-6857, (2022); Chen Hao, Xia Rui, Yu Jianfei, Reinforced counterfactual data augmentation for dual sentiment classification, Proceedings of the 2021 Conference on Empirical Methods in Natural Language Processing, pp. 269-278, (2021); Chen Xiang, Zhang Ningyu, Xie Xin, Deng Shumin, Yao Yunzhi, Tan Chuanqi, Huang Fei, Si Luo, Chen Huajun, Knowprompt: Knowledge-aware prompt-tuning with synergistic optimization for relation extraction, Proceedings of the ACM Web Conference 2022, pp. 2778-2788, (2022); Chen Xuanting, Ye Junjie, Zu Can, Xu Nuo, Zheng Rui, Peng Minlong, Zhou Jie, Gui Tao, Zhang Qi, Huang Xuanjing, How robust is gpt-3.5 to predecessors? a comprehensive study on language understanding tasks, (2023); Devlin Jacob, Chang Ming-Wei, Lee Kenton, Toutanova Kristina, Bert: Pre-training of deep bidirectional transformers for language understanding, (2018); Dixit Tanay, Paranjape Bhargavi, Hajishirzi Hannaneh, Zettlemoyer Luke, Core: A retrieve-then-edit framework for counterfactual data generation, (2022); Gajendran Sudhakaran, Manjula D, Sugumaran Vijayan, Hema R, Extraction of knowledge graph of covid-19 through mining of unstructured biomedical corpora, Computational Biology and Chemistry, (2023); Garg Siddhant, Ramakrishnan Goutham, Bae: Bert-based adversarial examples for text classification, (2020); Geirhos Robert, Jacobsen Jorn-Henrik, Michaelis Claudio, Zemel Richard, Brendel Wieland, Bethge Matthias, Wichmann Felix A, Shortcut learning in deep neural networks, Nature Machine Intelligence, 2, 11, pp. 665-673, (2020); Geva Mor, Wolfson Tomer, Berant Jonathan, Break, perturb, build: Automatic perturbation of reasoning paths through question decomposition, Transactions of the Association for Computational Linguistics, 10, pp. 111-126, (2022); (2023); Grishman Ralph, Westbrook David, Meyers Adam, Nyu's english ace 2005 system description, ACE, (2005); Guo Zhijiang, Zhang Yan, Lu Wei, Attention guided graph convolutional networks for relation extraction, Proceedings of the 57th Annual Meeting of the Association for Computational Linguistics, pp. 241-251, (2019); Hendrickx Iris, Kim Su Nam, Kozareva Zornitsa, Nakov Preslav, Seaghdha Diarmuid O, Pado Sebastian, Pennacchiotti Marco, Romano Lorenza, Szpakowicz Stan, Semeval-2010 task 8: Multiway classification of semantic relations between pairs of nominals, (2019); Howard Phillip, Singer Gadi, Lal Vasudev, Choi Yejin, Swayamdipta Swabha, Neurocounterfactuals: Beyond minimal-edit counterfactuals for richer data augmentation, (2022); Huang Wenlong, Abbeel Pieter, Pathak Deepak, Mordatch Igor, Language models as zero-shot planners: Extracting actionable knowledge for embodied agents, International Conference on Machine Learning, pp. 9118-9147, (2022); Jiao Xiaoqi, Yin Yichun, Shang Lifeng, Jiang Xin, Chen Xiao, Li Linlin, Wang Fang, Liu Qun, Tinybert: Distilling bert for natural language understanding, (2019); Joshi Nitish, He He, An investigation of the (in) effectiveness of counterfactually augmented data, (2021); Kaushik Divyansh, Hovy Eduard, Lipton Zachary C, Learning the difference that makes a difference with counterfactually-augmented data, (2019); Li Luoqiu, Chen Xiang, Ye Hongbin, Bi Zhen, Deng Shumin, Zhang Ningyu, Chen Huajun, On robustness and bias analysis of bert-based relation extraction, China Conference on Knowledge Graph and Semantic Computing, pp. 43-59, (2021); Li Wanli, Qian Tieyun, Zhong Ming, Chen Xu, Interactive lexical and semantic graphs for semisupervised relation extraction, IEEE Transactions on Neural Networks and Learning Systems, (2022); Li Ziyan, Ni Kan, Wang Haofen, Zhang Wenqiang, Relation extraction as text matching: A scheme for multi-hop knowledge base question answering, CCKS 2022-Evaluation Track: 7th China Conference on Knowledge Graph and Semantic Computing Evaluations, CCKS 2022, pp. 191-201, (2022); Lin Bill Yuchen, Gao Wenyang, Yan Jun, Moreno Ryan, Ren Xiang, Rockner: A simple method to create adversarial examples for evaluating the robustness of named entity recognition models, (2021); Liu Yinhan, Ott Myle, Goyal Naman, Du Jingfei, Joshi Mandar, Chen Danqi, Levy Omer, Lewis Mike, Zettlemoyer Luke, Stoyanov Veselin, Roberta: A robustly optimized bert pretraining approach, (2019); Mandya Angrosh, Bollegala Danushka, Co-enen Frans, Graph convolution over multiple dependency sub-graphs for relation extraction, Proceedings of the 28th International Conference on Computational Linguistics, pp. 6424-6435, (2020); Miller George A, Wordnet: a lexical database for english, Communications of the ACM, 38, 11, pp. 39-41, (1995); Nan Guoshun, Zeng Jiaqi, Qiao Rui, Guo Zhijiang, Lu Wei, Uncovering main causalities for long-tailed information extraction, (2021); Niu Yulei, Tang Kaihua, Zhang Hanwang, Lu Zhiwu, Hua Xian-Sheng, Wen Ji-Rong, Counterfactual vqa: A cause-effect look at language bias, Proceedings of the IEEE/CVF Conference on Computer Vision and Pattern Recognition (CVPR), pp. 12700-12710, (2021); Paranjape Bhargavi, Joshi Mandar, Thickstun John, Hajishirzi Hannaneh, Zettlemoyer Luke, An information bottleneck approach for controlling conciseness in rationale extraction, (2020); Pearl Judea, Causal inference in statistics: An overview, (2009); Pearl Judea, Mackenzie Dana, The book of why: the new science of cause and effect, (2018); Qin Yujia, Lin Yankai, Takanobu Ryuichi, Liu Zhiyuan, Li Peng, Ji Heng, Huang Minlie, Sun Maosong, Zhou Jie, ERICA: Improving entity and relation understanding for pre-trained language models via contrastive learning, Proceedings of the 59th Annual Meeting of the Association for Computational Linguistics and the 11th International Joint Conference on Natural Language Processing (Volume 1: Long Papers), pp. 3350-3363, (2021); Radford Alec, Wu Jeffrey, Child Rewon, Luan David, Amodei Dario, Sutskever Ilya, Et al., Language models are unsupervised multitask learners, OpenAI blog, 1, 8, (2019); Robeer Marcel, Bex Floris, Feelders Ad, Generating realistic natural language counterfactuals, Findings of the Association for Computational Linguistics: EMNLP 2021, pp. 3611-3625, (2021); Ross Alexis, Marasovic Ana, Peters Matthew E, Explaining nlp models via minimal contrastive editing (mice), Findings of the Association for Computational Linguistics: ACL-IJCNLP 2021, pp. 3840-3852, (2021); Sen Indira, Samory Mattia, Flock Fabian, Wagner Claudia, Augenstein Isabelle, How does counterfactually augmented data impact models for social computing constructs?, (2021); Sennrich Rico, Haddow Barry, Birch Alexandra, Improving neural machine translation models with monolingual data, (2015); Treviso Marcos, Ross Alexis, Guerreiro Nuno M, Martins Andre FT, Crest: A joint framework for rationalization and counterfactual text generation, (2023); Wang Zhao, Culotta Aron, Robustness to spurious correlations in text classification via automatically generated counterfactuals, Proceedings of the AAAI Conference on Artificial Intelligence, 35, pp. 14024-14031, (2021); Wei Jason, Wang Xuezhi, Schuurmans Dale, Bosma Maarten, Chi Ed, Le Quoc, Zhou Denny, Chain of thought prompting elicits reasoning in large language models, (2022); Wei Xiang, Cui Xingyu, Cheng Ning, Wang Xiaobin, Zhang Xin, Huang Shen, Xie Pengjun, Xu Jinan, Chen Yufeng, Zhang Meishan, Et al., Zero-shot information extraction via chatting with chatgpt, (2023); Wen Jiaxin, Zhu Yeshuang, Zhang Jinchao, Zhou Jie, Huang Minlie, Autocad: Automatically generating counterfactuals for mitigating shortcut learning, (2022); Wu Haoran, Wang Wenxuan, Wan Yuxuan, Jiao Wenxiang, Lyu Michael, Chatgpt or grammarly? evaluating chatgpt on grammatical error correction benchmark, (2023); Wu Shanchan, He Yifan, Enriching pre-trained language model with entity information for relation classification, Proceedings of the 28th ACM international conference on information and knowledge management, pp. 2361-2364, (2019); Wu Tongshuang, Ribeiro Marco Tulio, Heer Jeffrey, Weld Daniel S, Polyjuice: Generating counterfactuals for explaining, evaluating, and improving models, (2021); Yamada Ikuya, Asai Akari, Shindo Hiroyuki, Takeda Hideaki, Matsumoto Yuji, LUKE: Deep contextualized entity representations with entity-aware self-attention, Proceedings of the 2020 Conference on Empirical Methods in Natural Language Processing (EMNLP), pp. 6442-6454, (2020); Yang Kexin, Liu Dayiheng, Lei Wenqiang, Yang Baosong, Xue Mingfeng, Chen Boxing, Xie Jun, Tailor: A prompt-based approach to attribute-based controlled text generation, (2022); Yang Linyi, Li Jiazheng, Cunningham Padraig, Zhang Yue, Smyth Barry, Dong Ruihai, Exploring the efficacy of automatically generated counterfactuals for sentiment analysis, (2021); Yu Mo, Zhang Yang, Chang Shiyu, Jaakkola Tommi, Understanding interlocking dynamics of cooperative rationalization, Advances in Neural Information Processing Systems, 34, pp. 12822-12835, (2021); Zhang Mi, Qian Tieyun, Zhang Ting, Miao Xin, Towards model robustness: Generating contextual counterfactuals for entities in relation extraction, Proceedings of the ACM Web Conference 2023, pp. 1832-1842, (2023); Zhang Xiang, Zhao Junbo, LeCun Yann, Character-level convolutional networks for text classification, Advances in neural information processing systems, (2015); Zhang Yuhao, Zhong Victor, Chen Danqi, Angeli Gabor, Manning Christopher D., Position-aware attention and supervised data improve slot filling, Proceedings of the 2017 Conference on Empirical Methods in Natural Language Processing, pp. 35-45, (2017); Zhong Zexuan, Chen Danqi, A frustratingly easy approach for entity and relation extraction, North American Association for Computational Linguistics (NAACL), (2021); Zhou Peng, Shi Wei, Tian Jun, Qi Zhenyu, Li Bingchen, Hao Hongwei, Xu Bo, Attention-based bidirectional long short-term memory networks for relation classification, Proceedings of the 54th Annual Meeting of the Association for Computational Linguistics (Volume 2: Short Papers), pp. 207-212, (2016)</t>
  </si>
  <si>
    <t>T. Qian; School of Computer Science, Wuhan University, China; email: qty@whu.edu.cn</t>
  </si>
  <si>
    <t>Bouamor H.; Pino J.; Bali K.</t>
  </si>
  <si>
    <t>ahrefs; Amazon; Bloomberg; et al.; Google Research; GTCOM</t>
  </si>
  <si>
    <t>2023 Conference on Empirical Methods in Natural Language Processing, EMNLP 2023</t>
  </si>
  <si>
    <t>Hybrid, Singapore</t>
  </si>
  <si>
    <t>196512.0</t>
  </si>
  <si>
    <t>979-889176060-8</t>
  </si>
  <si>
    <t>2-s2.0-85184816248</t>
  </si>
  <si>
    <t>Cai E.; Simek O.; Miller B.A.; Sullivan D.; Young E.; Smith C.L.</t>
  </si>
  <si>
    <t>Cai, Erica (57909147300); Simek, Olga (6507045650); Miller, Benjamin A. (57207151897); Sullivan, Danielle (58996568200); Young, Evan (58825037600); Smith, Christopher L. (57212283624)</t>
  </si>
  <si>
    <t>57909147300; 6507045650; 57207151897; 58996568200; 58825037600; 57212283624</t>
  </si>
  <si>
    <t>From Low Resource Information Extraction to¬†Identifying Influential Nodes in¬†Knowledge Graphs</t>
  </si>
  <si>
    <t>Springer Proceedings in Complexity</t>
  </si>
  <si>
    <t>27.0</t>
  </si>
  <si>
    <t>10.1007/978-3-031-57515-0_2</t>
  </si>
  <si>
    <t>https://www.scopus.com/inward/record.uri?eid=2-s2.0-85191021750&amp;doi=10.1007%2f978-3-031-57515-0_2&amp;partnerID=40&amp;md5=67ffddc5a81871972055e3bdb94bb7fb</t>
  </si>
  <si>
    <t>MIT Lincoln Laboratory, Lexington, 02421, MA, United States; University of Massachusetts Amherst, Amherst, 01003, MA, United States</t>
  </si>
  <si>
    <t>Cai E., MIT Lincoln Laboratory, Lexington, 02421, MA, United States, University of Massachusetts Amherst, Amherst, 01003, MA, United States; Simek O., MIT Lincoln Laboratory, Lexington, 02421, MA, United States; Miller B.A., MIT Lincoln Laboratory, Lexington, 02421, MA, United States; Sullivan D., MIT Lincoln Laboratory, Lexington, 02421, MA, United States; Young E., MIT Lincoln Laboratory, Lexington, 02421, MA, United States; Smith C.L., MIT Lincoln Laboratory, Lexington, 02421, MA, United States</t>
  </si>
  <si>
    <t>We propose a pipeline for identifying important entities from intelligence reports that constructs a knowledge graph, where nodes correspond to entities of fine-grained types (e.g.¬†traffickers) extracted from the text and edges correspond to extracted relations between entities (e.g.¬†cartel membership). The important entities in intelligence reports then map to central nodes in the knowledge graph. We introduce a novel method that extracts fine-grained entities in a few-shot setting (few labeled examples), given limited resources available to label the frequently changing entity types that intelligence analysts are interested in. It outperforms other state-of-the-art methods. Next, we identify challenges facing previous evaluations of zero-shot (no labeled examples) methods for extracting relations, affecting the step of populating edges. Finally, we explore the utility of the pipeline: given the goal of identifying important entities, we evaluate the impact of relation extraction errors on the identification of central nodes in several real and synthetic networks. The impact of these errors varies significantly by graph topology, suggesting that confidence in measurements based on automatically extracted relations should depend on observed network features. ¬© The Author(s), under exclusive license to Springer Nature Switzerland AG 2024.</t>
  </si>
  <si>
    <t>Active learning; Central nodes; Few-shot learning; Fine-grained entities; Knowledge graph; NER; Relation extraction; Text entailment</t>
  </si>
  <si>
    <t>U.S. Department of Defense, DOD; U.S. Air Force, USAF, (FA8702-15-D-0001)</t>
  </si>
  <si>
    <t>This material is based upon work supported by the Department of Defense under Air Force Contract No. FA8702-15-D-0001. Any opinions, findings, conclusions or recommendations expressed in this material are those of the authors and do not necessarily reflect the views of the Department of Defense.</t>
  </si>
  <si>
    <t>Cai E., Et al., From Low Resource Information Extraction to Identifying Influential Nodes in Knowledge Graphs, 2401, (2024); Chen C.Y., Li C.T., ZS-BERT: Towards zero-shot relation extraction with attribute representation learning, NAACL, pp. 3470-3479, (2021); Chen Q., Et al., Enhanced LSTM for Natural Language Inference, pp. 1657-1668, (2017); Das S., Et al., Container: Few-Shot Named Entity Recognition via Contrastive Learning, (2021); Devlin J., Et al., BERT: Pre-training of deep bidirectional transformers for language understanding, NAACL, (2019); Ding N., Et al., Few-NERD: A few-shot named entity recognition dataset, ACL-IJCNLP, pp. 3198-3213, (2021); Gao T., Et al., Fewrel 2.0: Towards More Challenging Few-Shot Relation Classification, pp. 6250-6255, (2019); Gerdes L.M., Et al., Assessing the Abu Sayyaf Group‚Äôs strategic and learning capacities, Stud. Confl. Terror., 37, 3, pp. 267-293, (2014); Gill P., Et al., Lethal connections: The determinants of network connections in the Provisional Irish Republican Army, 1970‚Äì1998, Int. Interact., 40, 1, pp. 52-78, (2014); Han X., Et al., FewRel: A large-scale supervised few-shot relation classification dataset with state-of-the-art evaluation, EMNLP, pp. 4803-4809, (2018); Huang J., Et al., Few-shot named entity recognition: An empirical baseline study, EMNLP, pp. 10408-10423, (2021); Isella L., Et al., What‚Äôs in a crowd? Analysis of face-to-face behavioral networks, J. Theor. Biol., 271, 1, pp. 166-180, (2011); Jo H., Et al., Vulcan: Automatic extraction and analysis of cyber threat intelligence from unstructured text, Comput. Secur., 120, (2022); Leitner E., Et al., Fine-grained named entity recognition in legal documents, Semantics, pp. 272-287, (2019); Li J., Et al., Few-shot named entity recognition via meta-learning, IEEE Trans. Knowl. Data Eng., 34, 9, pp. 4245-4256, (2020); Liu C., Yang S., Using text mining to establish knowledge graph from accident/incident reports in risk assessment, Expert Syst. Appl., 207, (2022); Liu M., Et al., LTP: A new active learning strategy for CRF-based named entity recognition, Neural Process. Lett., 54, 3, pp. 2433-2454, (2022); Lothritz C., Et al., Evaluating pretrained transformer-based models on the task of fine-grained named entity recognition, COLING, pp. 3750-3760, (2020); Lyu Q., Et al., Zero-shot event extraction via transfer learning: Challenges and insights, ACL-IJCNLP, pp. 322-332, (2021); Manning C.D., Et al., The Stanford Corenlp Natural Language Processing Toolkit, pp. 55-60, (2014); Mayhew S., Et al., Named Entity Recognition with Partially Annotated Training Data, (2019); Najafi S., Fyshe A., Weakly-supervised questions for zero-shot relation extraction, EACL, pp. 3075-3087, (2023); Newman M.E., Finding community structure in networks using the eigenvectors of matrices, Phys. Rev. E, 74, 3, (2006); Radmard P., Et al., Subsequence based deep active learning for named entity recognition, ACL-IJCNLP, pp. 4310-4321, (2021); Ren Y., Et al., CSKG4APT: A cybersecurity knowledge graph for advanced persistent threat organization attribution, IEEE Trans. Knowl. Data Eng., (2022); Rocktaschel T., Et al., Reasoning about Entailment with Neural Attention, (2016); Siddhant A., Lipton Z.C., Deep Bayesian active learning for natural language processing: Results of a large-scale empirical study, EMNLP, pp. 2904-2909, (2018); Simek O., Et al., XLab: Early indications and warnings from open source data with application to biological threat, HICSS, (2018); Touvron H., Et al., Llama: Open and Efficient Foundation Language Models, 2302, (2023); Tran V.H., Et al., Improving discriminative learning for zero-shot relation extraction, Spanlp, pp. 1-6, (2022); Wang Q., Li C., Evaluating risk propagation in renewable energy incidents using ontologybased bayesian networks extracted from news reports, Int. J. Green Energy, 19, 12, pp. 1290-1305, (2022); Williams A., Et al., A broad-coverage challenge corpus for sentence understanding through inference, NAACL, pp. 1112-1122, (2018); Xue M., Et al., Coarse-To-Fine Pre-Training for Named Entity Recognition, (2020); Zhou B., Et al., MTAAL: Multi-task adversarial active learning for medical named entity recognition and normalization, In: AAAI, 35, pp. 14586-14593, (2021)</t>
  </si>
  <si>
    <t>E. Cai; MIT Lincoln Laboratory, Lexington, 02421, United States; email: ecai@cs.umass.edu</t>
  </si>
  <si>
    <t>Botta F.; Barbosa H.; Menezes R.; Macedo M.</t>
  </si>
  <si>
    <t>Springer Science and Business Media B.V.</t>
  </si>
  <si>
    <t>15th International Conference on Complex Networks, CompleNet 2024</t>
  </si>
  <si>
    <t>23 April 2024 through 26 April 2024</t>
  </si>
  <si>
    <t>Exeter</t>
  </si>
  <si>
    <t>311019.0</t>
  </si>
  <si>
    <t>978-303157514-3</t>
  </si>
  <si>
    <t>Springer Proc.  Complex.</t>
  </si>
  <si>
    <t>2-s2.0-85191021750</t>
  </si>
  <si>
    <t>Zhang N.; Xu X.; Tao L.; Yu H.; Ye H.; Qiao S.; Xie X.; Chen X.; Li Z.; Li L.; Liang X.; Yao Y.; Deng S.; Wang P.; Zhang W.; Zhang Z.; Tan C.; Chen Q.; Xiong F.; Huang F.; Zheng G.; Chen H.</t>
  </si>
  <si>
    <t>Zhang, Ningyu (55923601900); Xu, Xin (57421213500); Tao, Liankuan (57421213600); Yu, Haiyang (59624367500); Ye, Hongbin (57221148832); Qiao, Shuofei (57882121900); Xie, Xin (57222379771); Chen, Xiang (59157641500); Li, Zhoubo (57420992100); Li, Lei (57420881800); Liang, Xiaozhuan (57275281200); Yao, Yunzhi (57225213006); Deng, Shumin (57201556430); Wang, Peng (58316810800); Zhang, Wen (56902283700); Zhang, Zhenru (57421643600); Tan, Chuanqi (57221151395); Chen, Qiang (57215564226); Xiong, Feiyu (57217171492); Huang, Fei (57210150087); Zheng, Guozhou (8539677100); Chen, Huajun (35268022500)</t>
  </si>
  <si>
    <t>55923601900; 57421213500; 57421213600; 59624367500; 57221148832; 57882121900; 57222379771; 59157641500; 57420992100; 57420881800; 57275281200; 57225213006; 57201556430; 58316810800; 56902283700; 57421643600; 57221151395; 57215564226; 57217171492; 57210150087; 8539677100; 35268022500</t>
  </si>
  <si>
    <t>DeepKE: A Deep Learning Based Knowledge Extraction Toolkit for Knowledge Base Population</t>
  </si>
  <si>
    <t>EMNLP 2022 - 2022 Conference on Empirical Methods in Natural Language Processing, Proceedings of the Demonstrations Session</t>
  </si>
  <si>
    <t>98.0</t>
  </si>
  <si>
    <t>108.0</t>
  </si>
  <si>
    <t>https://www.scopus.com/inward/record.uri?eid=2-s2.0-85140386986&amp;partnerID=40&amp;md5=e4f529ae8891a1d3aeebafaa28f34616</t>
  </si>
  <si>
    <t>Zhejiang University, AZFT Joint Lab for Knowledge Engine, China; Alibaba Group, China</t>
  </si>
  <si>
    <t>Zhang N., Zhejiang University, AZFT Joint Lab for Knowledge Engine, China; Xu X., Zhejiang University, AZFT Joint Lab for Knowledge Engine, China; Tao L., Zhejiang University, AZFT Joint Lab for Knowledge Engine, China; Yu H., Zhejiang University, AZFT Joint Lab for Knowledge Engine, China; Ye H., Zhejiang University, AZFT Joint Lab for Knowledge Engine, China; Qiao S., Zhejiang University, AZFT Joint Lab for Knowledge Engine, China; Xie X., Zhejiang University, AZFT Joint Lab for Knowledge Engine, China; Chen X., Zhejiang University, AZFT Joint Lab for Knowledge Engine, China; Li Z., Zhejiang University, AZFT Joint Lab for Knowledge Engine, China; Li L., Zhejiang University, AZFT Joint Lab for Knowledge Engine, China; Liang X., Zhejiang University, AZFT Joint Lab for Knowledge Engine, China; Yao Y., Zhejiang University, AZFT Joint Lab for Knowledge Engine, China; Deng S., Zhejiang University, AZFT Joint Lab for Knowledge Engine, China; Wang P., Zhejiang University, AZFT Joint Lab for Knowledge Engine, China; Zhang W., Zhejiang University, AZFT Joint Lab for Knowledge Engine, China; Zhang Z., Alibaba Group, China; Tan C., Alibaba Group, China; Chen Q., Alibaba Group, China; Xiong F., Alibaba Group, China; Huang F., Alibaba Group, China; Zheng G., Zhejiang University, AZFT Joint Lab for Knowledge Engine, China; Chen H., Zhejiang University, AZFT Joint Lab for Knowledge Engine, China</t>
  </si>
  <si>
    <t>We present an open-source and extensible knowledge extraction toolkit DeepKE, supporting complicated low-resource, document-level and multimodal scenarios in knowledge base population. DeepKE implements various information extraction tasks, including named entity recognition, relation extraction and attribute extraction. With a unified framework, DeepKE allows developers and researchers to customize datasets and models to extract information from unstructured data according to their requirements. Specifically, DeepKE not only provides various functional modules and model implementation for different tasks and scenarios but also organizes all components by consistent frameworks to maintain sufficient modularity and extensibility. We release the source code at GitHub with Google Colab tutorials and comprehensive documents for beginners. Besides, we present an online system for real-time extraction of various tasks, and a demo video. ¬© 2022 Association for Computational Linguistics.</t>
  </si>
  <si>
    <t>Computational linguistics; Data mining; Deep learning; Information retrieval; Attributes extractions; Extract informations; Functional modelling; Knowledge extraction; Multi-modal; Named entity recognition; Open-source; Relation extraction; Unified framework; Unstructured data; Knowledge based systems</t>
  </si>
  <si>
    <t>We want to express gratitude to the anonymous reviewers for their kind comments. This work was supported by National Natural Science Foundation of China (No.62206246, 91846204 and U19B2027), Zhejiang Provincial Natural Science Foundation of China (No. LGG22F030011), Ningbo Natural Science Foundation (2021J190), and Yongjiang Talent Introduction Programme (2021A-156-G).</t>
  </si>
  <si>
    <t>Che Wanxiang, Feng Yunlong, Qin Libo, Liu Ting, N-LTP: An open-source neural language technology platform for Chinese, Proceedings of the 2021 Conference on Empirical Methods in Natural Language Processing: System Demonstrations, pp. 42-49, (2021); Chen Xiang, Li Lei, Deng Shumin, Tan Chuanqi, Xu Changliang, Huang Fei, Si Luo, Chen Huajun, Zhang Ningyu, LightNER: A lightweight tuning paradigm for low-resource NER via pluggable prompting, Proceedings of the 29th International Conference on Computational Linguistics, pp. 2374-2387, (2022); Chen Xiang, Zhang Ningyu, Xie Xin, Deng Shumin, Yao Yunzhi, Tan Chuanqi, Huang Fei, Si Luo, Chen Huajun, Knowprompt: Knowledge-aware prompt-tuning with synergistic optimization for relation extraction, WWW'22: The ACM Web Conference 2022, pp. 2778-2788, (2022); Cui Leyang, Wu Yu, Liu Jian, Yang Sen, Zhang Yue, Template-based named entity recognition using BART, Proceedings of ACL/IJCNLP, volume ACL/IJCNLP 2021 of Findings of ACL, (2021); Cui Yiming, Che Wanxiang, Liu Ting, Qin Bing, Yang Ziqing, Pre-training with whole word masking for chinese BERT, IEEE ACM Trans. Audio Speech Lang. Process, 29, pp. 3504-3514, (2021); Devlin Jacob, Chang Ming-Wei, Lee Kenton, Toutanova Kristina, BERT: pre-training of deep bidirectional transformers for language understanding, Proceedings of NAACL-HLT, pp. 4171-4186, (2019); Hakkani-Tur Dilek, Tur Gokhan, Celikyilmaz Asli, Chen Yun-Nung, Gao Jianfeng, Deng Li, Wang Ye-Yi, Multi-domain joint semantic frame parsing using bi-directional RNN-LSTM, Proceedings of INTERSPEECH, pp. 715-719, (2016); Han Xu, Gao Tianyu, Yao Yuan, Ye Deming, Liu Zhiyuan, Sun Maosong, Opennre: An open and extensible toolkit for neural relation extraction, Proceedings of EMNLP-IJCNLP, (2019); Han Xu, Zhao Weilin, Ding Ning, Liu Zhiyuan, Sun Maosong, PTR: prompt tuning with rules for text classification, (2021); Hendrickx Iris, Kim Su Nam, Kozareva Zornitsa, Nakov Preslav, Seaghdha Diarmuid O, Pado Sebastian, Pennacchiotti Marco, Romano Lorenza, Szpakowicz Stan, Semeval-2010 task 8: Multi-way classification of semantic relations between pairs of nominals, Proceedings of SemEval@ACL Workshop, (2010); Huang Jiaxin, Li Chunyuan, Subudhi Krishan, Jose Damien, Balakrishnan Shobana, Chen Weizhu, Peng Baolin, Gao Jianfeng, Han Jiawei, Few-shot named entity recognition: A comprehensive study, (2020); Ji Heng, Grishman Ralph, Knowledge base population: Successful approaches and challenges, The 49th Annual Meeting of the Association for Computational Linguistics: Human Language Technologies, Proceedings of the Conference, pp. 1148-1158, (2011); Jin Zhuoran, Chen Yubo, Sui Dianbo, Wang Chenhao, Xue Zhipeng, Zhao Jun, CogIE: An information extraction toolkit for bridging texts and CogNet, Proceedings of ACL-IJCNLP, pp. 92-98, (2021); Lewis Mike, Liu Yinhan, Goyal Naman, Ghazvininejad Marjan, Mohamed Abdelrahman, Levy Omer, Stoyanov Veselin, Zettlemoyer Luke, BART: denoising sequence-to-sequence pretraining for natural language generation, translation, and comprehension, Proceedings of ACL, pp. 7871-7880, (2020); Lin Bill Yuchen, Chen Xinyue, Chen Jamin, Ren Xiang, Kagnet: Knowledge-aware graph networks for commonsense reasoning, Proceedings of the 2019 Conference on Empirical Methods in Natural Language Processing and the 9th International Joint Conference on Natural Language Processing, EMNLP-IJCNLP 2019, pp. 2829-2839, (2019); Liu Jingjing, Pasupat Panupong, Cyphers Scott, Glass James R., Asgard: A portable architecture for multilingual dialogue systems, Proceedings of ICASSP, pp. 8386-8390, (2013); Liu Yinhan, Ott Myle, Goyal Naman, Du Jingfei, Joshi Mandar, Chen Danqi, Levy Omer, Lewis Mike, Zettlemoyer Luke, Stoyanov Veselin, Roberta: A robustly optimized BERT pretraining approach, (2019); Lu Di, Neves Leonardo, Carvalho Vitor, Zhang Ning, Ji Heng, Visual attention model for name tagging in multimodal social media, Proceedings of the 56th Annual Meeting of the Association for Computational Linguistics (Volume 1: Long Papers), pp. 1990-1999, (2018); Lu Jiasen, Batra Dhruv, Parikh Devi, Lee Stefan, Vilbert: Pretraining task-agnostic visiolinguistic representations for vision-and-language tasks, Advances in Neural Information Processing Systems, 32, (2019); Manning Christopher D, Human language understanding &amp; reasoning, Daedalus, 151, 2, pp. 127-138, (2022); Martinez-Rodriguez Jose-Lazaro, Lopez-Arevalo Ivan, Rios-Alvarado Ana B., Openie-based approach for knowledge graph construction from text, Expert Syst. Appl, 113, pp. 339-355, (2018); Nan Guoshun, Guo Zhijiang, Sekulic Ivan, Lu Wei, Reasoning with latent structure refinement for document-level relation extraction, Proceedings of ACL, pp. 1546-1557, (2020); Tjong Erik F., Sang Kim, De Meulder Fien, Introduction to the conll-2003 shared task: Language-independent named entity recognition, Proceedings of HLT-NAACL, pp. 142-147, (2003); Sui Dianbo, Wang Chenhao, Chen Yubo, Liu Kang, Zhao Jun, Bi Wei, Set generation networks for end-to-end knowledge base population, Proceedings of the 2021 Conference on Empirical Methods in Natural Language Processing, EMNLP 2021, pp. 9650-9660, (2021); Vasiliev Yuli, Natural Language Processing with Python and SpaCy: A Practical Introduction, (2020); Vaswani Ashish, Shazeer Noam, Parmar Niki, Uszkoreit Jakob, Jones Llion, Gomez Aidan N., Kaiser Lukasz, Polosukhin Illia, Attention is all you need, Advances in Neural Information Processing Systems 30: Annual Conference on Neural Information Processing Systems 2017, pp. 5998-6008, (2017); Wang Hongwei, Zhang Fuzheng, Xie Xing, Guo Minyi, DKN: deep knowledge-aware network for news recommendation, Proceedings of WWW, pp. 1835-1844, (2018); Wen Haoyang, Lin Ying, Lai Tuan, Pan Xiaoman, Li Sha, Lin Xudong, Zhou Ben, Li Manling, Wang Haoyu, Zhang Hongming, Yu Xiaodong, Dong Alexander, Wang Zhenhailong, Fung Yi, Mishra Piyush, Lyu Qing, Suris Didac, Chen Brian, Brown Susan Windisch, Palmer Martha, Callison-Burch Chris, Vondrick Carl, Han Jiawei, Roth Dan, Chang Shih-Fu, Ji Heng, RESIN: A dockerized schema-guided cross-document cross-lingual cross-media information extraction and event tracking system, Proceedings of NAACL-HLT, (2021); Wiseman Sam, Stratos Karl, Label-agnostic sequence labeling by copying nearest neighbors, Proceedings of ACL, pp. 5363-5369, (2019); Wu Tongtong, Li Xuekai, Li Yuan-Fang, Haffari Gholamreza, Qi Guilin, Zhu Yujin, Xu Guoqiang, Curriculum-meta learning for order-robust continual relation extraction, Proceedings of AAAI, (2021); Xue Fuzhao, Sun Aixin, Zhang Hao, Chng Eng Siong, Gdpnet: Refining latent multi-view graph for relation extraction, Thirty-Fifth AAAI Conference on Artificial Intelligence, AAAI 2021, Thirty-Third Conference on Innovative Applications of Artificial Intelligence, IAAI 2021, The Eleventh Symposium on Educational Advances in Artificial Intelligence, EAAI 2021, pp. 14194-14202, (2021); Yan Hang, Gui Tao, Dai Junqi, Guo Qipeng, Zhang Zheng, Qiu Xipeng, A unified generative framework for various NER subtasks, Proceedings of the 59th Annual Meeting of the Association for Computational Linguistics and the 11th International Joint Conference on Natural Language Processing, ACL/IJCNLP 2021, (Volume 1: Long Papers), pp. 5808-5822, (2021); Ye Deming, Lin Yankai, Du Jiaju, Liu Zhenghao, Li Peng, Sun Maosong, Liu Zhiyuan, Coreferential reasoning learning for language representation, Proceedings of EMNLP, pp. 7170-7186, (2020); Yu Jianfei, Jiang Jing, Yang Li, Xia Rui, Improving multimodal named entity recognition via entity span detection with unified multimodal transformer, Proceedings of the 58th Annual Meeting of the Association for Computational Linguistics, pp. 3342-3352, (2020); Zeng Daojian, Liu Kang, Chen Yubo, Zhao Jun, Distant supervision for relation extraction via piecewise convolutional neural networks, Proceedings of EMNLP, pp. 1753-1762, (2015); Zhang Ningyu, Chen Xiang, Xie Xin, Deng Shumin, Tan Chuanqi, Chen Mosha, Huang Fei, Si Luo, Chen Huajun, Document-level relation extraction as semantic segmentation, Proceedings of IJCAI, pp. 3999-4006, (2021); Zhang Ningyu, Deng Shumin, Sun Zhanlin, Wang Guanying, Chen Xi, Zhang Wei, Chen Huajun, Long-tail relation extraction via knowledge graph embeddings and graph convolution networks, Proceedings of NAACL-HLT, pp. 3016-3025, (2019); Zhang Ningyu, Deng Shumin, Sun Zhanling, Chen Xi, Zhang Wei, Chen Huajun, Attention-based capsule network with dynamic routing for relation extraction, Proceedings of EMNLP, (2018); Zhang Qi, Fu Jinlan, Liu Xiaoyu, Huang Xuanjing, Adaptive co-attention network for named entity recognition in tweets, Proceedings of the AAAI Conference on Artificial Intelligence, 32, 1, (2018); Zhang Yuhao, Qi Peng, Manning Christopher D., Graph convolution over pruned dependency trees improves relation extraction, Proceedings of EMNLP, pp. 2205-2215, (2018); Zheng Changmeng, Feng Junhao, Fu Ze, Cai Yi, Li Qing, Wang Tao, Multimodal Relation Extraction with Efficient Graph Alignment, pp. 5298-5306, (2021); Zheng Changmeng, Wu Zhiwei, Feng Junhao, Fu Ze, Cai Yi, Mnre: A challenge multimodal dataset for neural relation extraction with visual evidence in social media posts, 2021 IEEE International Conference on Multimedia and Expo (ICME), pp. 1-6, (2021); Zhou Peng, Shi Wei, Tian Jun, Qi Zhenyu, Li Bingchen, Hao Hongwei, Xu Bo, Attention-based bidirectional long short-term memory networks for relation classification, Proceedings of ACL, (2016)</t>
  </si>
  <si>
    <t>H. Chen; Zhejiang University, AZFT Joint Lab for Knowledge Engine, China; email: huajunsir@zju.edu.cn</t>
  </si>
  <si>
    <t>Che W.; Shutova E.</t>
  </si>
  <si>
    <t>2022 Conference on Empirical Methods in Natural Language Processing, EMNLP 2022</t>
  </si>
  <si>
    <t>186897.0</t>
  </si>
  <si>
    <t>978-195942941-8</t>
  </si>
  <si>
    <t>EMNLP - Conf. Empir. Methods Nat. Lang. Process., Proc. Demonstr. Sess.</t>
  </si>
  <si>
    <t>2-s2.0-85140386986</t>
  </si>
  <si>
    <t>Zhao J.; Hu Y.; Xu N.; Gui T.; Zhang Q.; Chen Y.; Gao X.</t>
  </si>
  <si>
    <t>Zhao, Jun (58846765100); Hu, Yuan (57222873035); Xu, Nuo (57211759176); Gui, Tao (57211256586); Zhang, Qi (57203621188); Chen, Yunwen (57210823603); Gao, Xiang (57751035600)</t>
  </si>
  <si>
    <t>58846765100; 57222873035; 57211759176; 57211256586; 57203621188; 57210823603; 57751035600</t>
  </si>
  <si>
    <t>An Exploration of Prompt-Based Zero-Shot Relation Extraction Method</t>
  </si>
  <si>
    <t>21st Chinese National Conference on Computational Linguistic, CCL 2022</t>
  </si>
  <si>
    <t>786.0</t>
  </si>
  <si>
    <t>797.0</t>
  </si>
  <si>
    <t>11.0</t>
  </si>
  <si>
    <t>https://www.scopus.com/inward/record.uri?eid=2-s2.0-85146370315&amp;partnerID=40&amp;md5=6f8a6912359c97dab018015e5d439b86</t>
  </si>
  <si>
    <t>School of Computer Science, Shanghai Key Laboratory of Intelligent Information Processing, Fudan University, Shanghai, China; DataGrand Information Technology (Shanghai) Co., Ltd., Shanghai, China</t>
  </si>
  <si>
    <t>Zhao J., School of Computer Science, Shanghai Key Laboratory of Intelligent Information Processing, Fudan University, Shanghai, China; Hu Y., School of Computer Science, Shanghai Key Laboratory of Intelligent Information Processing, Fudan University, Shanghai, China; Xu N., School of Computer Science, Shanghai Key Laboratory of Intelligent Information Processing, Fudan University, Shanghai, China; Gui T., School of Computer Science, Shanghai Key Laboratory of Intelligent Information Processing, Fudan University, Shanghai, China; Zhang Q., School of Computer Science, Shanghai Key Laboratory of Intelligent Information Processing, Fudan University, Shanghai, China; Chen Y., DataGrand Information Technology (Shanghai) Co., Ltd., Shanghai, China; Gao X., DataGrand Information Technology (Shanghai) Co., Ltd., Shanghai, China</t>
  </si>
  <si>
    <t>Zero-shot relation extraction is an important method for dealing with the newly emerging relations in the real world which lacks labeled data. However, the mainstream two-tower zero-shot methods usually rely on large-scale and in-domain labeled data of predefined relations. In this work, we view zero-shot relation extraction as a semantic matching task optimized by prompt-tuning, which still maintains superior generalization performance when the labeled data of predefined relations are extremely scarce. To maximize the efficiency of data exploitation, instead of directly fine-tuning, we introduce a prompt-tuning technique to elicit the existing relational knowledge in pre-trained language model (PLMs). In addition, very few relation descriptions are exposed to the model during training, which we argue is the performance bottleneck of two-tower methods. To break through the bottleneck, we model the semantic interaction between relational instances and their descriptions directly during encoding. Experiment results on two academic datasets show that (1) our method outperforms the previous state-of-the-art method by a large margin with different samples of predefined relations; (2) this advantage will be further amplified in the low-resource scenario. ¬© 2022 China National Conference on Computational Linguistics Published under Creative Commons Attribution 4.0 International License.</t>
  </si>
  <si>
    <t>Computational linguistics; Extraction; Large dataset; Zero-shot learning; Exposed to; Extraction method; Fine tuning; Generalization performance; Labeled data; Language model; Large-scales; Real-world; Relation extraction; Semantic matching; Semantics</t>
  </si>
  <si>
    <t>Chen Chih-Yao, Li Cheng-Te, Zs-bert: Towards zero-shot relation extraction with attribute representation learning, (2021); Chen Qian, Zhu Xiaodan, Ling Zhen-Hua, Wei Si, Jiang Hui, Inkpen Diana, Enhanced LSTM for natural language inference, Proceedings of the 55th Annual Meeting of the Association for Computational Linguistics (Volume 1: Long Papers), pp. 1657-1668, (2017); Clark Kevin, Khandelwal Urvashi, Levy Omer, Manning Christopher D., What does BERT look at? an analysis of bert's attention, CoRR, (2019); Devlin Jacob, Chang Ming-Wei, Lee Kenton, Toutanova Kristina, Bert: Pre-training of deep bidirectional transformers for language understanding, (2018); Devlin Jacob, Chang Ming-Wei, Lee Kenton, Toutanova Kristina, BERT: Pre-training of deep bidirectional transformers for language understanding, Proceedings of the 2019 Conference of the North American Chapter of the Association for Computational Linguistics: Human Language Technologies, Volume 1 (Long and Short Papers), pp. 4171-4186, (2019); Ding Ning, Chen Yulin, Han Xu, Xu Guangwei, Xie Pengjun, Zheng Hai-Tao, Liu Zhiyuan, Li Juanzi, Kim Hong-Gee, Prompt-learning for fine-grained entity typing, (2021); Du Jinhua, Han Jingguang, Way Andy, Wan Dadong, Multi-level structured self-attentions for distantly supervised relation extraction, (2018); Goldberg Yoav, Assessing bert's syntactic abilities, CoRR, (2019); Han Xu, Zhu Hao, Yu Pengfei, Wang Ziyun, Yao Yuan, Liu Zhiyuan, Sun Maosong, Fewrel: A large-scale supervised few-shot relation classification dataset with state-of-the-art evaluation, Proceedings of the 2018 Conference on Empirical Methods in Natural Language Processing, pp. 4803-4809, (2018); Han Xu, Zhu Hao, Yu Pengfei, Wang Ziyun, Yao Yuan, Liu Zhiyuan, Sun Maosong, FewRel: A large-scale supervised few-shot relation classification dataset with state-of-the-art evaluation, Proceedings of the 2018 Conference on Empirical Methods in Natural Language Processing, pp. 4803-4809, (2018); Han Xu, Zhao Weilin, Ding Ning, Liu Zhiyuan, Sun Maosong, Ptr: Prompt tuning with rules for text classification, (2021); Hewitt John, Manning Christopher D., A structural probe for finding syntax in word representations, Proceedings of the 2019 Conference of the North American Chapter of the Association for Computational Linguistics: Human Language Technologies, Volume 1 (Long and Short Papers), pp. 4129-4138, (2019); Jawahar Ganesh, Sagot Benoit, Seddah Djame, What does BERT learn about the structure of language?, Proceedings of the 57th Annual Meeting of the Association for Computational Linguistics, pp. 3651-3657, (2019); Jiang Zhengbao, Xu Frank F., Araki Jun, Neubig Graham, How can we know what language models know?, Transactions of the Association for Computational Linguistics, 8, pp. 423-438, (2020); Levy Omer, Seo Minjoon, Choi Eunsol, Zettlemoyer Luke, Zero-shot relation extraction via reading comprehension, Proceedings of the 21st Conference on Computational Natural Language Learning (CoNLL 2017), pp. 333-342, (2017); Li Xiang Lisa, Liang Percy, Prefix-tuning: Optimizing continuous prompts for generation, (2021); Liu Pengfei, Yuan Weizhe, Fu Jinlan, Jiang Zhengbao, Hayashi Hiroaki, Neubig Graham, Pre-train, prompt, and predict: A systematic survey of prompting methods in natural language processing, (2021); Madotto Andrea, Wu Chien-Sheng, Fung Pascale, Mem2Seq: Effectively incorporating knowledge bases into end-to-end task-oriented dialog systems, Proceedings of the 56th Annual Meeting of the Association for Computational Linguistics (Volume 1: Long Papers), pp. 1468-1478, (2018); Obamuyide Abiola, Vlachos Andreas, Zero-shot relation classification as textual entailment, Proceedings of the First Workshop on Fact Extraction and VERification (FEVER), pp. 72-78, (2018); Peters Matthew E., Neumann Mark, Zettlemoyer Luke, Yih Wen-tau, Dissecting contextual word embeddings: Architecture and representation, Proceedings of the 2018 Conference on Empirical Methods in Natural Language Processing, pp. 1499-1509, (2018); Radford Alec, Narasimhan Karthik, Salimans Tim, Sutskever Ilya, Improving language understanding by generative pre-training, (2018); Soares Livio Baldini, FitzGerald Nicholas, Ling Jeffrey, Kwiatkowski Tom, Matching the blanks: Distributional similarity for relation learning, (2019); Tenney Ian, Xia Patrick, Chen Berlin, Wang Alex, Poliak Adam, Thomas McCoy R, Kim Najoung, Van Durme Benjamin, Bowman Sam, Das Dipanjan, Pavlick Ellie, What do you learn from context? probing for sentence structure in contextualized word representations, International Conference on Learning Representations, (2019); Tsimpoukelli Maria, Menick Jacob, Cabi Serkan, Eslami SM, Vinyals Oriol, Hill Felix, Multimodal few-shot learning with frozen language models, (2021); Wang Zhen, Zhang Jianwen, Feng Jianlin, Chen Zheng, Knowledge graph embedding by translating on hyperplanes, Proceedings of the AAAI Conference on Artificial Intelligence, 28, (2014); Wu Shanchan, He Yifan, Enriching pre-trained language model with entity information for relation classification, Proceedings of the 28th ACM international conference on information and knowledge management, pp. 2361-2364, (2019); Xiong Chenyan, Power Russell, Callan Jamie, Explicit semantic ranking for academic search via knowledge graph embedding, Proceedings of the 26th International Conference on World Wide Web, WWW'17, pp. 1271-1279, (2017); Zhang Yuhao, Zhong Victor, Chen Danqi, Angeli Gabor, Manning Christopher D., Position-aware attention and supervised data improve slot filling, Proceedings of the 2017 Conference on Empirical Methods in Natural Language Processing, pp. 35-45, (2017); Zhong Zexuan, Friedman Dan, Chen Danqi, Factual probing is [MASK]: Learning vs. learning to recall, Proceedings of the 2021 Conference of the North American Chapter of the Association for Computational Linguistics: Human Language Technologies, pp. 5017-5033, (2021); Zhou Peng, Shi Wei, Tian Jun, Qi Zhenyu, Li Bingchen, Hao Hongwei, Xu Bo, Attention-based bidirectional long short-term memory networks for relation classification, Proceedings of the 54th annual meeting of the association for computational linguistics (volume 2: Short papers), pp. 207-212, (2016)</t>
  </si>
  <si>
    <t>T. Gui; School of Computer Science, Shanghai Key Laboratory of Intelligent Information Processing, Fudan University, Shanghai, China; email: tgui@fudan.edu.cn; Q. Zhang; School of Computer Science, Shanghai Key Laboratory of Intelligent Information Processing, Fudan University, Shanghai, China; email: qz@fudan.edu.cn</t>
  </si>
  <si>
    <t>Chinese National Conference on Computational Linguistic (CCL)</t>
  </si>
  <si>
    <t>14 October 2022 through 16 October 2022</t>
  </si>
  <si>
    <t>Nanchang</t>
  </si>
  <si>
    <t>185497.0</t>
  </si>
  <si>
    <t>Chin. Natl. Conf. Comput. Linguist., CCL</t>
  </si>
  <si>
    <t>2-s2.0-85146370315</t>
  </si>
  <si>
    <t>Lv B.; Liu X.; Dai S.; Liu N.; Yang F.; Luo P.; Yu Y.</t>
  </si>
  <si>
    <t>Lv, Bo (59082338800); Liu, Xin (57192260179); Dai, Shaojie (58676292400); Liu, Nayu (57224479628); Yang, Fan (59608658800); Luo, Ping (55705279000); Yu, Yue (55566298800)</t>
  </si>
  <si>
    <t>59082338800; 57192260179; 58676292400; 57224479628; 59608658800; 55705279000; 55566298800</t>
  </si>
  <si>
    <t>DSP: Discriminative Soft Prompts for Zero-Shot Entity and Relation Extraction</t>
  </si>
  <si>
    <t>5491.0</t>
  </si>
  <si>
    <t>5505.0</t>
  </si>
  <si>
    <t>https://www.scopus.com/inward/record.uri?eid=2-s2.0-85175454271&amp;partnerID=40&amp;md5=5185f2572929cacbcc824d86dc260f7a</t>
  </si>
  <si>
    <t>Key Laboratory of Intelligent Information Processing, Institute of Computing Technology, Chinese Academy of Sciences, China; Peng Cheng Laboratory, China; University of Chinese Academy of Sciences, China</t>
  </si>
  <si>
    <t>Lv B., Key Laboratory of Intelligent Information Processing, Institute of Computing Technology, Chinese Academy of Sciences, China, Peng Cheng Laboratory, China, University of Chinese Academy of Sciences, China; Liu X., Peng Cheng Laboratory, China; Dai S., Key Laboratory of Intelligent Information Processing, Institute of Computing Technology, Chinese Academy of Sciences, China, Peng Cheng Laboratory, China, University of Chinese Academy of Sciences, China; Liu N., Key Laboratory of Intelligent Information Processing, Institute of Computing Technology, Chinese Academy of Sciences, China, Peng Cheng Laboratory, China; Yang F., Peng Cheng Laboratory, China, University of Chinese Academy of Sciences, China; Luo P., Key Laboratory of Intelligent Information Processing, Institute of Computing Technology, Chinese Academy of Sciences, China, Peng Cheng Laboratory, China; Yu Y., Peng Cheng Laboratory, China</t>
  </si>
  <si>
    <t>Prompt-based methods have shown their efficacy in transferring general knowledge within pre-trained language models (PLMs) for low-resource scenarios. Typically, prompt-based methods convert downstream tasks to cloze-style problems and map all labels to verbalizers. However, when applied to zero-shot entity and relation extraction, vanilla prompt-based methods may struggle with the limited coverage of verbalizers to labels and the slow inference speed. In this work, we propose a novel Discriminative Soft Prompts (DSP) approach to take advantage of the prompt-based methods to strengthen the transmission of general knowledge. Specifically, we develop a discriminative prompt method, which reformulates zero-shot tasks into token discrimination tasks without having to construct verbalizers. Furthermore, to improve the inference speed of the prompt-based methods, we design a soft prompt co-reference strategy, which leverages soft prompts to approximately refer to the vector representation of text tokens. The experimental results demonstrate that, our model outperforms baselines on two zero-shot entity recognition datasets with higher inference speed, and obtains a 7.5% average relation F1-score improvement over previous state-of-the-art models on Wiki-ZSL and FewRel. ¬© 2023 Association for Computational Linguistics.</t>
  </si>
  <si>
    <t>Computational linguistics; Digital signal processing; Extraction; Discrimination tasks; Down-stream; Entity extractions; Entity recognition; F1 scores; General knowledge; Language model; Relation extraction; State of the art; Vector representations; Zero-shot learning</t>
  </si>
  <si>
    <t>National Natural Science Foundation of China, NSFC, (62076231, 62206140); National Natural Science Foundation of China, NSFC; China Postdoctoral Science Foundation, (2022M711726); China Postdoctoral Science Foundation; National Key Research and Development Program of China, NKRDPC, (2021ZD0112905); National Key Research and Development Program of China, NKRDPC</t>
  </si>
  <si>
    <t>We thank all the reviewers for their efforts to make the paper comprehensive and solid. This work is supported in part by the fund of National Key Research and Development Program of China (Grants No. 2021ZD0112905), National Natural Science Foundation of China (Grants No. 62206140, 62076231), and China Postdoctoral Science Foundation (Grants No. 2022M711726).</t>
  </si>
  <si>
    <t>Aly Rami, Vlachos Andreas, McDonald Ryan, Leveraging type descriptions for zero-shot named entity recognition and classification, Proceedings of the 59th Annual Meeting of the Association for Computational Linguistics and the 11th International Joint Conference on Natural Language Processing (Volume 1: Long Papers), pp. 1516-1528, (2021); Chen Chih-Yao, Li Cheng-Te, Zs-bert: Towards zero-shot relation extraction with attribute representation learning, (2021); Chia Yew Ken, Bing Lidong, Poria Soujanya, Si Luo, Relationprompt: Leveraging prompts to generate synthetic data for zero-shot relation triplet extraction, (2022); Clark Kevin, Luong Minh-Thang, Le Quoc V, Manning Christopher D, Electra: Pre-training text encoders as discriminators rather than generators, (2020); Cui Ganqu, Hu Shengding, Ding Ning, Huang Longtao, Liu Zhiyuan, Prototypical verbalizer for prompt-based few-shot tuning, (2022); Devlin Jacob, Chang Ming-Wei, Lee Kenton, Toutanova Kristina, BERT: Pre-training of deep bidirectional transformers for language understanding, Proceedings of the 2019 Conference of the North American Chapter of the Association for Computational Linguistics: Human Language Technologies, Volume 1 (Long and Short Papers), pp. 4171-4186, (2019); Ding Ning, Chen Yulin, Han Xu, Xu Guangwei, Xie Pengjun, Zheng Hai-Tao, Liu Zhiyuan, Li Juanzi, Kim Hong-Gee, Prompt-learning for fine-grained entity typing, (2021); Han Xu, Zhu Hao, Yu Pengfei, Wang Ziyun, Yao Yuan, Liu Zhiyuan, Sun Maosong, FewRel: A large-scale supervised few-shot relation classification dataset with state-of-the-art evaluation, Proceedings of the 2018 Conference on Empirical Methods in Natural Language Processing, pp. 4803-4809, (2018); Hu Shengding, Ding Ning, Wang Huadong, Liu Zhiyuan, Li Juanzi, Sun Maosong, Knowledgeable prompt-tuning: Incorporating knowledge into prompt verbalizer for text classification, (2021); Jiang Zhengbao, Xu Frank F., Araki Jun, Neubig Graham, How Can We Know What Language Models Know?, Transactions of the Association for Computational Linguistics, 8, pp. 423-438, (2020); Levy Omer, Seo Minjoon, Choi Eunsol, Zettlemoyer Luke, Zero-shot relation extraction via reading comprehension, (2017); Lewis Mike, Liu Yinhan, Goyal Naman, Ghazvininejad Marjan, Mohamed Abdelrahman, Levy Omer, Stoyanov Veselin, Zettlemoyer Luke, BART: Denoising sequence-to-sequence pre-training for natural language generation, translation, and comprehension, Proceedings of the 58th Annual Meeting of the Association for Computational Linguistics, pp. 7871-7880, (2020); Li Bangzheng, Yin Wenpeng, Chen Muhao, Ultra-fine entity typing with indirect supervision from natural language inference, Transactions of the Association for Computational Linguistics, 10, pp. 607-622, (2022); Li Xiaoya, Feng Jingrong, Meng Yuxian, Han Qinghong, Wu Fei, Li Jiwei, A unified MRC framework for named entity recognition, Proceedings of the 58th Annual Meeting of the Association for Computational Linguistics, pp. 5849-5859, (2020); Liu Yinhan, Ott Myle, Goyal Naman, Du Jingfei, Joshi Mandar, Chen Danqi, Levy Omer, Lewis Mike, Zettlemoyer Luke, Stoyanov Veselin, Roberta: A robustly optimized BERT pretraining approach, CoRR, (2019); Loshchilov Ilya, Hutter Frank, Decoupled weight decay regularization, Learning, (2017); Ma Yukun, Cambria Erik, Gao Sa, Label embedding for zero-shot fine-grained named entity typing, Proceedings of COLING 2016, the 26th International Conference on Computational Linguistics: Technical Papers, pp. 171-180, (2016); Mohan Sunil, Li Donghui, Medmentions: A large biomedical corpus annotated with umls concepts, (2019); Petroni Fabio, Rocktaschel Tim, Lewis Patrick S. H., Bakhtin Anton, Wu Yuxiang, Miller Alexander H., Riedel Sebastian, Language models as knowledge bases, Empirical Methods in Natural Language Processing, (2019); Pradhan Sameer, Moschitti Alessandro, Xue Nianwen, Ng Hwee Tou, Bjorkelund Anders, Uryupina Olga, Zhang Yuchen, Zhong Zhi, Towards robust linguistic analysis using OntoNotes, Proceedings of the Seventeenth Conference on Computational Natural Language Learning, pp. 143-152, (2013); Radford Alec, Narasimhan Karthik, Salimans Tim, Sutskever Ilya, Et al., Improving language understanding by generative pre-training, (2018); Radford Alec, Wu Jeffrey, Child Rewon, Luan David, Amodei Dario, Sutskever Ilya, Et al., Language models are unsupervised multitask learners, OpenAI blog, 1, 8, (2019); Rocktaschel Tim, Grefenstette Edward, Hermann Karl Moritz, Kocisky Tomas, Blunsom Phil, Reasoning about entailment with neural attention, (2015); Sainz Oscar, de Lacalle Oier Lopez, Labaka Gorka, Barrena Ander, Agirre Eneko, Label verbalization and entailment for effective zero and few-shot relation extraction, Proceedings of the 2021 Conference on Empirical Methods in Natural Language Processing, pp. 1199-1212, (2021); Schick Timo, Schutze Hinrich, Exploiting cloze-questions for few-shot text classification and natural language inference, Proceedings of the 16th Conference of the European Chapter of the Association for Computational Linguistics: Main Volume, pp. 255-269, (2021); Tam Derek, Menon Rakesh R., Bansal Mohit, Srivastava Shashank, Raffel Colin, Improving and simplifying pattern exploiting training, Proceedings of the 2021 Conference on Empirical Methods in Natural Language Processing, pp. 4980-4991, (2021); Wang Chenguang, Liu Xiao, Chen Zui, Hong Haoyun, Tang Jie, Song Dawn, Zero-shot information extraction as a unified text-to-triple translation, (2021); Wang Jue, Lu Wei, Two are better than one: Joint entity and relation extraction with table-sequence encoders, Proceedings of the 2020 Conference on Empirical Methods in Natural Language Processing (EMNLP), pp. 1706-1721, (2020); Wang Yaqing, Chu Haoda, Zhang Chao, Gao Jing, Learning from language description: Low-shot named entity recognition via decomposed framework, (2021); Wu Shanchan, He Yifan, Enriching pre-trained language model with entity information for relation classification, conference on information and knowledge management, (2019); Xia Mengzhou, Artetxe Mikel, Du Jingfei, Chen Danqi, Stoyanov Veselin, Prompting ELECTRA: Few-shot learning with discriminative pre-trained models, Proceedings of the 2022 Conference on Empirical Methods in Natural Language Processing, pp. 11351-11361, (2022); Yao Yuan, Dong Bowen, Zhang Ao, Zhang Zhengyan, Xie Ruobing, Liu Zhiyuan, Lin Leyu, Sun Maosong, Wang Jianyong, Prompt tuning for discriminative pre-trained language models, (2022); Ye Deming, Lin Yankai, Li Peng, Sun Maosong, Packed levitated marker for entity and relation extraction, Proceedings of the 60th Annual Meeting of the Association for Computational Linguistics (Volume 1: Long Papers), pp. 4904-4917, (2022); Yin Wenpeng, Hay Jamaal, Roth Dan, Benchmarking zero-shot text classification: Datasets, evaluation and entailment approach, (2019); Zhong Zexuan, Chen Danqi, A frustratingly easy approach for entity and relation extraction. north american chapter of the association for computational linguistics, (2020)</t>
  </si>
  <si>
    <t>X. Liu; Peng Cheng Laboratory, China; email: hit.liuxin@gmail.com; Y. Yu; Peng Cheng Laboratory, China; email: yuy@pcl.ac.cn</t>
  </si>
  <si>
    <t>Bloomberg; et al.; Google Research; LIVEPERSON; Meta; Microsoft</t>
  </si>
  <si>
    <t>192867.0</t>
  </si>
  <si>
    <t>978-195942962-3</t>
  </si>
  <si>
    <t>2-s2.0-85175454271</t>
  </si>
  <si>
    <t>Ishigaki T.; Uehara Y.; Topiƒá G.; Takamura H.</t>
  </si>
  <si>
    <t>Ishigaki, Tatsuya (57212350168); Uehara, Yui (57216622304); Topiƒá, Goran (35103593500); Takamura, Hiroya (8860407200)</t>
  </si>
  <si>
    <t>57212350168; 57216622304; 35103593500; 8860407200</t>
  </si>
  <si>
    <t>Pretraining Language- and Domain-Specific BERT on Automatically Translated Text</t>
  </si>
  <si>
    <t>International Conference Recent Advances in Natural Language Processing, RANLP</t>
  </si>
  <si>
    <t>548.0</t>
  </si>
  <si>
    <t>555.0</t>
  </si>
  <si>
    <t>10.26615/978-954-452-092-2_060</t>
  </si>
  <si>
    <t>https://www.scopus.com/inward/record.uri?eid=2-s2.0-85179184373&amp;doi=10.26615%2f978-954-452-092-2_060&amp;partnerID=40&amp;md5=4511660e50406c7028782699c755e194</t>
  </si>
  <si>
    <t>National Institute of Advanced Industrial Science and Technology, Japan; Kanagawa University, Japan</t>
  </si>
  <si>
    <t>Ishigaki T., National Institute of Advanced Industrial Science and Technology, Japan; Uehara Y., National Institute of Advanced Industrial Science and Technology, Japan, Kanagawa University, Japan; Topiƒá G., National Institute of Advanced Industrial Science and Technology, Japan; Takamura H., National Institute of Advanced Industrial Science and Technology, Japan</t>
  </si>
  <si>
    <t>Domain-specific pretrained language models such as SciBERT are effective for various tasks involving text in specific domains. However, pretraining BERT requires a large-scale language resource, which is not necessarily available in fine-grained domains, especially in non-English languages. In this study, we focus on a setting with no available domain-specific text for pretraining. To this end, we propose a simple framework that trains a BERT on text in the target language automatically translated from a resource-rich language, e.g., English. In this paper, we particularly focus on the materials science domain in Japanese. Our experiments pertain to the task of entity and relation extraction for this domain and language. The experiments demonstrate that the various models pretrained on translated texts consistently perform better than the general BERT in terms of F1 scores although the domain-specific BERTs do not use any human-authored domain-specific text. These results imply that BERTs for various low-resource domains can be successfully trained on texts automatically translated from resource-rich languages. ¬© 2023 Incoma Ltd. All rights reserved.</t>
  </si>
  <si>
    <t>Domain specific; Fine grained; Language model; Language resources; Large-scales; Non-English languages; Pre-training; Resource-Rich; Simple++; Target language; Translation (languages)</t>
  </si>
  <si>
    <t>Alsentzer Emily, Murphy John, Boag William, Weng Wei-Hung, Jindi Di, Naumann Tristan, McDermott Matthew, Publicly available clinical BERT embeddings, Proceedings of the 2nd Clinical Natural Language Processing Workshop, pp. 72-78, (2019); Amjad Maaz, Sidorov Grigori, Zhila Alisa, Data augmentation using machine translation for fake news detection in the Urdu language, Proceedings of the 12th Language Resources and Evaluation Con ference (LREC2020), pp. 2537-2542, (2020); Araci Dogu, FinBERT: Financial sentiment analysis with pre-trained language models, (2019); Artetxe Mikel, Labaka Gorka, Agirre Eneko, Translation artifacts in cross-lingual transfer learning, Proceedings of the 2020 Conference on Empirical Methods in Natural Language Processing (EMNLP), pp. 7674-7684, (2020); Bahdanau Dzmitry, Cho Kyunghyun, Bengio Yoshua, Neural machine translation by jointly learning to align and translate, Proceedings of the Third International Conference on Learning Representations (ICLR 2015), pp. 1-15, (2014); Beltagy Iz, Lo Kyle, Cohan Arman, SciBERT: A pretrained language model for scientific text, Proceedings of the 2019 Conference on Empirical Methods in Natural Language Processing and the 9th International Joint Conference on Natural Language Processing (EMNLP-IJCNLP2019), pp. 3615-3620, (2019); Brown Tom B., Mann Benjamin, Ryder Nick, Subbiah Melanie, Kaplan Jared, Dhariwal Prafulla, Neelakantan Arvind, Shyam Pranav, Sastry Girish, Askell Amanda, Agarwal Sandhini, Herbert-Voss Ariel, Krueger Gretchen, Henighan Tom, Child Rewon, Ramesh Aditya, Ziegler Daniel M., Wu Jeffrey, Hesse Christopher, Chen Mark, Sigler Eric, Litwin Mateusz, Gray Scott, Chess Benjamin, Clark Jack, Berner Christopher, McCandlish Sam, Radford Alec, Sutskever Ilya, Amodei Dario, Language models are few-shot learners, (2020); Devlin Jacob, Chang Ming-Wei, Lee Kenton, Toutanova Kristina, BERT: Pre-training of deep bidirectional transformers for language understanding, Proceedings of the 2019 Conference of the North American Chapter of the Association for Computational Linguistics: Human Language Technologies (NAACL2019), pp. 4171-4186, (2019); Gupta Tanishq, Zaki Mohd, Anoop Krishnan N. M., Mausam, Matscibert: A materials domain language model for text mining and information extraction, (2021); Kingma Diederick P, Ba Jimmy, Adam: A method for stochastic optimization, International Conference on Learning Representations (ICLR2015), (2015); Kringelum Jens, Kjarulff Sonny Kim, Brunak Soren, Lund Ole, Oprea Tudor I., Taboureau Olivier, Chemprot-3.0: a global chemical biology diseases mapping, Database J. Biol. Databases Curation, (2016); Kudo Taku, Richardson John, SentencePiece: A simple and language independent subword tokenizer and detokenizer for neural text processing, Proceedings of the 2018 Conference on Empirical Methods in Natural Language Processing: System Demonstrations, pp. 66-71, (2018); Kudo Taku, Yamamoto Kaoru, Matsumoto Yuji, Applying conditional random fields to Japanese morphological analysis, Proceedings of the 2004 Conference on Empirical Methods in Natural Language Processing (EMNLP2004), pp. 230-237, (2004); Lee Jinhyuk, Yoon Wonjin, Kim Sungdong, Kim Donghyeon, Kim Sunkyu, So Chan Ho, Kang Jaewoo, Biobert: a pre-trained biomedical language representation model for biomedical text mining, CoRR, (2019); Lee Kenton, He Luheng, Lewis Mike, Zettlemoyer Luke, End-to-end neural coreference resolution, Proceedings of the 2017 Conference on Empirical Methods in Natural Language Processing (EMNLP2017), pp. 188-197, (2017); Lewis Mike, Liu Yinhan, Goyal Naman, Ghazvininejad Marjan, Mohamed Abdelrahman, Levy Omer, Stoyanov Veselin, Zettlemoyer Luke, BART: Denoising sequence-to-sequence pre-training for natural language generation, translation, and comprehension, Proceedings of the 58th Annual Meeting of the Association for Computational Linguistics (ACL2020), pp. 7871-7880, (2020); Li Jiao, Sun Yueping, Johnson Robin J, Sciaky Daniela, Wei Chih-Hsuan, Leaman Robert, Davis Allan Peter, Mattingly Carolyn J, Wiegers Thomas C, Lu Zhiyong, Biocreative v cdr task corpus: a resource for chemical disease relation extraction, Database, (2016); Liu Liyuan, Jiang Haoming, He Pengcheng, Chen Weizhu, Liu Xiaodong, Gao Jianfeng, Han Jiawei, On the variance of the adaptive learning rate and beyond, Proceedings of the Eighth International Conference on Learning Representations (ICLR 2020), pp. 1-13, (2020); Luan Yi, He Luheng, Ostendorf Mari, Hajishirzi Hannaneh, Multi-task identification of entities, relations, and coreference for scientific knowledge graph construction, Proceedings of the 2018 Conference on Empirical Methods in Natural Language Processing (EMNLP2018), pp. 3219-3232, (2018); Nishida Kosuke, Yoshinaga Naoki, Nishida Kyosuke, Self-adaptive named entity recognition by retrieving unstructured knowledge, The 17th Conference of the European Chapter of the Association for Computational Linguistics (EACL2023), (2023); Sohrab Mohammad Golam, Nguyen Anh-Khoa Duong, Miwa Makoto, Takamura Hiroya, mgsohrab at WNUT 2020 shared task-1: Neural exhaustive approach for entity and relation recognition over wet lab protocols, Proceedings of the Sixth Workshop on Noisy User-generated Text (W-NUT 2020), pp. 290-298, (2020); Trieu Hai-Long, Tran Thy Thy, Duong Khoa N A, Nguyen Anh, Miwa Makoto, Ananiadou Sophia, DeepEventMine: end-to-end neural nested event extraction from biomedical texts, Bioinformatics, 36, 19, pp. 4910-4917, (2020); Vaswani Ashish, Shazeer Noam, Parmar Niki, Uszkoreit Jakob, Jones Llion, Gomez Aidan N, Kaiser Lukasz, Polosukhin Illia, Attention is all you need, Proceedings of Advances in Neural Information Processing Systems (NeurIPS2017), pp. 5998-6008, (2017); Wang Zihan, Karthikeyan K, Mayhew Stephen, Roth Dan, Extending multilingual BERT to lowresource languages, Findings of the Association for Computational Linguistics: EMNLP 2020, pp. 2649-2656, (2020); Yu Adams Wei, Dohan David, Le Quoc, Luong Thang, Zhao Rui, Chen Kai, Fast and accurate reading comprehension by combining selfattention and convolution, Proceedings of Sixth International Conference on Learning Representations (ICLR2018), (2018); Zhang Rong, Reddy Revanth Gangi, Sultan Md Arafat, Castelli Vittorio, Ferritto Anthony, Florian Radu, Kayi Efsun Sarioglu, Roukos Salim, Sil Avi, Ward Todd, Multi-stage pre-training for lowresource domain adaptation, Proceedings of the 2020 Conference on Empirical Methods in Natural Language Processing (EMNLP2020), pp. 5461-5468, (2020)</t>
  </si>
  <si>
    <t>Angelova G.; Kunilovskaya M.; Mitkov R.</t>
  </si>
  <si>
    <t>Incoma Ltd</t>
  </si>
  <si>
    <t>Bulgarian National Research Fund; Cambridge University Press; ELDA; Iris.AI; Ontotext; Senso</t>
  </si>
  <si>
    <t>2023 International Conference Recent Advances in Natural Language Processing: Large Language Models for Natural Language Processing, RANLP 2023</t>
  </si>
  <si>
    <t>4 September 2023 through 6 September 2023</t>
  </si>
  <si>
    <t>Varna</t>
  </si>
  <si>
    <t>194755.0</t>
  </si>
  <si>
    <t>978-954452092-2</t>
  </si>
  <si>
    <t>Int. Conf. Recent Adv. Nat. Lang. Proces., RANLP</t>
  </si>
  <si>
    <t>All Open Access; Bronze Open Access</t>
  </si>
  <si>
    <t>2-s2.0-85179184373</t>
  </si>
  <si>
    <t>Daiqing Z.; Zhang P.; Lang J.; Qun N.; Nyima T.</t>
  </si>
  <si>
    <t>Daiqing, Zhuoma (58631408700); Zhang, Penghui (58943954600); Lang, Jie (59522188400); Qun, Nuo (26028427000); Nyima, Tashi (57497896400)</t>
  </si>
  <si>
    <t>58631408700; 58943954600; 59522188400; 26028427000; 57497896400</t>
  </si>
  <si>
    <t>Research on Joint Entity-Relation Extraction for the Tibetan 'Epic of King Gesar' Based on Multi-Semantic Information Fusion and Global Pointer Network</t>
  </si>
  <si>
    <t>MLNLP 2024 - 2024 International Conference on Machine Learning and Natural Language Processing</t>
  </si>
  <si>
    <t>10.1109/MLNLP63328.2024.10800446</t>
  </si>
  <si>
    <t>https://www.scopus.com/inward/record.uri?eid=2-s2.0-85215605438&amp;doi=10.1109%2fMLNLP63328.2024.10800446&amp;partnerID=40&amp;md5=8dbb317cb91548cc71f9f9e001363307</t>
  </si>
  <si>
    <t>School of Information Science and Technology, Tibet University, Collaborative Innovation Center for Tibet Informatization, MOE and Tibet Autonomous Region, Lhasa, China; Academy of the Zhonghuaminzu Community, Tibet University, Lhasa, China</t>
  </si>
  <si>
    <t>Daiqing Z., School of Information Science and Technology, Tibet University, Collaborative Innovation Center for Tibet Informatization, MOE and Tibet Autonomous Region, Lhasa, China; Zhang P., School of Information Science and Technology, Tibet University, Collaborative Innovation Center for Tibet Informatization, MOE and Tibet Autonomous Region, Lhasa, China; Lang J., Academy of the Zhonghuaminzu Community, Tibet University, Lhasa, China; Qun N., School of Information Science and Technology, Tibet University, Collaborative Innovation Center for Tibet Informatization, MOE and Tibet Autonomous Region, Lhasa, China; Nyima T., School of Information Science and Technology, Tibet University, Collaborative Innovation Center for Tibet Informatization, MOE and Tibet Autonomous Region, Lhasa, China</t>
  </si>
  <si>
    <t>The 'Epic of King Gesar' is a poetic and historical Tibetan literary work and a treasure of Tibetan culture. Guided by the cultural preservation and inheritance of the Tibetan people in China, the paper deeply studies the joint entity-relation extraction method for the 'Epic of King Gesar.' Addressing issues such as redundant entities, error accumulation from traditional pipeline methods, and insufficient semantic feature capture in Tibetan, the paper proposes an entity-relation extraction method based on multi-semantic information fusion and a global pointer network. (1) CINO was used to obtain dynamic word vectors for the entire text; (2) Global and local features of the Tibetan text were extracted using BiLSTM and CNN; (3) A multi-head attention mechanism was employed to fuse the text's multiple features; (4) The OneRel decoder was used to extract entity relations. Experiments show that this method improves the F1 score by 6.80% compared to the baseline OneRel model, providing a reference for research in specific domains of minority languages in low-resource settings. ¬© 2024 IEEE.</t>
  </si>
  <si>
    <t>epic of king gesar; joint entity-relation extraction; knowledge discovery; minority languages; multi-semantic information fusion</t>
  </si>
  <si>
    <t>Data fusion; Semantics; Cultural preservation; Entity relation extractions; Epic of king gesar; Extraction method; Joint entity-relation extraction; Literary works; Minority languages; Multi-semantic information fusion; Semantics Information; Tibetans; Information fusion</t>
  </si>
  <si>
    <t>National Major Science and Technology Projects of China, (2022ZD0116100, XZ202201ZD0002G); Tibet University Graduate High-Level Talent Training Program, (2022-GSP-S108)</t>
  </si>
  <si>
    <t>We would like to express our sincere gratitude to the following funding sources for their support of this article: the National Science and Technology Major Project(No:2022ZD0116100) , Tibetan Cultural Inheritance and Protection - Cultural Heritage Protection and Restoration (No:XZ202201ZD0002G) , and Tibet University Graduate High-Level Talent Training Program (No:2022-GSP-S108) .</t>
  </si>
  <si>
    <t>Enhong Y., Oral Transmission of Gesar and Protection of Ethnic Culture, Qinghai Social Sciences, 1, pp. 1-10, (2012); Anying C., Activating Traditional Culture to Meet the People's Needs for a Better Life, Dongyue Tribune, 39, 1, pp. 68-70, (2018); Dongliang X., Shan R., Zhiwei W., Digitization Protection and Innovation System Construction of Intangible Cultural Heritage Techniques from the Perspective of Cultural Inheritance, Furniture and Interior Design, 31, 2, pp. 12-17, (2024); Chen X.J., Jia S., Xiang Y., A Review: Knowl edge Reasoning Over Knowledge Graph, Expert Systems with Application, 141, 3, pp. 1129481-11294821, (2020); Yu H., Jiang T., Ma N., Named Entity Recognition for Tibetan Texts Using Case-Auxiliary Grammars, " in, Proceedings of the International MultiConference of Engineers and Computer Scientists, 1, (2010); Qecairang H., Wenbin-Zha Haiing J., Tibetian a ed Engineering in Based n ercep r n de, C p er Engineering and Applications, 50, 15, pp. 172-176, (2014); Xiaomin L., Research on Tibetan Named Entity Recognition Based on Deep Learning, (2021); Ke H., Qecairang H., Dangzhi C., Research n Gesar Epic a ed En i ec gni i n Based n Deep earning, Journal of Chinese Information Processing, 36, 8, pp. 46-53, (2022); Tibe an En i e a i nship E rac i n Based n BP Neural Network, Software Guide, 18, 3, pp. 7-9+15, (2019); Tianci X., An Y., Research n Tibe an En i e a i nship E rac i n e h d Based n J in de, J rna f Chinese Information Processing, 32, 12, pp. 76-83, (2018); Yan W., Tianci X., Tibe an En i e a i nship E rac i n Based n Dis an pervisi n, Jrna f Chinese Information Processing, 34, 3, pp. 72-79, (2020); Wei Z., Wang J.Y., A ve Cascade Binar Tagging Framework for Rel ational Triple EXraction, " in, Proceedings of the 58th Annual Meeting of the Association for Computational Linguistics, pp. 1476-1488, (2020); Su J., Murtadha A., Pan S., Et al., Global Pointer: Novel Efficient Span-Based Appr ach f r a ed En i ec gni i n, (2022); Zheng H., Wen R., Chen X., Et al., PRGC: Potential Relation and Global C rresp ndence Based J in e a i na Trip e E rac i n, (2021); Shang Y.M., Huang H.Y., Mao X.L., OneRel: Joint Entity and Relation Extraction With One Module in One Step, " in, Proceedings of the AAAI Conference on Artificial Intelligence, 36, 10, pp. 11285-11293, (2022); Jin Eracinf Eni Relationships in Chinese Ancient Books Based on Prompt Learning and Gl obal Pointer Network, Computer Appl ications, pp. 1-9, (2024); Yang Z.Q., Xu Z.H., Cui Y.M., Et al., CINO: A Chinese Minority Pre-rained ang age de " in, Proceedings of the 29th International Conference on Computational Linguistics, pp. 3937-3949, (2022); Dandan Z., Jinpeng Z., Jianaea F., Medica En i Relationship Extraction Based on Pre-trained Model and Hybrid Neural Network, Journal of Peking University (Natural Science Edition), vol, 59, 1, pp. 65-75, (2023)</t>
  </si>
  <si>
    <t>IEEE; International Society for Applied Computing (ISAC)</t>
  </si>
  <si>
    <t>7th International Conference on Machine Learning and Natural Language Processing, MLNLP 2024</t>
  </si>
  <si>
    <t>18 October 2024 through 20 October 2024</t>
  </si>
  <si>
    <t>Chengdu</t>
  </si>
  <si>
    <t>205443.0</t>
  </si>
  <si>
    <t>979-835035497-3</t>
  </si>
  <si>
    <t>MLNLP - Int. Conf. Mach. Learn. Nat. Lang. Process.</t>
  </si>
  <si>
    <t>2-s2.0-85215605438</t>
  </si>
  <si>
    <t>Wang C.; Li D.; He X.</t>
  </si>
  <si>
    <t>Wang, Cai (59644269600); Li, Dongyang (57223824282); He, Xiaofeng (55641972700)</t>
  </si>
  <si>
    <t>59644269600; 57223824282; 55641972700</t>
  </si>
  <si>
    <t>SE-Prompt: Exploring Semantic Enhancement with¬†Prompt Tuning for¬†Relation Extraction</t>
  </si>
  <si>
    <t>Lecture Notes in Computer Science (including subseries Lecture Notes in Artificial Intelligence and Lecture Notes in Bioinformatics)</t>
  </si>
  <si>
    <t>14179 LNAI</t>
  </si>
  <si>
    <t>122.0</t>
  </si>
  <si>
    <t>10.1007/978-3-031-46674-8_8</t>
  </si>
  <si>
    <t>https://www.scopus.com/inward/record.uri?eid=2-s2.0-85177432643&amp;doi=10.1007%2f978-3-031-46674-8_8&amp;partnerID=40&amp;md5=7e44a641c3485195e3f7e92eaabb8d7a</t>
  </si>
  <si>
    <t>School of Computer Science and Technology, East China Normal University, Shanghai, China</t>
  </si>
  <si>
    <t>Wang C., School of Computer Science and Technology, East China Normal University, Shanghai, China; Li D., School of Computer Science and Technology, East China Normal University, Shanghai, China; He X., School of Computer Science and Technology, East China Normal University, Shanghai, China</t>
  </si>
  <si>
    <t>Compared to traditional supervised learning methods, utilizing prompt tuning for relation extraction tasks is a challenging endeavor in the real world. By inserting a template segment into the input, prompt tuning has proven effective for certain classification tasks. However, applying prompt tuning to relation extraction tasks, which involve mapping multiple words to a single label, poses challenges due to difficulties in precisely defining a template and mapping labels to the appropriate words. Prior approaches do not take full advantage of entities and have also overlooked the semantic connections between words in relation label. To address these limitations, we propose a semantic enhancement with prompt (SE-Prompt) which integrates entity and relation knowledge by incorporating two main contributions: semantic enhancement and subject-object relation refinement. These methods empower our model to effectively leverage relation labels and tap into the knowledge contained in pre-trained models. Our experiments on three datasets, under both fully supervised and low-resource settings demonstrate the effectiveness of our approach for relation extraction. ¬© The Author(s), under exclusive license to Springer Nature Switzerland AG 2023.</t>
  </si>
  <si>
    <t>Entity Expansion; Prompt Tuning; Relation Extraction; Semantic Enhancement</t>
  </si>
  <si>
    <t>Extraction; Knowledge management; Learning systems; Semantics; Taps; Classification tasks; Entity expansion; Low-resource settings; Object-relations; Prompt tuning; Real-world; Relation extraction; Semantic enhancements; Supervised learning methods; Mapping</t>
  </si>
  <si>
    <t>Alt C., Gabryszak A., Hennig L., TACRED Revisited: A Thorough Evaluation of the TACRED Relation Extraction Task. Arxiv Preprint Arxiv, 2004, (2020); Brown T., Et al., Language models are few-shot learners, Adv. Neural. Inf. Process. Syst., 33, pp. 1877-1901, (2020); Chen X., Et al., KnowPrompt: Knowledge-aware prompt-tuning with synergistic optimization for relation extraction, Proceedings of the ACM Web Conference 2022, pp. 2778-2788, (2022); Devlin J., Chang M.W., Lee K., Toutanova K., BERT: Pre-Training of Deep Bidirectional Transformers for Language Understanding. Arxiv Preprint Arxiv, 1810, (2018); Gao T., Fisch A., Chen D., Making Pre-Trained Language Models Better Few-Shot Learners. Arxiv Preprint Arxiv, 2012, (2020); Guo Z., Zhang Y., Lu W., Attention Guided Graph Convolutional Networks for Relation Extraction. Arxiv Preprint Arxiv, 1906, (2019); Han X., Zhao W., Ding N., Liu Z., Sun M., PTR: Prompt tuning with rules for text classification, AI Open, 3, pp. 182-192, (2022); Harting T., Mesbah S., Lofi C., LOREM: Language-consistent open relation extraction from unstructured text, Proceedings of the Web Conference 2020, pp. 1830-1838, (2020); Joshi M., Chen D., Liu Y., Weld D.S., Zettlemoyer L., Levy O., SpanBERT: Improving pre-training by representing and predicting spans, Trans. Assoc. Comput. Linguist., 8, pp. 64-77, (2020); Kambhatla N., Combining lexical, syntactic, and semantic features with maximum entropy models for information extraction, Proceedings of the ACL Interactive Poster and Demonstration Sessions, pp. 178-181, (2004); Le Q., Mikolov T., Distributed representations of sentences and documents, International Conference on Machine Learning, pp. 1188-1196, (2014); Li X.L., Liang P., Prefix-Tuning: Optimizing Continuous Prompts for Generation. Arxiv Preprint Arxiv, 2101, (2021); Liu P., Yuan W., Fu J., Jiang Z., Hayashi H., Neubig G., Pre-train, prompt, and predict: A systematic survey of prompting methods in natural language processing, ACM Comput. Surv., 55, 9, pp. 1-35, (2023); Liu X., Et al., GPT Understands, Too. Arxiv Preprint Arxiv, 2103, (2021); Liu Y., Et al., Roberta: A Robustly Optimized BERT Pretraining Approach. Arxiv Preprint Arxiv, 1907, (2019); Peters M.E., Et al., Knowledge Enhanced Contextual Word Representations. Arxiv Preprint Arxiv, 1909, (2019); Qian L., Zhou G., Kong F., Zhu Q., Qian P., Exploiting constituent dependencies for tree kernel-based semantic relation extraction, Proceedings of the 22Nd International Conference on Computational Linguistics (Coling 2008), pp. 697-704, (2008); Radford A., Narasimhan K., Salimans T., Sutskever I., Et al., Improving Language Understanding by Generative Pre-Training, (2018); Raffel C., Et al., Exploring the limits of transfer learning with a unified text-to-text transformer, J. Mach. Learn. Res., 21, 1, pp. 5485-5551, (2020); Schick T., Schutze H., Exploiting Cloze Questions for Few Shot Text Classification and Natural Language Inference. Arxiv Preprint Arxiv, 2001, (2020); Shen Y., Ma X., Tang Y., Lu W., A trigger-sense memory flow framework for joint entity and relation extraction, Proceedings of the Web Conference 2021, pp. 1704-1715, (2021); Shin T., Razeghi Y., Logan I.V., R.L., Wallace, E., Singh, S.: Autoprompt: Eliciting Knowledge from Language Models with Automatically Generated Prompts. Arxiv Preprint Arxiv, 2010, (2020); Soares L.B., Fitzgerald N., Ling J., Kwiatkowski T., Matching the Blanks: Distributional Similarity for Relation Learning. Arxiv Preprint Arxiv, 1906, (2019); Stoica G., Platanios E.A., Poczos B., Re-TACRED: Addressing shortcomings of the TACRED dataset, Proceedings of the AAAI Conference on Artificial Intelligence, 35, pp. 13843-13850, (2021); Wu T., Et al., Curriculum-meta learning for order-robust continual relation extraction, Proceedings of the AAAI Conference on Artificial Intelligence, 35, pp. 10363-10369, (2021); Xue F., Sun A., Zhang H., Chng E.S., GDPNet: Refining latent multi-view graph for relation extraction, Proceedings of the AAAI Conference on Artificial Intelligence, 35, pp. 14194-14202, (2021); Yamada I., Asai A., Shindo H., Takeda H., Matsumoto Y., LUKE: Deep Contextualized Entity Representations with Entity-Aware Self-Attention. Arxiv Preprint Arxiv, 2010, (2020); Zeng D., Liu K., Chen Y., Zhao J., Distant supervision for relation extraction via piecewise convolutional neural networks, Proceedings of the 2015 Conference on Empirical Methods in Natural Language Processing, pp. 1753-1762, (2015); Zeng D., Liu K., Lai S., Zhou G., Zhao J., Relation classification via convolutional deep neural network, Proceedings of COLING 2014, the 25Th International Conference on Computational Linguistics: Technical Papers, pp. 2335-2344, (2014); Zhang Y., Zhong V., Chen D., Angeli G., Manning C.D., Position-aware attention and supervised data improve slot filling, Conference on Empirical Methods in Natural Language Processing, (2017); Zhou P., Et al., Attention-based bidirectional long short-term memory networks for relation classification, Proceedings of the 54Th Annual Meeting of the Association for Computational Linguistics (Volume 2: Short Papers), pp. 207-212, (2016)</t>
  </si>
  <si>
    <t>X. He; School of Computer Science and Technology, East China Normal University, Shanghai, China; email: hexf@cs.ecnu.edu.cn</t>
  </si>
  <si>
    <t>Yang X.; Wang B.; Suhartanto H.; Wang G.; Jiang J.; Li B.; Zhu H.; Cui N.</t>
  </si>
  <si>
    <t>19th International Conference on Advanced Data Mining and Applications, ADMA 2023</t>
  </si>
  <si>
    <t>21 August 2023 through 23 August 2023</t>
  </si>
  <si>
    <t>Shenyang</t>
  </si>
  <si>
    <t>303899.0</t>
  </si>
  <si>
    <t>978-303146673-1</t>
  </si>
  <si>
    <t>2-s2.0-85177432643</t>
  </si>
  <si>
    <t>Bai G.; Lu C.; Geng J.; Li S.; Shi Y.; Liu X.; Liu Y.; Zhang Z.; Liu R.</t>
  </si>
  <si>
    <t>Bai, Ge (58705641200); Lu, Chenji (58846896500); Geng, Jiaxiang (57919995000); Li, Shilong (58846970400); Shi, Yidong (58137649700); Liu, Xiyan (58681086500); Liu, Ying (59449583200); Zhang, Zhang (57798727500); Liu, Ruifang (55975558800)</t>
  </si>
  <si>
    <t>58705641200; 58846896500; 57919995000; 58846970400; 58137649700; 58681086500; 59449583200; 57798727500; 55975558800</t>
  </si>
  <si>
    <t>Always the Best Fit: Adaptive Domain Gap Filling from Causal Perspective for Few-Shot Relation Extraction</t>
  </si>
  <si>
    <t>10533.0</t>
  </si>
  <si>
    <t>10542.0</t>
  </si>
  <si>
    <t>https://www.scopus.com/inward/record.uri?eid=2-s2.0-85183293428&amp;partnerID=40&amp;md5=645b3a6501b5fb6fbd3afc9ea4a592ae</t>
  </si>
  <si>
    <t>Beijing University of Posts and Telecommunications, China</t>
  </si>
  <si>
    <t>Bai G., Beijing University of Posts and Telecommunications, China; Lu C., Beijing University of Posts and Telecommunications, China; Geng J., Beijing University of Posts and Telecommunications, China; Li S., Beijing University of Posts and Telecommunications, China; Shi Y., Beijing University of Posts and Telecommunications, China; Liu X., Beijing University of Posts and Telecommunications, China; Liu Y., Beijing University of Posts and Telecommunications, China; Zhang Z., Beijing University of Posts and Telecommunications, China; Liu R., Beijing University of Posts and Telecommunications, China</t>
  </si>
  <si>
    <t>Cross-domain Relation Extraction aims to transfer knowledge from a source domain to a different target domain to address low-resource challenges. However, the semantic gap caused by data bias between domains is a major challenge, especially in few-shot scenarios. Previous work has mainly focused on transferring knowledge between domains through shared feature representations without analyzing the impact of each factor that may produce data bias based on the characteristics of each domain. This work takes a causal perspective and proposes a new framework CausalGF. By constructing a unified structural causal model, we estimate the causal effects of factors such as syntactic structure, label distribution, and entities on the outcome. CausalGF calculates the causal effects among the factors and adjusts them dynamically based on domain characteristics, enabling adaptive gap filling. Our experiments show that our approach better fills the domain gap, yielding significantly better results on the cross-domain few-shot relation extraction task. ¬© 2023 Association for Computational Linguistics.</t>
  </si>
  <si>
    <t>Computational linguistics; Extraction; Syntactics; Best fit; Causal modeling; Cross-domain; Effect of factors; Feature representation; Gap filling; Relation extraction; Semantic gap; Syntactic structure; Target domain; Semantics</t>
  </si>
  <si>
    <t>Abbasnejad Ehsan, Teney Damien, Parvaneh Amin, Shi Javen, van den Hengel Anton, Counterfactual vision and language learning, Proceedings of the IEEE/CVF conference on computer vision and pattern recognition, pp. 10044-10054, (2020); Soares Livio Baldini, FitzGerald Nicholas, Ling Jeffrey, Kwiatkowski Tom, Matching the blanks: Distributional similarity for relation learning, Proceedings of the 57th Annual Meeting of the Association for Computational Linguistics, (2019); Bassignana Elisa, Plank Barbara, CrossRE: A cross-domain dataset for relation extraction, Findings of the Association for Computational Linguistics: EMNLP 2022, (2022); Cong Xin, Yu Bowen, Liu Tingwen, Cui Shiyao, Tang Hengzhu, Wang Bin, Inductive unsupervised domain adaptation for few-shot classification via clustering, Machine Learning and Knowledge Discovery in Databases: European Conference, ECML PKDD 2020, pp. 624-639, (2021); Devlin Jacob, Chang Ming-Wei, Lee Kenton, Toutanova Kristina, BERT: Pre-training of deep bidirectional transformers for language understanding, Proceedings of the 2019 Conference of the North American Chapter of the Association for Computational Linguistics, (2019); Feng Fuli, Zhang Jizhi, He Xiangnan, Zhang Hanwang, Chua Tat-Seng, Empowering language understanding with counterfactual reasoning, Findings of the Association for Computational Linguistics: ACL-IJCNLP 2021, pp. 2226-2236, (2021); Finn Chelsea, Abbeel Pieter, Levine Sergey, Model-agnostic meta-learning for fast adaptation of deep networks, International conference on machine learning, pp. 1126-1135, (2017); Ganin Yaroslav, Ustinova Evgeniya, Ajakan Hana, Germain Pascal, Larochelle Hugo, Laviolette Francois, Marchand Mario, Lempitsky Victor, Domain-adversarial training of neural networks, The journal of machine learning research, 17, 1, (2016); Gao Hang, Shou Zheng, Zareian Alireza, Zhang Hanwang, Chang Shih-Fu, Low-shot learning via covariance-preserving adversarial augmentation networks, Advances in Neural Information Processing Systems, 31, (2018); Gao Tianyu, Han Xu, Zhu Hao, Liu Zhiyuan, Li Peng, Sun Maosong, Zhou Jie, FewRel 2.0: Towards more challenging few-shot relation classification, Proceedings of EMNLP-IJCNLP, (2019); Glymour Madelyn, Pearl Judea, Jewell Nicholas P, Causal inference in statistics: A primer, (2016); Han Jiale, Cheng Bo, Lu Wei, Exploring task difficulty for few-shot relation extraction, Proceedings of the 2021 Conference on EMNLP, (2021); Han Xu, Zhu Hao, Yu Pengfei, Wang Ziyun, Yao Yuan, Liu Zhiyuan, Sun Maosong, FewRel: A large-scale supervised few-shot relation classification dataset with state-of-the-art evaluation, Proceedings of the 2018 Conference on Empirical Methods in Natural Language Processing, (2018); He Kai, Huang Yucheng, Mao Rui, Gong Tieliang, Li Chen, Cambria Erik, Virtual prompt pretraining for prototype-based few-shot relation extraction, Expert Systems with Applications, 213, (2023); Hochreiter Sepp, Schmidhuber Jurgen, Long short-term memory, Neural Computation, 9, 8, pp. 1735-1780, (1997); Liu Fangchao, Lin Hongyu, Han Xianpei, Cao Boxi, Sun Le, Pre-training to match for unified low-shot relation extraction, Proceedings of the 60th Annual Meeting of the Association for Computational Linguistics, (2022); Morgan Stephen L., Winship Christopher, Counterfactuals and Causal Inference: Methods and Principles for Social Research, 2 edition, Analytical Methods for Social Research, (2014); Nan Guoshun, Zeng Jiaqi, Qiao Rui, Guo Zhijiang, Lu Wei, Uncovering main causalities for long-tailed information extraction, CoRR, (2021); Pearl Judea, Causality, (2009); Pearl Judea, Et al., Models, reasoning and inference, 19, 2, (2000); Peng Yifan, Chen Qingyu, Lu Zhiyong, An empirical study of multi-task learning on BERT for biomedical text mining, Proceedings of the 19th SIGBioMed Workshop on Biomedical Language Processing, (2020); Shen Jian, Qu Yanru, Zhang Weinan, Yu Yong, Wasserstein distance guided representation learning for domain adaptation, Proceedings of the AAAI Conference on Artificial Intelligence, 32, (2018); Shi Ge, Feng Chong, Huang Lifu, Zhang Boliang, Ji Heng, Liao Lejian, Huang He-Yan, Genre separation network with adversarial training for cross-genre relation extraction, Proceedings of the 2018 Conference on Empirical Methods in Natural Language Processing, pp. 1018-1023, (2018); Snell Jake, Swersky Kevin, Zemel Richard, Prototypical networks for few-shot learning, Advances in Neural Information Processing Systems, 30, (2017); Tang Kaihua, Niu Yulei, Huang Jianqiang, Shi Jiaxin, Zhang Hanwang, Unbiased scene graph generation from biased training, Proceedings of the IEEE/CVF conference on computer vision and pattern recognition, pp. 3716-3725, (2020); Triantafillou Eleni, Zemel Richard, Urtasun Raquel, Few-shot learning through an information retrieval lens, Advances in neural information processing systems, (2017); Van der Maaten Laurens, Hinton Geoffrey, Visualizing data using t-sne, Journal of machine learning research, 9, 11, (2008); Vaswani Ashish, Shazeer Noam, Parmar Niki, Uszkoreit Jakob, Jones Llion, Gomez Aidan N, Kaiser Lukasz, Polosukhin Illia, Attention is all you need, Advances in neural information processing systems, (2017); Wang Zhao, Culotta Aron, Robustness to spurious correlations in text classification via automatically generated counterfactuals, Proceedings of the AAAI Conference on Artificial Intelligence, 35, pp. 14024-14031, (2021); Wu Yiquan, Kuang Kun, Zhang Yating, Liu Xiaozhong, Sun Changlong, Xiao Jun, Zhuang Yueting, Si Luo, Wu Fei, De-biased court's view generation with causality, Proceedings of the 2020 Conference on Empirical Methods in Natural Language Processing (EMNLP), pp. 763-780, (2020); Wu Yu, Lin Yutian, Dong Xuanyi, Yan Yan, Ouyang Wanli, Yang Yi, Exploit the unknown gradually: One-shot video-based person re-identification by stepwise learning, Proceedings of the IEEE Conference on Computer Vision and Pattern Recognition (CVPR), (2018); Yamada Ikuya, Asai Akari, Shindo Hiroyuki, Takeda Hideaki, Matsumoto Yuji, LUKE: Deep contextualized entity representations with entity-aware self-attention, Proceedings of the 2020 Conference on Empirical Methods in Natural Language Processing (EMNLP), pp. 6442-6454, (2020); Yoo Donghyun, Fan Haoqi, Boddeti Vishnu, Kitani Kris, Efficient k-shot learning with regularized deep networks, Proceedings of the AAAI Conference on Artificial Intelligence, 32, (2018); Yuan Zhongju, Wang Zhenkun, Li Genghui, Cross-domain few-shot relation extraction via representation learning and domain adaptation, (2022); Zeng Xiangji, Li Yunliang, Zhai Yuchen, Zhang Yin, Counterfactual generator: A weakly-supervised method for named entity recognition, Proceedings of the 2020 Conference on Empirical Methods in Natural Language Processing (EMNLP), pp. 7270-7280, (2020); Zhang Peiyuan, Lu Wei, Better few-shot relation extraction with label prompt dropout, Proceedings of the 2022 Conference on Empirical Methods in Natural Language Processing, (2022); Zhang Yuhao, Zhong Victor, Chen Danqi, Angeli Gabor, Manning Christopher D., Position-aware attention and supervised data improve slot filling, Proceedings of the 2017 Conference on Empirical Methods in Natural Language Processing, (2017); Zhang Zhengyan, Han Xu, Liu Zhiyuan, Jiang Xin, Sun Maosong, Liu Qun, ERNIE: Enhanced language representation with informative entities, Proceedings of ACL, (2019)</t>
  </si>
  <si>
    <t>2-s2.0-85183293428</t>
  </si>
  <si>
    <t>Ma R.; Liu H.</t>
  </si>
  <si>
    <t>Ma, Rongrong (59321801200); Liu, Huan (59321960000)</t>
  </si>
  <si>
    <t>59321801200; 59321960000</t>
  </si>
  <si>
    <t>Biomedical Relation Extraction Based on Deep Transfer Learning and Prompt Learning</t>
  </si>
  <si>
    <t>Proceedings of Machine Learning Research</t>
  </si>
  <si>
    <t>https://www.scopus.com/inward/record.uri?eid=2-s2.0-85203590460&amp;partnerID=40&amp;md5=16545bbe6aae8bb4770d1724929b0253</t>
  </si>
  <si>
    <t>School of Computer Science and Engineering, Chongqing University of Technology, China; Chongqing Institute of Artificial Intelligence, Shanghai Jiao Tong University, China</t>
  </si>
  <si>
    <t>Ma R., School of Computer Science and Engineering, Chongqing University of Technology, China; Liu H., Chongqing Institute of Artificial Intelligence, Shanghai Jiao Tong University, China</t>
  </si>
  <si>
    <t>Biomedical Relationship Extraction (BioRE) is an important task for electronic health record mining and biomedical knowledge base construction. Due to the complexity of biomedical information in the literature, it is difficult to realize the construction of large-scale datasets. Although previous models showed good results in a fully supervised environment, they did not generalize well to the low resource situation common in this field. We propose a biomedical relationship extraction model based on deep transfer learning and prompt learning. We use deep neural network for transfer learning, using large-scale biomedical field data set (BioREx) training model. The trained model was applied to low-resource datasets in biomedical field, which can make the model to learn more rich knowledge, so as to alleviate the problem of insufficient training data. In addition, we used a prompt learning method by appending a prompt sentence describing the desired relationship label to the beginning of the input sentence, which can reduce the gap between the pre-trained language model (PLM) and downstream tasks. Experiments show that using deep transfer learning and prompt learning can effectively improve the prediction results. Experiments on three BioRE benchmark datasets DrugProt, DDI and BC5CDR, F1 values are significantly improved compared to previous models. ¬© 2024 R. Ma &amp; H. Liu.</t>
  </si>
  <si>
    <t>Biomedical datasets; Biomedical relationship extraction; Deep transfer learning; Pre-trained language models; Prompt learning</t>
  </si>
  <si>
    <t>Contrastive Learning; Deep learning; Federated learning; Self-supervised learning; Transfer learning; Biomedical dataset; Biomedical fields; Biomedical relationship extraction; Deep transfer learning; Language model; Pre-trained language model; Prompt learning; Relation extraction; Relationship extraction; Transfer learning; Electronic health record</t>
  </si>
  <si>
    <t>Beltagy Iz, Lo Kyle, Cohan Arman, Scibert: A pretrained language model for scientific text, Proceedings of the 2019 Conference on Empirical Methods in Natural Language Processing and the 9th International Joint Conference on Natural Language Processing (EMNLP-IJCNLP), pp. 3615-3620, (2019); Herrero-Zazo Maria, Segura-Bedmar Isabel, Martinez Paloma, Declerck Thierry, The ddi corpus: An annotated corpus with pharmacological substances and drug-drug interactions, Journal of biomedical informatics, 46, 5, pp. 914-920, (2013); Lai Po-Ting, Wei Chih-Hsuan, Luo Ling, Chen Qingyu, Lu Zhiyong, Biorex: improving biomedical relation extraction by leveraging heterogeneous datasets, Journal of Biomedical Informatics, 146, (2023); Lee Jinhyuk, Yoon Wonjin, Kim Sungdong, Kim Donghyeon, Kim Sunkyu, So Chan Ho, Kang Jaewoo, Biobert: a pre-trained biomedical language representation model for biomedical text mining, Bioinformatics, 36, 4, pp. 1234-1240, (2020); Miranda-Escalada Antonio, Mehryary Farrokh, Luoma Jouni, Estrada-Zavala Darryl, Gasco Luis, Pyysalo Sampo, Valencia Alfonso, Krallinger Martin, Overview of drugprot biocreative vii track: quality evaluation and large scale text mining of drug-gene/protein relations, Proceedings of the seventh BioCreative challenge evaluation workshop, pp. 11-21, (2021); Sousa Diana F, Couto Francisco M, K-ret: knowledgeable biomedical relation extraction system, Bioinformatics, 39, 4, (2023); Tinn Robert, Cheng Hao, Gu Yu, Usuyama Naoto, Liu Xiaodong, Naumann Tristan, Gao Jianfeng, Poon Hoifung, Fine-tuning large neural language models for biomedical natural language processing, Patterns, 4, 4; Yasunaga Michihiro, Leskovec Jure, Liang Percy, Linkbert: Pretraining language models with document links, (2022)</t>
  </si>
  <si>
    <t>R. Ma; School of Computer Science and Engineering, Chongqing University of Technology, China; email: MRR@STU.CQUT.EDU.CN</t>
  </si>
  <si>
    <t>Nianyin Z.; Pachori R.B.</t>
  </si>
  <si>
    <t>ML Research Press</t>
  </si>
  <si>
    <t>2024 International Conference on Machine Learning and Intelligent Computing, MLIC 2024</t>
  </si>
  <si>
    <t>26 April 2024 through 28 April 2024</t>
  </si>
  <si>
    <t>Wuhan</t>
  </si>
  <si>
    <t>202162.0</t>
  </si>
  <si>
    <t>Proc. Mach. Learn. Res.</t>
  </si>
  <si>
    <t>2-s2.0-85203590460</t>
  </si>
  <si>
    <t>Bai G.; Lu C.; Guo D.; Li S.; Liu Y.; Zhang Z.; Dong G.; Liu R.; Sun Y.</t>
  </si>
  <si>
    <t>Bai, Ge (58705641200); Lu, Chenji (58846896500); Guo, Daichi (57870195800); Li, Shilong (58846970400); Liu, Ying (59449583200); Zhang, Zhang (57798727500); Dong, Guanting (57687224500); Liu, Ruifang (55975558800); Sun, Yong (59209357200)</t>
  </si>
  <si>
    <t>58705641200; 58846896500; 57870195800; 58846970400; 59449583200; 57798727500; 57687224500; 55975558800; 59209357200</t>
  </si>
  <si>
    <t>Clear Up Confusion: Advancing Cross-Domain Few-Shot Relation Extraction through Relation-Aware Prompt Learning</t>
  </si>
  <si>
    <t>Proceedings of the 2024 Conference of the North American Chapter of the Association for Computational Linguistics: Human Language Technologies, NAACL 2024</t>
  </si>
  <si>
    <t>70.0</t>
  </si>
  <si>
    <t>https://www.scopus.com/inward/record.uri?eid=2-s2.0-85199457506&amp;partnerID=40&amp;md5=00412be7d59c3123812174e1d0f8ee13</t>
  </si>
  <si>
    <t>Bai G., Beijing University of Posts and Telecommunications, China; Lu C., Beijing University of Posts and Telecommunications, China; Guo D., Beijing University of Posts and Telecommunications, China; Li S., Beijing University of Posts and Telecommunications, China; Liu Y., Beijing University of Posts and Telecommunications, China; Zhang Z., Beijing University of Posts and Telecommunications, China; Dong G., Beijing University of Posts and Telecommunications, China; Liu R., Beijing University of Posts and Telecommunications, China; Sun Y., Beijing University of Posts and Telecommunications, China</t>
  </si>
  <si>
    <t>Cross-domain few-shot Relation Extraction (RE) aims to transfer knowledge from a source domain to a different target domain to address low-resource problems. Previous work utilized label descriptions and entity information to leverage the knowledge of the source domain. However, these models are prone to confusion when directly applying this knowledge to a target domain with entirely new types of relations, which becomes particularly pronounced when facing similar relations. In this work, we propose a relation-aware prompt learning method with pre-training. Specifically, we empower the model to clear confusion by decomposing various relation types through an innovative label prompt, while a context prompt is employed to capture differences in different scenarios, enabling the model to further discern confusion. Two pre-training tasks are designed to leverage the prompt knowledge and paradigm. Experiments show that our method outperforms previous sota methods, yielding significantly better results on cross-domain few-shot RE tasks. ¬© 2024 Association for Computational Linguistics.</t>
  </si>
  <si>
    <t>Computational linguistics; Knowledge management; Learning systems; Cross-domain; Learning methods; Pre-training; Relation extraction; Target domain; Types of relations; Extraction</t>
  </si>
  <si>
    <t>Bassignana Elisa, Plank Barbara, CrossRE: A cross-domain dataset for relation extraction, Findings of the Association for Computational Linguistics: EMNLP 2022, (2022); Chen Qianglong, Li Feng-Lin, Xu Guohai, Yan Ming, Zhang Ji, Zhang Yin, Dictbert: Dictionary description knowledge enhanced language model pre-training via contrastive learning, (2022); Cui Leyang, Wu Yu, Liu Jian, Yang Sen, Zhang Yue, Template-based named entity recognition using bart, (2021); Devlin Jacob, Chang Ming-Wei, Lee Kenton, Toutanova Kristina, BERT: Pre-training of deep bidirectional transformers for language understanding, Proceedings of the 2019 Conference of the North American Chapter of the Association for Computational Linguistics, (2019); Dong Guanting, Hui Tingfeng, GongQue Zhuoma, Zhao Jinxu, Guo Daichi, Zhao Gang, He Keqing, Xu Weiran, Demonsf: A multi-task demonstration-based generative framework for noisy slot filling task, (2023); Dong Guanting, Wang Zechen, Wang Liwen, Guo Daichi, Fu Dayuan, Wu Yuxiang, Zeng Chen, Li Xuefeng, Hui Tingfeng, He Keqing, Cui Xinyue, Gao Qixiang, Xu Weiran, A prototypical semantic decoupling method via joint contrastive learning for few-shot named entity recognition, ICASSP 2023 - 2023 IEEE International Conference on Acoustics, Speech and Signal Processing (ICASSP), pp. 1-5, (2023); Dong Guanting, Wang Zechen, Zhao Jinxu, Zhao Gang, Guo Daichi, Fu Dayuan, Hui Tingfeng, Zeng Chen, He Keqing, Li Xuefeng, Wang Liwen, Cui Xinyue, Xu Weiran, A multi-task semantic decomposition framework with task-specific pre-training for few-shot ner, Proceedings of the 32nd ACM International Conference on Information and Knowledge Management, CIKM‚Äô23, pp. 430-440, (2023); Ganin Yaroslav, Ustinova Evgeniya, Ajakan Hana, Germain Pascal, Larochelle Hugo, Laviolette Francois, Marchand Mario, Lempitsky Victor, Domain-adversarial training of neural networks, The journal of machine learning research, 17, 1, (2016); Gao Tianyu, Han Xu, Zhu Hao, Liu Zhiyuan, Li Peng, Sun Maosong, Zhou Jie, FewRel 2.0: Towards more challenging few-shot relation classification, Proceedings of EMNLP-IJCNLP, (2019); Han Jiale, Cheng Bo, Lu Wei, Exploring task difficulty for few-shot relation extraction, Proceedings of the 2021 Conference on EMNLP, (2021); Han Xu, Zhu Hao, Yu Pengfei, Wang Ziyun, Yao Yuan, Liu Zhiyuan, Sun Maosong, FewRel: A large-scale supervised few-shot relation classification dataset with state-of-the-art evaluation, Proceedings of the 2018 Conference on Empirical Methods in Natural Language Processing, (2018); He Kai, Huang Yucheng, Mao Rui, Gong Tieliang, Li Chen, Cambria Erik, Virtual prompt pre-training for prototype-based few-shot relation extraction, Expert Systems with Applications, 213, (2023); Khosla Prannay, Teterwak Piotr, Wang Chen, Sarna Aaron, Tian Yonglong, Isola Phillip, Maschinot Aaron, Liu Ce, Krishnan Dilip, Supervised contrastive learning, Advances in Neural Information Processing Systems, 33, pp. 18661-18673, (2020); Lee Chia-Hsuan, Cheng Hao, Ostendorf Mari, Dialogue state tracking with a language model using schema-driven prompting, (2021); Li Xuefeng, Lei Hao, Wang Liwen, Dong Guanting, Zhao Jinzheng, Liu Jiachi, Xu Weiran, Zhang Chunyun, A robust contrastive alignment method for multi-domain text classification, ICASSP 2022 - 2022 IEEE International Conference on Acoustics, Speech and Signal Processing (ICASSP), pp. 7827-7831, (2022); Li Xuefeng, Wang Liwen, Dong Guanting, He Keqing, Zhao Jinzheng, Lei Hao, Liu Jiachi, Xu Weiran, Generative zero-shot prompt learning for cross-domain slot filling with inverse prompting, Findings of the Association for Computational Linguistics: ACL 2023, pp. 825-834, (2023); Liu Fangchao, Lin Hongyu, Han Xianpei, Cao Boxi, Sun Le, Pre-training to match for unified low-shot relation extraction, Proceedings of the 60th Annual Meeting of the Association for Computational Linguistics, (2022); Liu Jiachi, Wang Liwen, Dong Guanting, Song Xiaoshuai, Wang Zechen, Wang Zhengyang, Lei Shanglin, Zhao Jinzheng, He Keqing, Xiao Bo, Et al., Towards robust and generalizable training: An empirical study of noisy slot filling for input perturbations, (2023); Mishra Nikhil, Rohaninejad Mostafa, Chen Xi, Abbeel Pieter, A simple neural attentive meta-learner, International Conference on Learning Representations, (2018); Nichol Alex, Achiam Joshua, Schulman John, On first-order meta-learning algorithms, (2018); Peng Hao, Gao Tianyu, Han Xu, Lin Yankai, Li Peng, Liu Zhiyuan, Sun Maosong, Zhou Jie, Learning from context or names? an empirical study on neural relation extraction, (2020); Peng Yifan, Chen Qingyu, Lu Zhiyong, An empirical study of multi-task learning on BERT for biomedical text mining, Proceedings of the 19th SIGBioMed Workshop on Biomedical Language Processing, (2020); Reimers Nils, Gurevych Iryna, Sentence-bert: Sentence embeddings using siamese bert-networks, Proceedings of the 2019 Conference on EMNLP-IJCNLP, pp. 3982-3992, (2019); Shen Jian, Qu Yanru, Zhang Weinan, Yu Yong, Wasserstein distance guided representation learning for domain adaptation, Proceedings of the AAAI Conference on Artificial Intelligence, 32, (2018); Snell Jake, Swersky Kevin, Zemel Richard, Prototypical networks for few-shot learning, Advances in Neural Information Processing Systems, 30, (2017); Soares Livio Baldini, Fitzgerald Nicholas, Ling Jeffrey, Kwiatkowski Tom, Matching the blanks: Distributional similarity for relation learning, Proceedings of the 57th Annual Meeting of the ACL, pp. 2895-2905, (2019); Sun Mingyang, Gao Qixiang, Mou Yutao, Dong Guanting, Liu Ruifang, Guo Wenbin, Improving few-shot performance of dst model through multitask to better serve language-impaired people, 2023 IEEE International Conference on Acoustics, Speech, and Signal Processing Workshops (ICASSPW), pp. 1-5, (2023); Tran Van-Hien, Phi Van-Thuy, Shindo Hiroyuki, Matsumoto Yuji, Relation classification using segment-level attention-based CNN and dependency-based RNN, Proceedings of the 2019 Conference of the North American Chapter of the Association for Computational Linguistics: Human Language Technologies, Volume 1 (Long and Short Papers), pp. 2793-2798, (2019); Van der Maaten Laurens, Hinton Geoffrey, Visualizing data using t-sne, Journal of machine learning research, 9, 11, (2008); Wu Di, Chen Yiren, Ding Liang, Tao Dacheng, Bridging the gap between clean data training and real-world inference for spoken language understanding, (2021); Yamada Ikuya, Asai Akari, Shindo Hiroyuki, Takeda Hideaki, Matsumoto Yuji, LUKE: Deep contextualized entity representations with entity-aware self-attention, Proceedings of the 2020 Conference on Empirical Methods in Natural Language Processing (EMNLP), pp. 6442-6454, (2020); Yuan Zhongju, Wang Zhenkun, Li Genghui, Cross-domain few-shot relation extraction via representation learning and domain adaptation, 2023 International Joint Conference on Neural Networks (IJCNN), pp. 1-8, (2023); Zhang Peiyuan, Lu Wei, Better few-shot relation extraction with label prompt dropout, Proceedings of the 2022 Conference on Empirical Methods in Natural Language Processing, (2022); Zhang Yuhao, Zhong Victor, Chen Danqi, Angeli Gabor, Manning Christopher D., Position-aware attention and supervised data improve slot filling, Proceedings of the 2017 Conference on Empirical Methods in Natural Language Processing, (2017); Zhang Zhengyan, Han Xu, Liu Zhiyuan, Jiang Xin, Sun Maosong, Liu Qun, ERNIE: Enhanced language representation with informative entities, Proceedings of ACL, (2019)</t>
  </si>
  <si>
    <t>Baidu; Capital One; et al.; Grammarly; Megagon Labs; Otter.ai</t>
  </si>
  <si>
    <t>2024 Conference of the North American Chapter of the Association for Computational Linguistics: Human Language Technologies, NAACL 2024</t>
  </si>
  <si>
    <t>16 June 2024 through 21 June 2024</t>
  </si>
  <si>
    <t>Hybrid, Mexico City</t>
  </si>
  <si>
    <t>200463.0</t>
  </si>
  <si>
    <t>Proc. Conf. North American Chapter Assoc. Comput. Linguist.: Hum. Lang. Technol., NAACL</t>
  </si>
  <si>
    <t>2-s2.0-85199457506</t>
  </si>
  <si>
    <t>Chen Y.; Shi B.; Xu K.</t>
  </si>
  <si>
    <t>Chen, Yang (58432512700); Shi, Bowen (57211713242); Xu, Ke (59587189300)</t>
  </si>
  <si>
    <t>58432512700; 57211713242; 59587189300</t>
  </si>
  <si>
    <t>PTCAS: Prompt tuning with continuous answer search for relation extraction</t>
  </si>
  <si>
    <t>Information Sciences</t>
  </si>
  <si>
    <t>10.1016/j.ins.2023.120060</t>
  </si>
  <si>
    <t>https://www.scopus.com/inward/record.uri?eid=2-s2.0-85181762767&amp;doi=10.1016%2fj.ins.2023.120060&amp;partnerID=40&amp;md5=ec04952ec895abad0f10b51df05a3d19</t>
  </si>
  <si>
    <t>State Key Lab of Software Development Environment, Beihang University, Beijing, Beijing, 100191, China; School of Journalism, Communication University of China, Beijing, Beijing, 100024, China</t>
  </si>
  <si>
    <t>Chen Y., State Key Lab of Software Development Environment, Beihang University, Beijing, Beijing, 100191, China; Shi B., School of Journalism, Communication University of China, Beijing, Beijing, 100024, China; Xu K., State Key Lab of Software Development Environment, Beihang University, Beijing, Beijing, 100191, China</t>
  </si>
  <si>
    <t>Tremendous progress has been made in the development of fine-tuned pretrained language models (PLMs) that achieve outstanding results on almost all natural language processing (NLP) tasks. Further stimulation of rich knowledge distribution within PLMs can be achieved through additional prompts for fine-tuning, namely, prompt tuning. Generally, prompt engineering involves prompt template engineering, which is the process of searching for an appropriate template for a specific task, and answer engineering, whose objective is to seek an answer space and map it to the original task label set. Existing prompt-based methods are primarily designed manually and search for appropriate verbalization in a discrete answer space, which is insufficient and always results in suboptimal performance for complex NLP tasks such as relation extraction (RE). Therefore, we propose a novel prompt-tuning method with a continuous answer search for RE, which enables the model to find optimal answer word representations in a continuous space through gradient descent and thus fully exploit the relation semantics. To further exploit entity-type information and integrate structured knowledge into our approach, we designed and added an additional TransH-based structured knowledge constraint to the optimization procedure. We conducted comprehensive experiments on four RE benchmarks to evaluate the effectiveness of the proposed approach. The experimental results show that our approach achieves competitive or superior performance without manual answer engineering compared to existing baselines under both fully supervised and low-resource scenarios. ¬© 2024 Elsevier Inc.</t>
  </si>
  <si>
    <t>Few-shot learning; Pretrained language model; Prompt tuning; Relation extraction</t>
  </si>
  <si>
    <t>Computational linguistics; Gradient methods; Natural language processing systems; Optimization; Semantics; Answer space; Few-shot learning; Knowledge distribution; Language model; Language processing; Natural languages; Pretrained language model; Prompt tuning; Relation extraction; Structured knowledge; Extraction</t>
  </si>
  <si>
    <t>Bordes A., Usunier N., Garcia-Duran A., Weston J., Yakhnenko O., Translating embeddings for modeling multi-relational data, Adv. Neural Inf. Process. Syst., 26, (2013); Madotto A., Wu C.-S., Fung P., Mem2seq: effectively incorporating knowledge bases into end-to-end task-oriented dialog systems, (2018); Bordes A., Chopra S., Weston J., Question answering with subgraph embeddings, (2014); Devlin J., Chang M.-W., Lee K., Toutanova K., Bert: pre-training of deep bidirectional transformers for language understanding, (2018); Liu Y., Ott M., Goyal N., Du J., Joshi M., Chen D., Levy O., Lewis M., Zettlemoyer L., Stoyanov V., Roberta: a robustly optimized bert pretraining approach, (2019); Liu P., Yuan W., Fu J., Jiang Z., Hayashi H., Neubig G., Pre-train, prompt, and predict: a systematic survey of prompting methods in natural language processing, ACM Comput. Surv., 55, 9, pp. 1-35, (2023); Brown T., Mann B., Ryder N., Subbiah M., Kaplan J.D., Dhariwal P., Neelakantan A., Shyam P., Sastry G., Askell A., Et al., Language models are few-shot learners, Adv. Neural Inf. Process. Syst., 33, pp. 1877-1901, (2020); Schick T., Schutze H., Exploiting cloze questions for few shot text classification and natural language inference, (2020); Liu X., Zheng Y., Du Z., Ding M., Qian Y., Yang Z., Tang J., Gpt understands, too, (2021); Li X.L., Liang P., Prefix-tuning: optimizing continuous prompts for generation, (2021); Li Q., Wang Y., You T., Lu Y., Bioknowprompt: incorporating imprecise knowledge into prompt-tuning verbalizer with biomedical text for relation extraction, Inf. Sci., 617, pp. 346-358, (2022); Han X., Zhao W., Ding N., Liu Z., Sun M., Ptr: prompt tuning with rules for text classification, AI Open, 3, pp. 182-192, (2022); Yang S., Song D., Fpc: fine-tuning with prompt curriculum for relation extraction, Proceedings of the 2nd Conference of the Asia-Pacific Chapter of the Association for Computational Linguistics and the 12th International Joint Conference on Natural Language Processing, pp. 1065-1077, (2022); Mooney R., Relational learning of pattern-match rules for information extraction, Proceedings of the Sixteenth National Conference on Artificial Intelligence, vol. 328, (1999); Geng Z., Li J., Han Y., Zhang Y., Novel target attention convolutional neural network for relation classification, Inf. Sci., 597, pp. 24-37, (2022); Sun Q., Zhang K., Huang K., Xu T., Li X., Liu Y., Document-level relation extraction with two-stage dynamic graph attention networks, Knowl.-Based Syst., 267, (2023); Peters M.E., Neumann M., Logan R.L., Schwartz R., Joshi V., Singh S., Smith N.A., Knowledge enhanced contextual word representations, (2019); Joshi M., Chen D., Liu Y., Weld D.S., Zettlemoyer L., Levy O., Spanbert: improving pre-training by representing and predicting spans, Trans. Assoc. Comput. Linguist., 8, pp. 64-77, (2020); Yamada I., Asai A., Shindo H., Takeda H., Matsumoto Y., Luke: deep contextualized entity representations with entity-aware self-attention, (2020); Soares L.B., FitzGerald N., Ling J., Kwiatkowski T., Matching the blanks: distributional similarity for relation learning, (2019); Li Y., Ma Z., Gao L., Wu Y., Xie F., Ren X., Enhance prototypical networks with hybrid attention and confusing loss function for few-shot relation classification, Neurocomputing, 493, pp. 362-372, (2022); Du H., Zhang Q., Li K., Zhao F., Wang G., Multi-transformer based on prototypical enhancement network for few-shot relation classification with domain adaptation, Neurocomputing, 559, (2023); Wen M., Xia T., Liao B., Tian Y., Few-shot relation classification using clustering-based prototype modification, Knowl.-Based Syst., 268, (2023); Snell J., Swersky K., Zemel R., Prototypical networks for few-shot learning, Adv. Neural Inf. Process. Syst., 30, (2017); Yang S., Zhang Y., Niu G., Zhao Q., Pu S., Entity concept-enhanced few-shot relation extraction, (2021); Liu Y., Hu J., Wan X., Chang T.-H., A simple yet effective relation information guided approach for few-shot relation extraction, (2022); Liu Y., Hu J., Wan X., Chang T.-H., Learn from relation information: towards prototype representation rectification for few-shot relation extraction, Findings of the Association for Computational Linguistics: NAACL 2022, pp. 1822-1831, (2022); Petroni F., Rocktaschel T., Lewis P., Bakhtin A., Wu Y., Miller A.H., Riedel S., Language models as knowledge bases?, (2019); Schick T., Schutze H., Few-shot text generation with pattern-exploiting training, (2020); Gao T., Fisch A., Chen D., Making pre-trained language models better few-shot learners, (2020); Raffel C., Shazeer N., Roberts A., Lee K., Narang S., Matena M., Zhou Y., Li W., Liu P.J., Exploring the limits of transfer learning with a unified text-to-text transformer, J. Mach. Learn. Res., 21, 1, pp. 5485-5551, (2020); Shin T., Razeghi Y., Logan R.L., Wallace E., Singh S., Autoprompt: eliciting knowledge from language models with automatically generated prompts, (2020); Zhong Z., Friedman D., Chen D., Factual probing is [mask]: learning vs. learning to recall, (2021); Cui L., Wu Y., Liu J., Yang S., Zhang Y., Template-based named entity recognition using bart, (2021); Yin W., Hay J., Roth D., Benchmarking zero-shot text classification: datasets, evaluation and entailment approach, (2019); Jiang Z., Xu F.F., Araki J., Neubig G., How can we know what language models know?, Trans. Assoc. Comput. Linguist., 8, pp. 423-438, (2020); Hambardzumyan K., Khachatrian H., May J., Warp: word-level adversarial reprogramming, (2021); Chen X., Zhang N., Xie X., Deng S., Yao Y., Tan C., Huang F., Si L., Chen H., Knowprompt: knowledge-aware prompt-tuning with synergistic optimization for relation extraction, Proceedings of the ACM Web Conference 2022, pp. 2778-2788, (2022); Han J., Zhao S., Cheng B., Ma S., Lu W., Generative prompt tuning for relation classification, (2022); Wang Z., Zhang J., Feng J., Chen Z., Knowledge graph embedding by translating on hyperplanes, Proceedings of the AAAI Conference on Artificial Intelligence, vol. 28, (2014); Zhang Y., Zhong V., Chen D., Angeli G., Manning C.D., Position-aware attention and supervised data improve slot filling, Conference on Empirical Methods in Natural Language Processing, (2017); Alt C., Gabryszak A., Hennig L., Tacred revisited: a thorough evaluation of the tacred relation extraction task, (2020); Stoica G., Platanios E.A., Poczos B., Re-tacred: addressing shortcomings of the tacred dataset, Proceedings of the AAAI Conference on Artificial Intelligence, vol. 35, pp. 13843-13850, (2021); Hendrickx I., Kim S.N., Kozareva Z., Nakov P., Seaghdha D.O., Pado S., Pennacchiotti M., Romano L., Szpakowicz S., Semeval-2010 task 8: multi-way classification of semantic relations between pairs of nominals, (2019); Xue F., Sun A., Zhang H., Chng E.S., Gdpnet: refining latent multi-view graph for relation extraction, Proceedings of the AAAI Conference on Artificial Intelligence, vol. 35, pp. 14194-14202, (2021); Zhou W., Chen M., An improved baseline for sentence-level relation extraction, (2021); Sainz O., de Lacalle O.L., Labaka G., Barrena A., Agirre E., Label verbalization and entailment for effective zero-and few-shot relation extraction, (2021); Paszke A., Gross S., Massa F., Lerer A., Bradbury J., Chanan G., Killeen T., Lin Z., Gimelshein N., Antiga L., Et al., Pytorch: an imperative style, high-performance deep learning library, Adv. Neural Inf. Process. Syst., 32, (2019); Wolf T., Debut L., Sanh V., Chaumond J., Delangue C., Moi A., Cistac P., Rault T., Louf R., Funtowicz M., Et al., Transformers: state-of-the-art natural language processing, Proceedings of the 2020 Conference on Empirical Methods in Natural Language Processing: System Demonstrations, pp. 38-45, (2020); Loshchilov I., Hutter F., Decoupled weight decay regularization, (2017)</t>
  </si>
  <si>
    <t>Y. Chen; State Key Lab of Software Development Environment, Beihang University, Beijing, Beijing, 100191, China; email: yangchen11235@gmail.com</t>
  </si>
  <si>
    <t>Elsevier Inc.</t>
  </si>
  <si>
    <t>ISIJB</t>
  </si>
  <si>
    <t>Inf Sci</t>
  </si>
  <si>
    <t>2-s2.0-85181762767</t>
  </si>
  <si>
    <t>Chanthran M.R.; Soon L.-K.; Ong H.F.; Selvaretnam B.</t>
  </si>
  <si>
    <t>Chanthran, Mohan Raj (57219689985); Soon, Lay-Ki (14012188300); Ong, Huey Fang (57193027154); Selvaretnam, Bhawani (8236676600)</t>
  </si>
  <si>
    <t>57219689985; 14012188300; 57193027154; 8236676600</t>
  </si>
  <si>
    <t>Malaysian English News Decoded: A Linguistic Resource for Named Entity and Relation Extraction</t>
  </si>
  <si>
    <t>2024 Joint International Conference on Computational Linguistics, Language Resources and Evaluation, LREC-COLING 2024 - Main Conference Proceedings</t>
  </si>
  <si>
    <t>10999.0</t>
  </si>
  <si>
    <t>11022.0</t>
  </si>
  <si>
    <t>23.0</t>
  </si>
  <si>
    <t>https://www.scopus.com/inward/record.uri?eid=2-s2.0-85195959800&amp;partnerID=40&amp;md5=097ab6765f41f67ba266632665c80715</t>
  </si>
  <si>
    <t>School of Information Technology, Monash University, Malaysia; Valiantlytix Sdn Bhd, Malaysia</t>
  </si>
  <si>
    <t>Chanthran M.R., School of Information Technology, Monash University, Malaysia; Soon L.-K., School of Information Technology, Monash University, Malaysia; Ong H.F., School of Information Technology, Monash University, Malaysia; Selvaretnam B., Valiantlytix Sdn Bhd, Malaysia</t>
  </si>
  <si>
    <t>Standard English and Malaysian English exhibit notable differences, posing challenges for natural language processing (NLP) tasks on Malaysian English. An experiment using state-of-the-art Named Entity Recognition (NER) solutions in Malaysian English news articles highlights that they cannot handle morphosyntactic variations in Malaysian English. Unfortunately, most of the existing datasets are mainly based on Standard English, which is not sufficient to enhance NLP tasks in Malaysian English. To the best of our knowledge, there is no annotated dataset that can be used to improve the model. To address this issue, we have constructed a Malaysian English News (MEN) dataset, which contains 200 news articles that are manually annotated with entities and relations. We then fine-tuned the spaCy NER tool and validated that having a dataset tailor-made for Malaysian English could significantly improve the performance of NER in Malaysian English. This paper presents our efforts to acquire data, the annotation methodology, and a detailed analysis of the annotated dataset. To ensure the quality of the annotation, we have measured the Inter-Annotator Agreement (IAA), and any disagreements were resolved by a subject matter expert through adjudication. After a rigorous quality check, we have developed a dataset with 6,061 entities and 3,268 relation instances. Finally, we discuss spaCy fine-tuning setup and analysis of NER performance. This unique dataset will contribute significantly to the advancement of NLP research in Malaysian English, allowing researchers to accelerate their progress, particularly in NER and relation extraction. ¬© 2024 ELRA Language Resource Association: CC BY-NC 4.0.</t>
  </si>
  <si>
    <t>Annotated Dataset; Low-Resource Language; Malaysian English; Named Entity Recognition; Relation Extraction</t>
  </si>
  <si>
    <t>Decoding; Natural language processing systems; Annotated datasets; Language processing; Linguistic resources; Low resource languages; Malaysian english; Named entity recognition; Natural languages; News articles; Performance; Relation extraction; Extraction</t>
  </si>
  <si>
    <t>Malaysian Fundamental Research Grant Scheme; FRGS, (FRGS/1/2022/ICT02/MUSM/02/2)</t>
  </si>
  <si>
    <t>Part of this project was funded by the Malaysian Fundamental Research Grant Scheme (FRGS) FRGS/1/2022/ICT02/MUSM/02/2. We would like to express our appreciation for their support.</t>
  </si>
  <si>
    <t>Abercrombie Gavin, Rieser Verena, Hovy Dirk, Consistency is key: Disentangling label variation in natural language processing with intra-annotator agreement, (2023); Adelani David Ifeoluwa, Abbott Jade, Neubig Graham, D'souza Daniel, Kreutzer Julia, Lignos Constantine, Palen-Michel Chester, Buzaaba Happy, Rijhwani Shruti, Ruder Sebastian, Mayhew Stephen, Azime Israel Abebe, Muhammad Sham-suddeen, Emezue Chris Chinenye, Nakatumba-Nabende Joyce, Ogayo Perez, Aremu Anuoluwapo, Gitau Catherine, Mbaye Derguene, Alabi Jesujoba, Yimam Seid Muhie, Gwadabe Tajuddeen, Ezeani Ignatius, Niyongabo Rubungo Andre, Mukiibi Jonathan, Otiende Verrah, Orife Iroro, David Davis, Ngom Samba, Adewumi Tosin, Rayson Paul, Adeyemi Mofetoluwa, Muriuki Gerald, Anebi Emmanuel, Chukwuneke Chiamaka, Odu Nkiruka, Wairagala Eric Peter, Oyerinde Samuel, Siro Clemencia, Bateesa Tobius Saul, Oloyede Temilola, Wambui Yvonne, Akinode Victor, Nabagereka Deborah, Katusiime Maurice, Awokoya Ayodele, MBOUP Mouhamadane, Gebreyohannes Dibora, Tilaye Henok, Nwaike Kelechi, Wolde Degaga, Faye Abdoulaye, Sibanda Blessing, Ahia Orevaoghene, Dossou Bonaventure F. P., Ogueji Kelechi, DIOP Thierno Ibrahima, Diallo Abdoulaye, Akinfaderin Adewale, Marengereke Tendai, Osei Salomey, Masakhaner: Named entity recognition for african languages, (2021); Akbik Alan, Bergmann Tanja, Blythe Duncan, Rasul Kashif, Schweter Stefan, Vollgraf Roland, Flair: An easy-to-use framework for state-of-the-art nlp, NAACL 2019, 2019 Annual Conference of the North American Chapter of the Association for Computational Linguistics (Demonstrations), pp. 54-59, (2019); Artstein Ron, Inter-annotator Agreement, pp. 297-313, (2017); Biewald Lukas, Experiment tracking with weights and biases, (2020); Brandsen Alex, Verberne Suzan, Wansleeben Milco, Lambers Karsten, Creating a dataset for named entity recognition in the archaeology domain, Proceedings of the Twelfth Language Resources and Evaluation Conference, pp. 4573-4577, (2020); Buaphet Weerayut, Udomcharoenchaikit Can, Limkonchotiwat Peerat, Rutherford Attapol, Nutanong Sarana, Thai nested named entity recognition corpus, Findings of the Association for Computational Linguistics: ACL 2022, pp. 1473-1486, (2022); Campillos-Llanos Leonardo, Valverde-Mateos Ana, Capllonch-Carrion Adrian, Moreno-Sandoval Antonio, A clinical trials corpus annotated with UMLS entities to enhance the access to evidence-based medicine, BMC Med Inform Decis Mak, 21, 1, (2021); Chan Yee Seng, Roth Dan, Exploiting syntactico-semantic structures for relation extraction, Proceedings of the 49th Annual Meeting of the Association for Computational Linguistics: Human Language Technologies, pp. 551-560, (2011); Conneau Alexis, Khandelwal Kartikay, Goyal Naman, Chaudhary Vishrav, Wenzek Guillaume, Guzman Francisco, Grave Edouard, Ott Myle, Zettlemoyer Luke, Stoyanov Veselin, Unsupervised cross-lingual representation learning at scale, (2020); Grishman Ralph, Sundheim Beth, Message Understanding Conference- 6: A brief history, COLING 1996 Volume 1: The 16th International Conference on Computational Linguistics, (1996); Han Xu, Zhu Hao, Yu Pengfei, Wang Ziyun, Yao Yuan, Liu Zhiyuan, Sun Maosong, FewRel: A large-scale supervised few-shot relation classification dataset with state-of-the-art evaluation, Proceedings of the 2018 Conference on Empirical Methods in Natural Language Processing, pp. 4803-4809, (2018); Hovy Eduard, Marcus Mitchell, Palmer Martha, Ramshaw Lance, Weischedel Ralph, Ontonotes: The 90% solution, Proceedings of the Human Language Technology Conference of the NAACL, Companion Volume: Short Papers, NAACL-Short'06, pp. 57-60, (2006); Hripcsak George, Rothschild Adam, Agreement, the f-measure, and reliability in information retrieval, Journal of the American Medical Informatics Association: JAMIA, 12, pp. 296-298, (2005); Husein Zolkepli, Malaya, (2018); Hvingelby Rasmus, Pauli Amalie Brogaard, Barrett Maria, Rosted Christina, Lidegaard Lasse Malm, Sogaard Anders, DaNE: A named entity resource for Danish, Proceedings of the Twelfth Language Resources and Evaluation Conference, pp. 4597-4604, (2020); Imm T.S., Exploring the malaysian english newspaper corpus for lexicographic evidence, 32, pp. 167-185, (2014); Ismail Noriah, Ismail Normah, Ramakrishnan Kamalanathan, Malaysian english versus standard english: Which is favored?, (2007); Jain Saahil, Agrawal Ashwin, Saporta Adriel, Truong Steven QH, Duong Du Nguyen, Bui Tan, Chambon Pierre, Zhang Yuhao, Lungren Matthew P., Ng Andrew Y., Langlotz Curtis P., Rajpurkar Pranav, Radgraph: Extracting clinical entities and relations from radiology reports, (2021); Jarrar Mustafa, Khalilia Mohammed, Ghanem Sana, Wojood: Nested arabic named entity corpus and recognition using bert, (2022); Jiang Hang, Hua Yining, Beeferman Doug, Roy Deb, Annotating the Tweebank corpus on named entity recognition and building NLP models for social media analysis, Proceedings of the Thirteenth Language Resources and Evaluation Conference, pp. 7199-7208, (2022); Luan Yi, He Luheng, Ostendorf Mari, Hajishirzi Han-naneh, Multi-task identification of entities, relations, and coreference for scientific knowledge graph construction, (2018); Malmasi Shervin, Fang Anjie, Fetahu Besnik, Kar Sudipta, Rokhlenko Oleg, Multiconer: A large-scale multilingual dataset for complex named entity recognition, (2022); Manning Christopher, Surdeanu Mihai, Bauer John, Finkel Jenny, Bethard Steven, McClosky David, The Stanford CoreNLP natural language processing toolkit, Proceedings of 52nd Annual Meeting of the Association for Computational Linguistics: System Demonstrations, pp. 55-60, (2014); Montani Ines, Honnibal Matthew, Honnibal Matthew, Boyd Adriane, Van Landeghem Sofie, Peters Henning, O'Leary McCann Paul, geovedi jim, O'Regan Jim, Samsonov Maxim, de Kok Daniel, Orosz Gyorgy, Blattermann Marcus, Kannan Madeesh, Altinok Duygu, Mitsch Raphael, Kristiansen Soren Lind, Edward Lj Miranda, Baumgartner Peter, Bournhonesque Raphael, Hudson Richard, Explosion Bot, Roman, Leander Fiedler, Ryn Daniels, kadarakos, Wannaphong Phatthiyaphaibun, and Schero1994, (2022); Nakayama Hiroki, Kubo Takahiro, Kamura Junya, Taniguchi Yasufumi, Liang Xu, doccano: Text annotation tool for human, (2018); Oyewusi Wuraola Fisayo, Adekanmbi Olubayo, Okoh Ifeoma, Onuigwe Vitus, Salami Mary Idera, Osakuade Opeyemi, Ibejih Sharon, Musa Usman Abdullahi, Naijaner: Comprehensive named entity recognition for 5 nigerian languages, (2021); Qi Peng, Zhang Yuhao, Zhang Yuhui, Bolton Jason, Manning Christopher D., Stanza: A Python natural language processing toolkit for many human languages, Proceedings of the 58th Annual Meeting of the Association for Computational Linguistics: System Demonstrations, (2020); Sahu Sunil Kumar, Christopoulou Fenia, Miwa Makoto, Ananiadou Sophia, Inter-sentence relation extraction with document-level graph convolutional neural network, Proceedings of the 57th Annual Meeting of the Association for Computational Linguistics, pp. 4309-4316, (2019); Shah Agam, Vithani Ruchit, Gullapalli Abhinav, Chava Sudheer, Finer: Financial named entity recognition dataset and weak-supervision model, (2023); Swampillai Kumutha, Stevenson Mark, Extracting relations within and across sentences, Proceedings of the International Conference Recent Advances in Natural Language Processing 2011, pp. 25-32, (2011); Tan Siew, Lexical borrowing in malaysian english: Influences of malay, Lexis, 3, (2009); Tjong Erik F., Sang Kim, De Meulder Fien, Introduction to the CoNLL-2003 shared task: Language-independent named entity recognition, Proceedings of the Seventh Conference on Natural Language Learning at HLT-NAACL 2003, pp. 142-147, (2003); Walker Christopher, Multilingual Training Corpus LDC2006T06. Web Download, (2005); Wang Difeng, Hu Wei, Cao Ermei, Sun Weijian, Global-to-local neural networks for document-level relation extraction, Proceedings of the 2020 Conference on Empirical Methods in Natural Language Processing (EMNLP), pp. 3711-3721, (2020); Yao Yuan, Du Jiaju, Lin Yankai, Li Peng, Liu Zhiyuan, Zhou Jie, Sun Maosong, CodRED: A cross-document relation extraction dataset for acquiring knowledge in the wild, Proceedings of the 2021 Conference on Empirical Methods in Natural Language Processing, pp. 4452-4472, (2021); Yao Yuan, Ye Deming, Li Peng, Han Xu, Lin Yankai, Liu Zhenghao, Liu Zhiyuan, Huang Lixin, Zhou Jie, Sun Maosong, DocRED: A large-scale document-level relation extraction dataset, Proceedings of the 57th Annual Meeting of the Association for Computational Linguistics, pp. 764-777, (2019); Zhang Yuhao, Zhong Victor, Chen Danqi, Angeli Gabor, Manning Christopher D., Position-aware attention and supervised data improve slot filling, Proceedings of the 2017 Conference on Empirical Methods in Natural Language Processing (EMNLP 2017), pp. 35-45, (2017)</t>
  </si>
  <si>
    <t>L.-K. Soon; School of Information Technology, Monash University, Malaysia; email: soon.layki@monash.edu</t>
  </si>
  <si>
    <t>Calzolari N.; Kan M.-Y.; Hoste V.; Lenci A.; Sakti S.; Xue N.</t>
  </si>
  <si>
    <t>European Language Resources Association (ELRA)</t>
  </si>
  <si>
    <t>Aequa-Tech; Baidu; Bloomberg; Dataforce (Transperfect); et al.; Intesa San Paolo Bank</t>
  </si>
  <si>
    <t>Joint 30th International Conference on Computational Linguistics and 14th International Conference on Language Resources and Evaluation, LREC-COLING 2024</t>
  </si>
  <si>
    <t>20 May 2024 through 25 May 2024</t>
  </si>
  <si>
    <t>Hybrid, Torino</t>
  </si>
  <si>
    <t>199620.0</t>
  </si>
  <si>
    <t>978-249381410-4</t>
  </si>
  <si>
    <t>Jt. Int. Conf. Comput. Linguist., Lang. Resour. Eval., LREC-COLING - Main Conf. Proc.</t>
  </si>
  <si>
    <t>2-s2.0-85195959800</t>
  </si>
  <si>
    <t>Wang Y.; Shi T.; Ouyang X.; Guo D.</t>
  </si>
  <si>
    <t>Wang, Yashen (56245915700); Shi, Tuo (57193699351); Ouyang, Xiaoye (57212064338); Guo, Dayu (58654350200)</t>
  </si>
  <si>
    <t>56245915700; 57193699351; 57212064338; 58654350200</t>
  </si>
  <si>
    <t>TERL: Transformer Enhanced Reinforcement Learning for Relation Extraction</t>
  </si>
  <si>
    <t>Proceedings of the 22nd Chinese National Conference on Computational Linguistics, CCL 2023</t>
  </si>
  <si>
    <t>677.0</t>
  </si>
  <si>
    <t>688.0</t>
  </si>
  <si>
    <t>https://www.scopus.com/inward/record.uri?eid=2-s2.0-85218049221&amp;partnerID=40&amp;md5=442b3c0a0b9a109a5e43bcf5e127fdf3</t>
  </si>
  <si>
    <t>China Academy of Electronics and Information Technology of CETC, Artificial Intelligence Institute of CETC, China; Beijing Police College, China; National Engineering Laboratory for Risk Perception and Prevention (RPP), China Academy of Electronics and Information Technology, China; CETC Academy of Electronics and Information Technology Group Co., Ltd., China</t>
  </si>
  <si>
    <t>Wang Y., China Academy of Electronics and Information Technology of CETC, Artificial Intelligence Institute of CETC, China; Shi T., Beijing Police College, China; Ouyang X., National Engineering Laboratory for Risk Perception and Prevention (RPP), China Academy of Electronics and Information Technology, China; Guo D., CETC Academy of Electronics and Information Technology Group Co., Ltd., China</t>
  </si>
  <si>
    <t>Relation Extraction (RE) task aims to discover the semantic relation that holds between two entities and contributes to many applications such as knowledge graph construction and completion. Reinforcement Learning (RL) has been widely used for RE task and achieved SOTA results, which are mainly designed with rewards to choose the optimal actions during the training procedure, to improve RE's performance, especially for low-resource conditions. Recent work has shown that offline or online RL can be flexibly formulated as a sequence understanding problem and solved via approaches similar to large-scale pre-training language modeling. To strengthen the ability for understanding the semantic signals interactions among the given text sequence, this paper leverages Transformer architecture for RL-based RE methods, and proposes a generic framework called Transformer Enhanced RL (TERL) towards RE task. Unlike prior RL-based RE approaches that usually fit value functions or compute policy gradients, TERL only outputs the best actions by utilizing a masked Transformer. Experimental results show that the proposed TERL framework can improve many state-of-the-art RL-based RE methods. ¬© 2023 China National Conference on Computational Linguistics.</t>
  </si>
  <si>
    <t>Adversarial machine learning; Computational linguistics; Contrastive Learning; Knowledge graph; Modeling languages; Problem oriented languages; Semantics; Extraction method; Graph construction; Knowledge graphs; Optimal actions; Performance; Reinforcement learnings; Relation extraction; Resource conditions; Semantic relations; Training procedures; Reinforcement learning</t>
  </si>
  <si>
    <t>National Natural Science Foundation of China, NSFC, (U19B2026, 62106243, U22B2601)</t>
  </si>
  <si>
    <t>We thank anonymous reviewers for valuable comments. This work is funded by: the National Natural Science Foundation of China (No. U19B2026, 62106243, U22B2601).</t>
  </si>
  <si>
    <t>Chen Lili, Lu Kevin, Rajeswaran Aravind, Lee Kimin, Grover Aditya, Laskin Michael, Abbeel P., Srinivas A., Mordatch Igor, Decision transformer: Reinforcement learning via sequence modeling, NeurIPS, (2021); Chen Yangyi, Su Jingtong, Wei Wei, Multi-granularity textual adversarial attack with behavior cloning, EMNLP, (2021); Devlin Jacob, Chang Ming-Wei, Lee Kenton, Toutanova Kristina, Bert: Pre-training of deep bidirectional transformers for language understanding, NAACL-HLT, (2019); Gardent Claire, Shimorina Anastasia, Narayan Shashi, Perez-Beltrachini Laura, Creating training corpora for nlg micro-planners, ACL, (2017); Gormley Matthew R., Yu Mo, Dredze Mark, Improved relation extraction with feature-rich compositional embedding models, EMNLP, (2015); Guo Jiafeng, Fan Yixing, Ai Qingyao, Bruce Croft W., A deep relevance matching model for ad-hoc retrieval, Proceedings of the 25th ACM International on Conference on Information and Knowledge Management, (2016); Guo Zhijiang, Nan Guoshun, Lu Wei, Cohen Shay B., Learning latent forests for medical relation extraction, IJCAI, (2020); Hendrickx Iris, Kim Su Nam, Kozareva Zornitsa, Nakov Preslav, Seaghdha Diarmuid O, Pado Sebastian, Pennacchiotti Marco, Romano Lorenza, Szpakowicz Stan, Semeval-2010 task 8: Multi-way classification of semantic relations between pairs of nominals, SEMEVAL, (2010); Hochreiter Sepp, Schmidhuber Jurgen, Long short-term memory, Neural Computation, 9, pp. 1735-1780, (1997); Hoffmann Raphael, Zhang Congle, Ling Xiao, Zettlemoyer Luke, Weld Daniel S., Knowledge-based weak supervision for information extraction of overlapping relations, ACL, (2011); Hu Xuming, Ma Fukun, Liu Chenyao, Zhang Chenwei, Wen Lijie, Yu Philip S., Semi-supervised relation extraction via incremental meta self-training, EMNLP, (2021); Hu Xuming, Zhang Chenwei, Yang Yawen, Li Xiaohe, Lin Li, Wen Lijie, Yu Philip S., Gradient imitation reinforcement learning for low resource relation extraction, EMNLP, (2021); Hung Chia-Chun, Lillicrap Timothy P., Abramson Josh, Wu Yan, Mirza Mehdi, Carnevale Federico, Ahuja Arun, Wayne Greg, Optimizing agent behavior over long time scales by transporting value, Nature Communications, 10, (2019); Janner Michael, Li Qiyang, Levine Sergey, Reinforcement learning as one big sequence modeling problem, (2021); Kim Yoon, Convolutional neural networks for sentence classification, EMNLP, (2014); Lee Kimin, Laskin Michael, Srinivas A., Abbeel P., Sunrise: A simple unified framework for ensemble learning in deep reinforcement learning, ICML, (2021); Li Qi, Ji Heng, Incremental joint extraction of entity mentions and relations, ACL, (2014); Li Zhixin, Sun Yaru, Tang Suqin, Zhang Canlong, Ma Huifang, Reinforcement learning with dual attention guided graph convolution for relation extraction, 2020 25th International Conference on Pattern Recognition (ICPR), pp. 946-953, (2021); Lin Hongtao, Yan Jun, Qu Meng, Ren Xiang, Learning dual retrieval module for semi-supervised relation extraction, The World Wide Web Conference, (2019); Mnih Volodymyr, Kavukcuoglu Koray, Silver David, Rusu Andrei A., Veness Joel, Bellemare Marc G., Graves Alex, Riedmiller Martin A., Fidjeland Andreas, Ostrovski Georg, Petersen Stig, Beattie Charlie, Sadik Amir, Antonoglou Ioannis, King Helen, Kumaran Dharshan, Wierstra Daan, Legg Shane, Hassabis Demis, Human-level control through deep reinforcement learning, Nature, 518, pp. 529-533, (2015); Narasimhan Karthik, Yala Adam, Barzilay Regina, Improving information extraction by acquiring external evidence with reinforcement learning, EMNLP, (2016); Parisotto Emilio, Salakhutdinov Ruslan, Efficient transformers in reinforcement learning using actor-learner distillation, (2021); Parisotto Emilio, Francis Song H., Rae Jack W., Pascanu Razvan, Gulehre aglar, Jayakumar Siddhant M., Jaderberg Max, Kaufman Raphael Lopez, Clark Aidan, Noury Seb, Botvinick Matthew M., Manfred Otto Heess Nicolas, Hadsell Raia, Stabilizing transformers for reinforcement learning, ICML, (2020); Qin Pengda, Xu Weiran, Wang William Yang, Robust distant supervision relation extraction via deep reinforcement learning, ACL, (2018); Radford Alec, Narasimhan Karthik, Improving language understanding by generative pre-training, (2018); Ramesh Aditya, Pavlov Mikhail, Goh Gabriel, Gray Scott, Voss Chelsea, Radford Alec, Chen Mark, Sutskever Ilya, Zero-shot text-to-image generation, (2021); Ren Xiang, Wu Zeqiu, He Wenqi, Qu Meng, Voss Clare R., Ji Heng, Abdelzaher Tarek F., Han Jiawei, Cotype: Joint extraction of typed entities and relations with knowledge bases, Proceedings of the 26th International Conference on World Wide Web, (2017); Riedel Sebastian, Yao Limin, McCallum Andrew, Modeling relations and their mentions without labeled text, ECML/PKDD, (2010); Rosenberg Chuck, Hebert Martial, Schneiderman Henry, Semi-supervised self-training of object detection models, 2005 Seventh IEEE Workshops on Applications of Computer Vision (WACV/MOTION'05), 1, 1, pp. 29-36, (2005); Takanobu Ryuichi, Zhang Tianyang, Liu Jiexi, Huang Minlie, A hierarchical framework for relation extraction with reinforcement learning, AAAI, (2018); Takanobu Ryuichi, Zhang Tianyang, Liu Jiexi, Huang Minlie, A hierarchical framework for relation extraction with reinforcement learning, (2019); Tarvainen Antti, Valpola Harri, Mean teachers are better role models: Weight-averaged consistency targets improve semi-supervised deep learning results, NIPS, (2017); Vaswani Ashish, Shazeer Noam M., Parmar Niki, Uszkoreit Jakob, Jones Llion, Gomez Aidan N., Kaiser Lukasz, Polosukhin Illia, Attention is all you need, (2017); Wang Yashen, Zhang Huanhuan, Birl: Bidirectional-interaction reinforcement learning framework for joint relation and entity extraction, DASFAA, (2021); Wang Shaolei, Zhang Yue, Che Wanxiang, Liu Ting, Joint extraction of entities and relations based on a novel graph scheme, IJCAI, (2018); Xiong Ruibin, Yang Yunchang, He Di, Zheng Kai, Zheng Shuxin, Xing Chen, Zhang Huishuai, Lan Yanyan, Wang Liwei, Liu Tie-Yan, On layer normalization in the transformer architecture, ICML, (2020); Xue Fuzhao, Sun Aixin, Zhang Hao, Chng Eng Siong, Gdpnet: Refining latent multi-view graph for relation extraction, (2020); Yu Xiaofeng, Lam Wai, Jointly identifying entities and extracting relations in encyclopedia text via a graphical model approach, COLING, (2010); Zambaldi Vinicius Flores, Raposo David, Santoro Adam, Bapst Victor, Li Yujia, Babuschkin Igor, Tuyls Karl, Reichert David P., Lillicrap Timothy P., Lockhart Edward, Shanahan Murray, Langston Victoria, Pascanu Razvan, Botvinick Matthew M., Vinyals Oriol, Battaglia Peter W., Deep reinforcement learning with relational inductive biases, ICLR, (2019); Zeng Daojian, Liu Kang, Chen Yubo, Zhao Jun, Distant supervision for relation extraction via piecewise convolutional neural networks, EMNLP, (2015); Zeng Xiangrong, Zeng Daojian, He Shizhu, Liu Kang, Zhao Jun, Extracting relational facts by an end-to-end neural model with copy mechanism, ACL, (2018); Zeng Xiangrong, He Shizhu, Zeng Daojian, Liu Kang, Liu Shengping, Zhao Jun, Learning the extraction order of multiple relational facts in a sentence with reinforcement learning, EMNLP/IJCNLP, (2019); Zhang Yuhao, Zhong Victor, Chen Danqi, Angeli Gabor, Manning Christopher D., Position-aware attention and supervised data improve slot filling, EMNLP, (2017); Zheng Suncong, Wang Feng, Bao Hongyun, Hao Yuexing, Zhou Peng, Xu Bo, Joint extraction of entities and relations based on a novel tagging scheme, (2017); Zheng Qinqing, Zhang Amy, Grover Aditya, Online decision transformer, ICML, (2022); Zhou Xin, Liu Luping, Luo Xiaodong, Chen Haiqiang, Qing Linbo, He Xiaohai, Joint entity and relation extraction based on reinforcement learning, IEEE Access, 7, pp. 125688-125699, (2019)</t>
  </si>
  <si>
    <t>D. Guo; CETC Academy of Electronics and Information Technology Group Co., Ltd., China; email: guodayu1@cetc.com.cn</t>
  </si>
  <si>
    <t>Sun M.; Qin B.; Qiu X.; Jiang J.; Han X.</t>
  </si>
  <si>
    <t>22nd Chinese National Conference on Computational Linguistics, CCL 2023</t>
  </si>
  <si>
    <t>3 August 2023 through 5 August 2023</t>
  </si>
  <si>
    <t>Harbin</t>
  </si>
  <si>
    <t>206505.0</t>
  </si>
  <si>
    <t>978-171387622-9</t>
  </si>
  <si>
    <t>Proc. Chin. Natl. Conf. Comput. Linguist., CCL</t>
  </si>
  <si>
    <t>2-s2.0-85218049221</t>
  </si>
  <si>
    <t>Ma M.D.; Wang X.; Kung P.-N.; Brantingham P.J.; Peng N.; Wang W.</t>
  </si>
  <si>
    <t>Ma, Mingyu Derek (57222069661); Wang, Xiaoxuan (58316665800); Kung, Po-Nien (57318435200); Brantingham, P. Jeffrey (56713512300); Peng, Nanyun (57204466260); Wang, Wei (55157954300)</t>
  </si>
  <si>
    <t>57222069661; 58316665800; 57318435200; 56713512300; 57204466260; 55157954300</t>
  </si>
  <si>
    <t>STAR: Boosting Low-Resource Information Extraction by Structure-to-Text Data Generation with Large Language Models</t>
  </si>
  <si>
    <t>18751.0</t>
  </si>
  <si>
    <t>18759.0</t>
  </si>
  <si>
    <t>10.1609/aaai.v38i17.29839</t>
  </si>
  <si>
    <t>https://www.scopus.com/inward/record.uri?eid=2-s2.0-85188022924&amp;doi=10.1609%2faaai.v38i17.29839&amp;partnerID=40&amp;md5=679698d6138411dc945024a232f1f573</t>
  </si>
  <si>
    <t>Department of Computer Science, University of California, Los Angeles, United States; Department of Anthropology, University of California, Los Angeles, United States</t>
  </si>
  <si>
    <t>Ma M.D., Department of Computer Science, University of California, Los Angeles, United States; Wang X., Department of Computer Science, University of California, Los Angeles, United States; Kung P.-N., Department of Computer Science, University of California, Los Angeles, United States; Brantingham P.J., Department of Anthropology, University of California, Los Angeles, United States; Peng N., Department of Computer Science, University of California, Los Angeles, United States; Wang W., Department of Computer Science, University of California, Los Angeles, United States</t>
  </si>
  <si>
    <t>Information extraction tasks such as event extraction require an in-depth understanding of the output structure and sub-task dependencies. They heavily rely on task-specific training data in the form of (passage, target structure) pairs to obtain reasonable performance. However, obtaining such data through human annotation is costly, leading to a pressing need for low-resource information extraction approaches that require minimal human labeling for real-world applications. Fine-tuning supervised models with synthesized training data would be a generalizable method, but the existing data generation methods either still rely on large-scale ground-truth data or cannot be applied to complicated IE tasks due to their poor performance. To address these challenges, we propose STAR, a data generation method that leverages Large Language Models (LLMs) to synthesize data instances given limited seed demonstrations, thereby boosting low-resource information extraction performance. Our approach involves generating target structures (Y) followed by generating passages (X), all accomplished with the aid of LLMs. We design fine-grained step-by-step instructions to obtain the initial data instances. We further reduce errors and improve data quality through self-reflection error identification and self-refinement with iterative revision. Our experiments show that the data generated by STAR significantly improve the performance of low-resource event extraction and relation extraction tasks, even surpassing the effectiveness of human-curated data. Human assessment of the data quality shows STAR-generated data exhibit higher passage quality and better align with the task definitions compared with the human-curated data. ¬© 2024, Association for the Advancement of Artificial Intelligence (www.aaai.org). All rights reserved.</t>
  </si>
  <si>
    <t>Artificial intelligence; Computational linguistics; Data mining; Information retrieval; Stars; Data generation; Data quality; Events extractions; Generation method; Language model; Performance; Resource information; Target structure; Text data; Training data; Iterative methods</t>
  </si>
  <si>
    <t>UCLANLP; UCLA SCAI; Defense Advanced Research Projects Agency, DARPA, (HR00112290103); Defense Advanced Research Projects Agency, DARPA; Air Force Office of Scientific Research, AFOSR, (#FA9550-22-1-0380); Air Force Office of Scientific Research, AFOSR</t>
  </si>
  <si>
    <t>Utkarsh Lal and Michael M. Song made significant contributions to the quality verification section. Many thanks to lab members at UCLA SCAI and UCLANLP for their suggestions, and to the anonymous reviewers for their feedback. This effort was sponsored by the Defense Advanced Research Project Agency (DARPA) grant HR00112290103 and AFOSR MURI via grant #FA9550-22-1-0380.</t>
  </si>
  <si>
    <t>Cao Y., Pruksachatkun Y., Chang K.-W., Gupta R., Kumar V., Dhamala J., Galstyan A., On the Intrinsic and Extrinsic Fairness Evaluation Metrics for Contextualized Language Representations, Proceedings of the 60th Annual Meeting of the Association for Computational Linguistics (Volume 2: Short Papers), (2022); Chia Y. K., Bing L., Poria S., Si L., Relation-Prompt: Leveraging Prompts to Generate Synthetic Data for Zero-Shot Relation Triplet Extraction, Findings of the Association for Computational Linguistics: ACL 2022, (2022); Doddington G., Mitchell A., Przybocki M., Ramshaw L., Strassel S., Weischedel R., The Automatic Content Extraction (ACE) Program ‚Äì Tasks, Data, and Evaluation, Proceedings of the Fourth International Conference on Language Resources and Evaluation (LREC‚Äô04), (2004); Gao J., Zhao H., Yu C., Xu R., Exploring the Feasibility of ChatGPT for Event Extraction, (2023); Gao T., Fisch A., Chen D., Making Pre-trained Language Models Better Few-shot Learners, Proceedings of the 59th Annual Meeting of the Association for Computational Linguistics and the 11th International Joint Conference on Natural Language Processing (Volume 1: Long Papers), (2021); Han J., Zhao S., Cheng B., Ma S., Lu W., Generative Prompt Tuning for Relation Classification, (2022); Han R., Peng T., Yang C., Wang B., Liu L., Wan X., Is Information Extraction Solved by ChatGPT? An Analysis of Performance, Evaluation Criteria, Robustness and Errors, (2023); He X., Nassar I., Kiros J. R., Haffari G., Norouzi M., Generate, Annotate, and Learn: Generative Models Advance Self-Training and Knowledge Distillation, (2021); Hsu I.-H., Huang K.-H., Boschee E., Miller S., Natarajan P., Chang K.-W., Peng N., DEGREE: A Data-Efficient Generation-Based Event Extraction Model, Proceedings of the 2022 Conference of the North American Chapter of the Association for Computational Linguistics: Human Language Technologies, (2022); Huang L., Ji H., Cho K., Dagan I., Riedel S., Voss C., Zero-Shot Transfer Learning for Event Extraction, Proceedings of the 56th Annual Meeting of the Association for Computational Linguistics (Volume 1: Long Papers), (2018); Josifoski M., Sakota M., Peyrard M., West R., Exploiting Asymmetry for Synthetic Training Data Generation: SynthIE and the Case of Information Extraction, Proceedings of the 2023 Conference on Empirical Methods in Natural Language Processing, (2023); Kumar V., Choudhary A., Cho E., Data Augmentation Using Pre-trained Transformer Models, Proceedings of the 2nd Workshop on Life-long Learning for Spoken Language Systems, (2020); Lee K., Guu K., He L., Dozat T., Chung H. W., Neural data augmentation via example extrapolation, (2021); Lewis M., Liu Y., Goyal N., Ghazvininejad M., Mohamed A., Levy O., Stoyanov V., Zettlemoyer L., BART: Denoising Sequence-to-Sequence Pre-training for Natural Language Generation, Translation, and Comprehension, Proceedings of the 58th Annual Meeting of the Association for Computational Linguistics, (2020); Li B., Fang G., Yang Y., Wang Q., Ye W., Zhao W., Zhang S., Evaluating ChatGPT‚Äôs Information Extraction Capabilities: An Assessment of Performance, Explain-ability, Calibration, and Faithfulness, (2023); Li S., Ji H., Han J., Document-Level Event Argument Extraction by Conditional Generation, Proceedings of the 2021 Conference of the North American Chapter of the Association for Computational Linguistics: Human Language Technologies, (2021); Lin Y., Ji H., Huang F., Wu L., A Joint Neural Model for Information Extraction with Global Features, Proceedings of the 58th Annual Meeting of the Association for Computational Linguistics, (2020); Liu H., Sferrazza C., Abbeel P., Chain of Hindsight Aligns Language Models with Feedback, (2023); Liu Y., Ott M., Goyal N., Du J., Joshi M., Chen D., Levy O., Lewis M., Zettlemoyer L., Stoyanov V., RoBERTa: A Robustly Optimized BERT Pretraining Approach, (2019); Lu K., Hsu I.-H., Zhou W., Ma M. D., Chen M., Summarization as Indirect Supervision for Relation Extraction, Findings of the Association for Computational Linguistics: EMNLP 2022, (2022); Lu K., Hsu I.-H., Zhou W., Ma M. D., Chen M., Multi-hop Evidence Retrieval for Cross-document Relation Extraction, Findings of the Association for Computational Linguistics: ACL, 2023, pp. 10336-10351, (2023); Lu Y., Lin H., Xu J., Han X., Tang J., Li A., Sun L., Liao M., Chen S., Text2Event: Controllable Sequence-to-Structure Generation for End-to-end Event Extraction, Proceedings of the 59th Annual Meeting of the Association for Computational Linguistics and the 11th International Joint Conference on Natural Language Processing (Volume 1: Long Papers), (2021); Lyu Q., Zhang H., Sulem E., Roth D., Zero-Shot Event Extraction via Transfer Learning: Challenges and Insights, Proceedings of the 59th Annual Meeting of the Association for Computational Linguistics and the 11th International Joint Conference on Natural Language Processing (Volume 2: Short Papers), (2021); Ma M. D., Chen M., Wu T.-L., Peng N., HyperExpan: Taxonomy Expansion with Hyperbolic Representation Learning, Findings of the Association for Computational Linguistics: EMNLP 2021, (2021); Ma M. D., Kao J.-Y., Gao S., Gupta A., Jin D., Chung T., Peng N., Parameter-Efficient Low-Resource Dialogue State Tracking by Prompt Tuning, Proc. Inter-speech 2023, (2023); Ma M. D., Kao J.-Y., Gupta A., Lin Y.-H., Zhao W., Chung T., Wang W., Chang K.-W., Peng N., Mitigating Bias for Question Answering Models by Tracking Bias Influence, (2023); Ma M. D., Sun J., Yang M., Huang K.-H., Wen N., Singh S., Han R., Peng N., EventPlus: A Temporal Event Understanding Pipeline, Proceedings of the 2021 Conference of the North American Chapter of the Association for Computational Linguistics: Human Language Technologies: Demonstrations, (2021); Ma M. D., Taylor A., Wang W., Peng N., DICE: Data-Efficient Clinical Event Extraction with Generative Models, Proceedings of the 61st Annual Meeting of the Association for Computational Linguistics (Volume 1: Long Papers), (2023); Madaan A., Tandon N., Gupta P., Hallinan S., Gao L., Wiegreffe S., Alon U., Dziri N., Prabhumoye S., Yang Y., Welleck S., Majumder B. P., Gupta S., Yazdanbakhsh A., Clark P., Self-Refine: Iterative Refinement with Self-Feedback, (2023); Meng Y., Huang J., Zhang Y., Han J., Generating Training Data with Language Models: Towards Zero-Shot Language Understanding, (2022); GPT-4 technical report, (2023); Sainz O., Gonzalez-Dios I., Lopez de Lacalle O., Min B., Agirre E., Textual Entailment for Event Argument Extraction: Zero- and Few-Shot with Multi-Source Learning, Findings of the Association for Computational Linguistics: NAACL 2022, (2022); Schick T., Schutze H., Generating Datasets with Pretrained Language Models, Proceedings of the 2021 Conference on Empirical Methods in Natural Language Processing, (2021); Tang R., Han X., Jiang X., Hu X., Does Synthetic Data Generation of LLMs Help Clinical Text Mining?, (2023); Tong M., Xu B., Wang S., Han M., Cao Y., Zhu J., Chen S., Hou L., Li J., DocEE: A Large-Scale and Fine-grained Benchmark for Document-level Event Extraction, Proceedings of the 2022 Conference of the North American Chapter of the Association for Computational Linguistics: Human Language Technologies, (2022); Wang X., Li S., Ji H., Code4Struct: Code Generation for Few-Shot Event Structure Prediction, Proceedings of the 61st Annual Meeting of the Association for Computational Linguistics (Volume 1: Long Papers), (2023); Wang Y., Kordi Y., Mishra S., Liu A., Smith N. A., Khashabi D., Hajishirzi H., Self-Instruct: Aligning Language Models with Self-Generated Instructions, Proceedings of the 61st Annual Meeting of the Association for Computational Linguistics (Volume 1: Long Papers), (2023); Williams A., Nangia N., Bowman S., A Broad-Coverage Challenge Corpus for Sentence Understanding through Inference, Proceedings of the 2018 Conference of the North American Chapter of the Association for Computational Linguistics: Human Language Technologies, 1, (2018); Xu J., Ma M. D., Chen M., Can NLI Provide Proper Indirect Supervision for Low-resource Biomedical Relation Extraction?, Proceedings of the 61st Annual Meeting of the Association for Computational Linguistics (Volume 1: Long Papers), (2023); Xu J., Ma M. D., Wang F., Xiao C., Chen M., Instructions as Backdoors: Backdoor Vulnerabilities of Instruction Tuning for Large Language Models, (2023); Yamada I., Asai A., Shindo H., Takeda H., Matsumoto Y., LUKE: Deep Contextualized Entity Representations with Entity-aware Self-attention, Proceedings of the 2020 Conference on Empirical Methods in Natural Language Processing (EMNLP), (2020); Ye J., Gao J., Li Q., Xu H., Feng J., Wu Z., Yu T., Kong L., ZeroGen: Efficient Zero-shot Learning via Dataset Generation, (2022); Zhang H., Wang H., Roth D., Zero-Shot Label-Aware Event Trigger and Argument Classification, Findings of the Association for Computational Linguistics: ACLIJCNLP 2021, (2021); Zhang J., Zhao Y., Saleh M., Liu P., Pegasus: Pre-training with extracted gap-sentences for abstractive summarization, International Conference on Machine Learning, pp. 11328-11339, (2020); Zhang Y., Zhong V., Chen D., Angeli G., Manning C. D., Position-Aware Attention and Supervised Data Improve Slot Filling, Proceedings of the 2017 Conference on Empirical Methods in Natural Language Processing, (2017); Zhao J., Wang T., Yatskar M., Ordonez V., Chang K.-W., Gender Bias in Coreference Resolution: Evaluation and Debiasing Methods, Proceedings of the 2018 Conference of the North American Chapter of the Association for Computational Linguistics: Human Language Technologies, 2, (2018); Zhou Y., Kaneko M., Bollegala D., Sense Embeddings are also Biased ‚Äì Evaluating Social Biases in Static and Contextualised Sense Embeddings, Proceedings of the 60th Annual Meeting of the Association for Computational Linguistics (Volume 1: Long Papers), (2022)</t>
  </si>
  <si>
    <t>2-s2.0-85188022924</t>
  </si>
  <si>
    <t>Hu X.; Liu A.; Tan Z.; Zhang X.; Zhang C.; King I.; Yu P.S.</t>
  </si>
  <si>
    <t>Hu, Xuming (57219742451); Liu, Aiwei (57746750500); Tan, Zeqi (57224483658); Zhang, Xin (57224985590); Zhang, Chenwei (57095203500); King, Irwin (7102275781); Yu, Philip S. (7402366049)</t>
  </si>
  <si>
    <t>57219742451; 57746750500; 57224483658; 57224985590; 57095203500; 7102275781; 7402366049</t>
  </si>
  <si>
    <t>GDA: Generative Data Augmentation Techniques for Relation Extraction Tasks</t>
  </si>
  <si>
    <t>10221.0</t>
  </si>
  <si>
    <t>10234.0</t>
  </si>
  <si>
    <t>https://www.scopus.com/inward/record.uri?eid=2-s2.0-85175437486&amp;partnerID=40&amp;md5=d0a5a0dc7bbc7bab6a3d38f5e3872f7e</t>
  </si>
  <si>
    <t>Tsinghua University, China; Zhejiang University, China; Harbin Institute of Technology, Shenzhen, China; Amazon; The Chinese University of Hong Kong, Hong Kong; University of Illinois, Chicago, United States</t>
  </si>
  <si>
    <t>Hu X., Tsinghua University, China; Liu A., Tsinghua University, China; Tan Z., Zhejiang University, China; Zhang X., Harbin Institute of Technology, Shenzhen, China; Zhang C., Amazon; King I., The Chinese University of Hong Kong, Hong Kong; Yu P.S., Tsinghua University, China, University of Illinois, Chicago, United States</t>
  </si>
  <si>
    <t>Relation extraction (RE) tasks show promising performance in extracting relations from two entities mentioned in sentences, given sufficient annotations available during training. Such annotations would be labor-intensive to obtain in practice. Existing work adopts data augmentation techniques to generate pseudo-annotated sentences beyond limited annotations. These techniques neither preserve the semantic consistency of the original sentences when rule-based augmentations are adopted, nor preserve the syntax structure of sentences when expressing relations using seq2seq models, resulting in less diverse augmentations. In this work, we propose a dedicated augmentation technique for relational texts, named GDA, which uses two complementary modules to preserve both semantic consistency and syntax structures. We adopt a generative formulation and design a multi-tasking solution to achieve synergies. Furthermore, GDA adopts entity hints as the prior knowledge of the generative model to augment diverse sentences. Experimental results in three datasets under a low-resource setting showed that GDA could bring 2.0% F1 improvements compared with no augmentation technique. Source code and data are available. ¬© 2023 Association for Computational Linguistics.</t>
  </si>
  <si>
    <t>Computational linguistics; Extraction; Semantics; Augmentation techniques; Data augmentation; Labour-intensive; Multi tasking; Performance; Prior-knowledge; Relation extraction; Rule based; Semantic consistency; Syntax structure; Syntactics</t>
  </si>
  <si>
    <t>RGC, (2151185); National Science Foundation, NSF, (III-1763325, III-1909323, III-2106758, SaTC-1930941); Research Grants Council, University Grants Committee, Á†îÁ©∂Ë≥áÂä©Â±Ä; Chinese University of Hong Kong, CUHK, (14222922); National Key Research and Development Program of China, NKRDPC, (2018AAA0100204)</t>
  </si>
  <si>
    <t>We thank the reviewers for their valuable comments. The work described here was partially supported by grants from the National Key Research and Development Program of China (No. 2018AAA0100204) and from the Research Grants Council of the Hong Kong Special Administrative Region, China (CUHK 14222922, RGC GRF, No. 2151185), NSF under grants III-1763325, III-1909323, III-2106758, and SaTC-1930941.</t>
  </si>
  <si>
    <t>Alt Christoph, Gabryszak Aleksandra, Hennig Leonhard, Tacred revisited: A thorough evaluation of the tacred relation extraction task, Proc. of ACL, pp. 1558-1569, (2020); Anaby-Tavor Ateret, Carmeli Boaz, Goldbraich Esther, Kantor Amir, Kour George, Shlomov Segev, Tepper Naama, Zwerdling Naama, Do not have enough data? deep learning to the rescue!, Proc. of AAAI, 34, pp. 7383-7390, (2020); Battaglia Peter W, Hamrick Jessica B, Bapst Victor, Sanchez-Gonzalez Alvaro, Zambaldi Vinicius, Malinowski Mateusz, Tacchetti Andrea, Raposo David, Santoro Adam, Faulkner Ryan, Et al., Relational inductive biases, deep learning, and graph networks, (2018); Bayer Markus, Kaufhold Marc-Andre, Buchhold Bjorn, Keller Marcel, Dallmeyer Jorg, Reuter Christian, Data augmentation in natural language processing: a novel text generation approach for long and short text classifiers, International Journal of Machine Learning and Cybernetics, pp. 1-16, (2022); Cai Hengyi, Chen Hongshen, Song Yonghao, Zhang Cheng, Zhao Xiaofang, Yin Dawei, Data manipulation: Towards effective instance learning for neural dialogue generation via learning to augment and reweight, Proc. of ACL, pp. 6334-6343, (2020); Chen Danqi, Manning Christopher D, A fast and accurate dependency parser using neural networks, Proc. of EMNLP, pp. 740-750, (2014); Chen Hannah, Ji Yangfeng, Evans David K, Finding friends and flipping frenemies: Automatic paraphrase dataset augmentation using graph theory, Proc. of EMNLP: Findings, pp. 4741-4751, (2020); Chen Jiaao, Yang Zichao, Yang Diyi, Mix-text: Linguistically-informed interpolation of hidden space for semi-supervised text classification, Proc. of ACL, pp. 2147-2157, (2020); Dong Li, Mallinson Jonathan, Reddy Siva, Lapata Mirella, Learning to paraphrase for question answering, Proc. of EMNLP, pp. 875-886, (2017); Feng Steven Y, Gangal Varun, Wei Jason, Chandar Sarath, Vosoughi Soroush, Mitamura Teruko, Hovy Eduard, A survey of data augmentation approaches for nlp, Proc. of ACL-IJCNLP: Findings, pp. 968-988, (2021); Gangal Varun, Feng Steven Y, Alikhani Malihe, Mitamura Teruko, Hovy Eduard, Nareor: The narrative reordering problem, (2021); Gao Fei, Zhu Jinhua, Wu Lijun, Xia Yingce, Qin Tao, Cheng Xueqi, Zhou Wengang, Liu Tie-Yan, Soft contextual data augmentation for neural machine translation, Proc. of ACL, pp. 5539-5544, (2019); Guo Demi, Kim Yoon, Rush Alexander M, Sequence-level mixed sample data augmentation, Proc. of EMNLP, pp. 5547-5552, (2020); Hendrickx Iris, Kim Su Nam, Kozareva Zornitsa, Nakov Preslav, Seaghdha Diarmuid O, Pado Sebastian, Pennacchiotti Marco, Romano Lorenza, Szpakowicz Stan, Semeval-2010 task 8: Multiway classification of semantic relations between pairs of nominals, Proc. of SemEval, pp. 33-38, (2010); Hou Yutai, Liu Yijia, Che Wanxiang, Liu Ting, Sequence-to-sequence data augmentation for dialogue language understanding, Proc. of COL-ING, pp. 1234-1245, (2018); Hu Xuming, Hong Zhaochen, Zhang Chenwei, King Irwin, Yu Philip S, Think rationally about what you see: Continuous rationale extraction for relation extraction, (2023); Hu Xuming, Wen Lijie, Xu Yusong, Zhang Chenwei, Yu Philip S., Selfore: Self-supervised relational feature learning for open relation extraction, Proc. of EMNLP, pp. 3673-3682, (2020); Hu Xuming, Zhang Chenwei, Ma Fukun, Liu Chenyao, Wen Lijie, Yu Philip S., Semi-supervised relation extraction via incremental meta self-training, Findings of EMNLP, pp. 487-496, (2021); Hu Xuming, Zhang Chenwei, Yang Yawen, Li Xiaohe, Lin Li, Wen Lijie, Yu Philip S., Gradient imitation reinforcement learning for low resource relation extraction, Proc. of EMNLP, pp. 2737-2746, (2021); Huang Kuan-Hao, Chang Kai-Wei, Generating syntactically controlled paraphrases without using annotated parallel pairs, Proc. of EACL, pp. 1022-1033, (2021); Jin Chang, Qiu Shigui, Xiao Nini, Jia Hao, Admix: A mixed sample data augmentation method for neural machine translation, Proc. of IJCAI, pp. 4171-4177, (2022); Kaushik Divyansh, Hovy Eduard, Lipton Zachary, Learning the difference that makes a difference with counterfactually-augmented data, ICLR, (2019); Kaushik Divyansh, Setlur Amrith, Hovy Eduard H, Lipton Zachary Chase, Explaining the efficacy of counterfactually augmented data, ICLR, (2020); Kobayashi Sosuke, Contextual augmentation: Data augmentation by words with paradigmatic relations, Proc. of NAACL-HLT, pp. 452-457, (2018); Kumar Ashutosh, Ahuja Kabir, Vadapalli Raghuram, Talukdar Partha, Syntax-guided controlled generation of paraphrases, TACL, 8, pp. 329-345, (2020); Lee Kenton, Guu Kelvin, He Luheng, Dozat Tim, Chung Hyung Won, Neural data augmentation via example extrapolation, (2021); Li Bohan, Hou Yutai, Che Wanxiang, Data augmentation approaches in natural language processing: A survey, AI Open, (2022); 'ang Li Shu, Hu Xuming, Lin Li, Liu Aiwei, Wen Lijie, Yu Philip S., A multi-level supervised contrastive learning framework for low-resource natural language inference, IEEE/ACM Transactions on Audio, Speech, and Language Processing, 31, pp. 1771-1783, (2023); 'ang Li Shu, Hu Xuming, Lin Li, Wen Lijie, Pair-level supervised contrastive learning for natural language inference, (2022); Liu Aiwei, Hu Xuming, Lin Li, Wen Lijie, Semantic enhanced text-to-sql parsing via iteratively learning schema linking graph, Proc. of KDD, pp. 1021-1030, (2022); Liu Aiwei, Hu Xuming, Wen Lijie, Yu Philip S, A comprehensive evaluation of chatgpt's zero-shot text-to-sql capability, (2023); Liu Shuliang, Hu Xuming, Zhang Chenwei, 'ang Li Shu, Wen Lijie, Yu Philip S., Hiure: Hierarchical exemplar contrastive learning for unsupervised relation extraction, Proc. of NAACL-HLT, pp. 5970-5980, (2022); Lu Keming, Hsu I, Zhou Wenxuan, Ma Mingyu Derek, Chen Muhao, Et al., Summarization as indirect supervision for relation extraction, Proc. of EMNLP., (2022); Min Junghyun, Thomas McCoy R, Das Dipanjan, Pitler Emily, Linzen Tal, Syntactic data augmentation increases robustness to inference heuristics, Proc. of ACL, pp. 2339-2352, (2020); Papanikolaou Yannis, Pierleoni Andrea, Dare: Data augmented relation extraction with gpt-2, (2020); Peng Hao, Gao Tianyu, Han Xu, Lin Yankai, Li Peng, Liu Zhiyuan, Sun Maosong, Zhou Jie, Learning from context or names? an empirical study on neural relation extraction, Proc. of EMNLP, pp. 3661-3672, (2020); Radford Alec, Wu Jeffrey, Child Rewon, Luan David, Amodei Dario, Sutskever Ilya, Et al., Language models are unsupervised multitask learners, (2019); Raffel Colin, Shazeer Noam, Roberts Adam, Lee Katherine, Narang Sharan, Matena Michael, Zhou Yanqi, Li Wei, Liu Peter J, Exploring the limits of transfer learning with a unified text-to-text transformer, Journal of Machine Learning Research, 21, pp. 1-67, (2020); Ratner Alexander J, Ehrenberg Henry, Hussain Zeshan, Dunnmon Jared, Re Christopher, Learning to compose domain-specific transformations for data augmentation, NeurIPS, (2017); Ren Shuhuai, Zhang Jinchao, Li Lei, Sun Xu, Zhou Jie, Text autoaugment: Learning compositional augmentation policy for text classification, Proc. of EMNLP, pp. 9029-9043, (2021); Sahin Gozde Gul, Steedman Mark, Data augmentation via dependency tree morphing for low-resource languages, Proc. of EMNLP, pp. 5004-5009, (2018); Sennrich Rico, Haddow Barry, Birch Alexandra, Improving neural machine translation models with monolingual data, Proc. of ACL, pp. 86-96, (2016); Soares Livio Baldini, FitzGerald Nicholas, Ling Jeffrey, Kwiatkowski Tom, Matching the blanks: Distributional similarity for relation learning, Proc. of ACL, pp. 2895-2905, (2019); Sun Kai, Zhang Richong, Mensah Samuel, Mao Yongyi, Liu Xudong, Progressive multitask learning with controlled information flow for joint entity and relation extraction, Proc. of AAAI., (2021); Tian Yuanhe, Song Yan, Xia Fei, Improving relation extraction through syntax-induced pretraining with dependency masking, Proc. of ACL: Findings, pp. 1875-1886, (2022); Tweedie Fiona J, Harald Baayen R, How variable may a constant be? measures of lexical richness in perspective, Computers and the Humanities, 32, 5, pp. 323-352, (1998); Van Der Maaten Laurens, Accelerating t-sne using tree-based algorithms, The journal of machine learning research, 15, 1, pp. 3221-3245, (2014); Wang Chao, Collins Michael, Koehn Philipp, Chinese syntactic reordering for statistical machine translation, Proc. of EMNLP-CoNLL, pp. 737-745, (2007); Wang Xinyi, Pham Hieu, Dai Zihang, Neubig Graham, Switchout: an efficient data augmentation algorithm for neural machine translation, Proc. of EMNLP, pp. 856-861, (2018); Wei Jason, Zou Kai, Eda: Easy data augmentation techniques for boosting performance on text classification tasks, Proc. of EMNLP-IJCNLP, pp. 6382-6388, (2019); Xia Mengzhou, Kong Xiang, Anastasopoulos Antonios, Neubig Graham, Generalized data augmentation for low-resource translation, Proc. of ACL, pp. 5786-5796, (2019); Yu Adams Wei, Dohan David, Luong Minh-Thang, Zhao Rui, Chen Kai, Norouzi Mohammad, Le Quoc V, Qanet: Combining local convolution with global self-attention for reading comprehension, ICLR, (2018); Yujian Li, Bo Liu, A normalized levenshtein distance metric, IEEE TPAMI, 29, 6, pp. 1091-1095, (2007)</t>
  </si>
  <si>
    <t>C. Zhang; Amazon; email: cwzhang@amazon.com</t>
  </si>
  <si>
    <t>2-s2.0-85175437486</t>
  </si>
  <si>
    <t>Steinigen D.; Namysl M.; Hepperle M.; Krekeler J.; Landgraf S.</t>
  </si>
  <si>
    <t>Steinigen, Daniel (58534327900); Namysl, Marcin (57215085042); Hepperle, Markus (58535229200); Krekeler, Jan (58534862100); Landgraf, Susanne (58534687200)</t>
  </si>
  <si>
    <t>58534327900; 57215085042; 58535229200; 58534862100; 58534687200</t>
  </si>
  <si>
    <t>Semantic Extraction of Key Figures and Their Properties From Tax Legal Texts Using Neural Models</t>
  </si>
  <si>
    <t>60.0</t>
  </si>
  <si>
    <t>71.0</t>
  </si>
  <si>
    <t>https://www.scopus.com/inward/record.uri?eid=2-s2.0-85167811405&amp;partnerID=40&amp;md5=652decb6ef770251a2249e556e05c520</t>
  </si>
  <si>
    <t>Fraunhofer Institute for Intelligent Analysis and Information Systems IAIS, Schloss Birlinghoven 1, Sankt Augustin, 53757, Germany; Bucerius Law School, Jungiusstra√üe 6, Hamburg, 20355, Germany; Federal Ministry of Finance, Wilhelmstra√üe 97, Berlin, 10117, Germany</t>
  </si>
  <si>
    <t>Steinigen D., Fraunhofer Institute for Intelligent Analysis and Information Systems IAIS, Schloss Birlinghoven 1, Sankt Augustin, 53757, Germany; Namysl M.; Hepperle M., Bucerius Law School, Jungiusstra√üe 6, Hamburg, 20355, Germany; Krekeler J., Bucerius Law School, Jungiusstra√üe 6, Hamburg, 20355, Germany; Landgraf S., Federal Ministry of Finance, Wilhelmstra√üe 97, Berlin, 10117, Germany</t>
  </si>
  <si>
    <t>Applying information extraction to legislative texts is a challenging task that requires a specification to distinguish the relevant parts from the less relevant parts of the text. Moreover, there is still a lack of appropriate language- and domain-specific data in the field of information extraction. This work investigates the extraction and modeling of key figures from legal texts. We introduce a universally applicable annotation scheme together with a semantic model for key figures and their logically connected properties in legal texts. Moreover, we release KeyFiTax, a dataset with key figures based on paragraphs of German tax acts manually annotated by tax experts together with a knowledge graph populated from these paragraphs based on our semantic model. Using our dataset, we also evaluate and compare state-of-the-art entity extraction models in terms of long entity spans and low-resource data. Furthermore, we present a transformer-based approach for relation extraction using entity markers to obtain a logical formulation of the key figures. Finally, we introduce task triggers for training a combined resource-efficient entity and relation extraction model. We make our dataset together with the semantic model and the knowledge graph, as well as the implementation of the entity and relation extraction approaches investigated in this work public. ¬© 2023 Copyright for this paper by its authors. Use permitted under Creative Commons License Attribution 4.0 International (CC BY 4.0).</t>
  </si>
  <si>
    <t>entity extraction; German datasets; information extraction; knowledge graphs; language models; legal texts; ontologies; relation extraction; tax key figures; transformers</t>
  </si>
  <si>
    <t>Information retrieval; Knowledge graph; Semantics; Entity extractions; German dataset; Information extraction; Key figures; Knowledge graphs; Language model; Legal texts; Ontology's; Relation extraction; Tax key figure; Transformer; Taxation</t>
  </si>
  <si>
    <t>German Federal Ministry of Finance</t>
  </si>
  <si>
    <t>The authors acknowledge the financial support by the German Federal Ministry of Finance in the project "KISS -KI-gest√ºtztes System zur Steueranalyse".</t>
  </si>
  <si>
    <t>Namysl Marcin, Robust Information Extraction From Unstructured Documents, (2023); Chalkidis I., Fergadiotis M., Malakasiotis P., Aletras N., Androutsopoulos I., LEGAL-BERT: The muppets straight out of law school, Findings of the Association for Computational Linguistics: EMNLP 2020, pp. 2898-2904, (2020); Palmirani M., Governatori G., Rotolo A., Tabet S., Boley H., Paschke A., Legalruleml: Xml-based rules and norms, RuleML America, 7018, pp. 298-312, (2011); Moreno Schneider J., Rehm G., Montiel-Ponsoda E., Rodriguez-Doncel V., Martin-Chozas P., Navas-Loro M., Kaltenbock M., Revenko A., Karampatakis S., Sageder C., Gracia J., Maganza F., Kernerman I., Lonke D., Lynx: A knowledge-based ai service platform for content processing, enrichment and analysis for the legal domain, Information Systems, 106, (2022); Holzenberger N., Durme B. V., Factoring statutory reasoning as language understanding challenges, Proceedings of the 59th Annual Meeting of the Association for Computational Linguistics and the 11th International Joint Conference on Natural Language Processing, ACL/IJCNLP 2021, (Volume 1: Long Papers), Virtual Event, August 1-6, 2021, Association for Computational Linguistics, pp. 2742-2758; Klie J.-C., Bugert M., Boullosa B., de Castilho R. E., Gurevych I., The inception platform: Machine-assisted and knowledge-oriented interactive annotation, Proceedings of the 27th International Conference on Computational Linguistics: System Demonstrations, pp. 5-9, (2018); Vaswani A., Shazeer N., Parmar N., Uszkoreit J., Jones L., Gomez A. N., Kaiser L., Polosukhin I., Attention is all you need, Advances in neural information processing systems, 30, (2017); Chan B., Schweter S., Moller T., German's next language model, Proceedings of the 28th International Conference on Computational Linguistics, International Committee on Computational Linguistics, pp. 6788-6796, (2020); Ostendorff M., Blume T., Ostendorff S., Towards an open platform for legal information, Proceedings of the ACM/IEEE Joint Conference on Digital Libraries in 2020, JCDL'20, pp. 385-388, (2020); Conneau A., Khandelwal K., Goyal N., Chaudhary V., Wenzek G., Guzman F., Grave E., Ott M., Zettlemoyer L., Stoyanov V., Unsupervised cross-lingual representation learning at scale, Proceedings of the 58th Annual Meeting of the Association for Computational Linguistics, pp. 8440-8451, (2020); Beltagy I., Peters M. E., Cohan A., Longformer: The long-document transformer, (2020); Sagen M., Large-Context Question Answering with Cross-Lingual Transfer, (2021); Zhou W., Chen M., An improved baseline for sentence-level relation extraction, Proceedings of the 2nd Conference of the Asia-Pacific Chapter of the Association for Computational Linguistics and the 12th International Joint Conference on Natural Language Processing (Volume 2: Short Papers), pp. 161-168, (2022); Chalkidis I., Androutsopoulos I., Michos A., Extracting contract elements, Proceedings of the 16th Edition of the International Conference on Articial Intelligence and Law, ICAIL'17, pp. 19-28, (2017); Chalkidis I., Fergadiotis E., Malakasiotis P., Androutsopoulos I., Large-scale multi-label text classification on EU legislation, Proceedings of the 57th Annual Meeting of the Association for Computational Linguistics, pp. 6314-6322, (2019); Leitner E., Rehm G., Moreno-Schneider J., A dataset of German legal documents for named entity recognition, Proceedings of the 12th Language Resources and Evaluation Conference, pp. 4478-4485, (2020); Glaser I., Moser S., Matthes F., Summarization of German court rulings, Proceedings of the Natural Legal Language Processing Workshop 2021, pp. 180-189, (2021); Wrzalik M., Krechel D., GerDaLIR: A German dataset for legal information retrieval, Proceedings of the Natural Legal Language Processing Workshop 2021, pp. 123-128, (2021); Chalkidis I., Pasini T., Zhang S., Tomada L., Schwemer S., Sogaard A., FairLex: A multilingual benchmark for evaluating fairness in legal text processing, Proceedings of the 60th Annual Meeting of the Association for Computational Linguistics (Volume 1: Long Papers), pp. 4389-4406, (2022); Waltl B., Bonczek G., Scepankova E., Matthes F., Semantic types of legal norms in german laws: classification and analysis using local linear explanations, Artificial Intelligence and Law, 27, pp. 43-71, (2019); Dozier C., Kondadadi R., Light M., Vachher A., Veeramachaneni S., Wudali R., Named Entity Recognition and Resolution in Legal Text, pp. 27-43, (2010); Glaser I., Waltl B., Matthes F., Named entity recognition, extraction, and linking in german legal contracts, IRIS: Internationales Rechtsinformatik Symposium, pp. 325-334, (2018); Chalkidis I., Fergadiotis M., Malakasiotis P., Androutsopoulos I., Neural contract element extraction revisited, Workshop on Document Intelligence at NeurIPS 2019, (2019); Lee J., Yoon W., Kim S., Kim D., Kim S., So C. H., Kang J., BioBERT: a pre-trained biomedical language representation model for biomedical text mining, Bioinformatics, 36, pp. 1234-1240, (2019); Beltagy I., Lo K., Cohan A., SciBERT: A pretrained language model for scientific text, Proceedings of the 2019 Conference on Empirical Methods in Natural Language Processing and the 9th International Joint Conference on Natural Language Processing (EMNLP-IJCNLP), pp. 3615-3620, (2019); Devlin J., Chang M.-W., Lee K., Toutanova K., BERT: Pre-training of deep bidirectional transformers for language understanding, Proceedings of the 2019 Conference of the North American Chapter of the Association for Computational Linguistics: Human Language Technologies, Volume 1 (Long and Short Papers), pp. 4171-4186, (2019); Andrew J. J., Automatic extraction of entities and relation from legal documents, Proceedings of the Seventh Named Entities Workshop, pp. 1-8, (2018); Chen Y., Sun Y., Yang Z., Lin H., Joint entity and relation extraction for legal documents with legal feature enhancement, Proceedings of the 28th International Conference on Computational Linguistics, International Committee on Computational Linguistics, pp. 1561-1571, (2020); Hong J., Chong D., Manning C., Learning from limited labels for long legal dialogue, Proceedings of the Natural Legal Language Processing Workshop 2021, pp. 190-204, (2021); Cardellino C., Teruel M., Alemany L. A., Villata S., A low-cost, high-coverage legal named entity recognizer, classifier and linker, Proceedings of the 16th Edition of the International Conference on Articial Intelligence and Law, ICAIL'17, pp. 9-18, (2017); Ludemann N., Shiba A., Thymianis N., Heist N., Ludwig C., Paulheim H., A knowledge graph for assessing agressive tax planning strategies, The Semantic Web - ISWC 2020, pp. 395-410, (2020)</t>
  </si>
  <si>
    <t>D. Steinigen; Fraunhofer Institute for Intelligent Analysis and Information Systems IAIS, Sankt Augustin, Schloss Birlinghoven 1, 53757, Germany; email: Daniel.Steinigen@iais.fraunhofer.de</t>
  </si>
  <si>
    <t>Lagioia F.; Mumford J.; Odekerken D.; Westermann H.</t>
  </si>
  <si>
    <t>6th Workshop on Automated Semantic Analysis of Information in Legal Text, ASAIL 2023</t>
  </si>
  <si>
    <t>Braga</t>
  </si>
  <si>
    <t>190694.0</t>
  </si>
  <si>
    <t>2-s2.0-85167811405</t>
  </si>
  <si>
    <t>He X.; Li S.; Zhang Y.; Li B.; Xu S.; Zhou Y.</t>
  </si>
  <si>
    <t>He, Xinyu (57194717374); Li, Shixin (58523150600); Zhang, Yuning (59316867300); Li, Binhe (59316867400); Xu, Sifan (59316722900); Zhou, Yuqing (59317006800)</t>
  </si>
  <si>
    <t>57194717374; 58523150600; 59316867300; 59316867400; 59316722900; 59317006800</t>
  </si>
  <si>
    <t>The more quality information the better: Hierarchical generation of multi-evidence alignment and fusion model for multimodal entity and relation extraction</t>
  </si>
  <si>
    <t>Information Processing and Management</t>
  </si>
  <si>
    <t>10.1016/j.ipm.2024.103875</t>
  </si>
  <si>
    <t>https://www.scopus.com/inward/record.uri?eid=2-s2.0-85203237206&amp;doi=10.1016%2fj.ipm.2024.103875&amp;partnerID=40&amp;md5=352702195b29749c3412b9b45db235fc</t>
  </si>
  <si>
    <t>School of Computer and Artificial Intelligence, Liaoning Normal University, Dalian, China</t>
  </si>
  <si>
    <t>He X., School of Computer and Artificial Intelligence, Liaoning Normal University, Dalian, China; Li S., School of Computer and Artificial Intelligence, Liaoning Normal University, Dalian, China; Zhang Y., School of Computer and Artificial Intelligence, Liaoning Normal University, Dalian, China; Li B., School of Computer and Artificial Intelligence, Liaoning Normal University, Dalian, China; Xu S., School of Computer and Artificial Intelligence, Liaoning Normal University, Dalian, China; Zhou Y., School of Computer and Artificial Intelligence, Liaoning Normal University, Dalian, China</t>
  </si>
  <si>
    <t>Multimodal Entity and Relation Extraction (MERE) encompasses tasks, including Multimodal Named Entity Recognition (MNER) and Multimodal Relation Extraction (MRE), aiming to extract valuable information from environments rich in multimodal data. Currently, many research endeavors face various challenges, including the insufficient utilization of emotional information in multimodal data, mismatches between textual and visual content, ambiguous meanings, and difficulties achieving precise alignment across different semantic levels. To address these issues, we propose the Hierarchical Generation of Multi Evidence Alignment Fusion Model for Multimodal Entity and Relation Extraction (HGMAF). This model comprises a hierarchical diffusion semantic generation stage and a multi-evidence alignment fusion module. Initially, we designed different prompt templates for the original text, using the Large Language Model (LLM) to generate corresponding hierarchical textual content. Subsequently, the generated hierarchical content is diffused to obtain images with rich hierarchical semantic information. This stage contributes to enhancing the model's understanding of hierarchical information in the original content. Following this, we design the multi-evidence alignment fusion module, which combines the generated textual and image evidence, fully leveraging information from different sources to improve extraction accuracy. Experimental results demonstrate that our model achieves F1 scores of 76.29 %, 87.66 %, and 87.34 % on the Twitter2015, Twitter2017, and MNRE datasets, respectively. These results surpass the previous state-of-the-art models by 0.29 %, 0.1 %, and 2.77 %. Furthermore, our model demonstrates superior performance in low-resource scenarios, confirming its effectiveness. The related code can be found at https://github.com/lsx314/HGMAF. ¬© 2024 Elsevier Ltd</t>
  </si>
  <si>
    <t>Hierarchical generation; LLM; Multi-evidence fusion; Multimodal entity and relation extraction</t>
  </si>
  <si>
    <t>Entity extractions; Evidence fusion; Fusion model; Hierarchical generation; Language model; Large language model; Multi-evidence fusion; Multi-modal; Multimodal entity and relation extraction; Relation extraction</t>
  </si>
  <si>
    <t>Liaoning Province General Higher Education Undergraduate Teaching Reform Research Project; Special funding for basic scientific research business expenses of undergraduate universities in Liaoning Province; Anqing Normal University, (LSJG202210); Anqing Normal University; Liaoning Education Office, (2022, 166); Postdoctoral Research Foundation of China, (2022M710593); Postdoctoral Research Foundation of China; National Natural Science Foundation of China, NSFC, (62006108); National Natural Science Foundation of China, NSFC</t>
  </si>
  <si>
    <t>This work is supported by the National Science Foundation of China (No. 62006108), Postdoctoral Research Foundation of China (No. 2022M710593), Liaoning Province General Higher Education Undergraduate Teaching Reform Research Project (Liaoning Education Office [2022] No. 166), Liaoning Normal University Undergraduate Teaching Reform Research and Practice Project (No. LSJG202210), Special funding for basic scientific research business expenses of undergraduate universities in Liaoning Province (2024).</t>
  </si>
  <si>
    <t>Chen F., Feng Y., Chain-of-Thought Prompt Distillation for Multimodal Named Entity Recognition and Multimodal Relation.URL; Chen X., Zhang N., Li L., Deng S., Tan C., Xu C., Chen H., (2022); Chen X., Zhang N., Li L., Yao Y., Deng S., Tan C., Chen H., (2022); Dai Y., Gao F., Zeng D.; Devlin J., Chang M.W., Lee K., Toutanova K., (2018); He K., Zhang X., Ren S., Sun J., (2016); Hinton G.E., Roweis S., (2002); Hu X., Chen J., Liu A., Meng S., Wen L., Yu P.S., (2023); Lafferty J., McCallum A., Pereira F., (2001); Moon S., Neves L., Carvalho V., (2018); Lample G., Ballesteros M., Subramanian S., Kawakami K., Dyer C., Neural architectures for named entity recognition.URL; Li J., Li H., Pan Z., Sun D., Wang J., Zhang W., Pan G., Prompting chatgpt in MNER: enhanced multimodal named entity recognition with auxiliary refined knowledge, The 2023 Conference on Empirical Methods in Natural Language Processing.URL, (2023); Li L.H., Yatskar M., Yin D., Hsieh C.J., Chang K.W., (2019); Liu P., Wang G., Li H., Liu J., Ren Y., Zhu H., Sun L., (2024); Lu D., Neves L., Carvalho V., Zhang N., Ji H., (2018); Ma X., Hovy E., (2016); ChatGPT (October 18 version) [Large language model]; Rombach R., Blattmann A., Lorenz D., Esser P., Ommer B., High-resolution image synthesis with latent diffusion models; Soares L.B., FitzGerald N., Ling J., Kwiatkowski T., (2019); Sun L., Wang J., Su Y., Weng F., Sun Y., Zheng Z., Chen Y.R., (2020); Sun L., Wang J., Zhang K., Su Y., Weng F., (2021); Wang C.Y., Bochkovskiy A., (2023); Wu Z., Zheng C., Cai Y., Chen J., Leung H.F., Li Q., (2020); Yu J., Jiang J., Yang L., Improving multimodal named entity recognition via entity span detection with unified multimodal transformer. Association for Computational Linguistics.URL; Zeng D., Liu K., Chen Y., Zhao J., (2015); Zhang D., Wei S., Li S., Wu H., Zhu Q., Zhou G., Multi-modal graph fusion for named entity recognition with targeted visual guidance, Proceedings of the AAAI Conference on Artificial Intelligence, 35, 16, pp. 14347-14355., (2021); Zhang Q., Fu J., Liu X., Huang X., (2018); Zhang X., Yuan J., Li L., Liu J., (2023); Zhao Q., Gao T., Guo N.T., (2023); Zheng C., Feng J., Fu Z., Cai Y., Li Q., Wang T., (2021); Zhou B., Zhang Y., Song K., Guo W., Zhao G., Wang H., Yuan X., (2022)</t>
  </si>
  <si>
    <t>X. He; School of Computer and Artificial Intelligence, Liaoning Normal University, Dalian, China; email: hexinyu@lnnu.edu.cn</t>
  </si>
  <si>
    <t>Elsevier Ltd</t>
  </si>
  <si>
    <t>IPMAD</t>
  </si>
  <si>
    <t>Inf. Process. Manage.</t>
  </si>
  <si>
    <t>2-s2.0-85203237206</t>
  </si>
  <si>
    <t>Li Y.; Jiang Y.; Chen J.; Wang L.; Tao Y.; Zhang Y.</t>
  </si>
  <si>
    <t>Li, Yu (58024831900); Jiang, Yuru (56173707600); Chen, Jie (58852276500); Wang, Liangguo (57999661900); Tao, Yuyang (58799575500); Zhang, Yangsen (7601327530)</t>
  </si>
  <si>
    <t>58024831900; 56173707600; 58852276500; 57999661900; 58799575500; 7601327530</t>
  </si>
  <si>
    <t>CoPrompt: A Contrast-prompt Tuning Method for Multiparty Dialogue Character Relationship Extraction</t>
  </si>
  <si>
    <t>ACM International Conference Proceeding Series</t>
  </si>
  <si>
    <t>153.0</t>
  </si>
  <si>
    <t>160.0</t>
  </si>
  <si>
    <t>10.1145/3639233.3639239</t>
  </si>
  <si>
    <t>https://www.scopus.com/inward/record.uri?eid=2-s2.0-85187552377&amp;doi=10.1145%2f3639233.3639239&amp;partnerID=40&amp;md5=3aaf67b482202c556f90b17e8bdfb784</t>
  </si>
  <si>
    <t>School of Computer Science, Beijing Information Science and Technology University, China</t>
  </si>
  <si>
    <t>Li Y., School of Computer Science, Beijing Information Science and Technology University, China; Jiang Y., School of Computer Science, Beijing Information Science and Technology University, China; Chen J., School of Computer Science, Beijing Information Science and Technology University, China; Wang L., School of Computer Science, Beijing Information Science and Technology University, China; Tao Y., School of Computer Science, Beijing Information Science and Technology University, China; Zhang Y., School of Computer Science, Beijing Information Science and Technology University, China</t>
  </si>
  <si>
    <t>Information extraction is a fundamental task in natural language processing, and relation extraction is one of its primary subfields. However, most previous research focuses on extracting relations from standard texts, such as news articles and Wikipedia entries, while overlooking the challenges present in dialogues - sparse details, cross-sentence links, and complex character relationships. To address these challenges, we propose a contrastive-prompt tuning method (CoPrompt) to better capture the relationships between characters in dialogues. Our method improves the performance of the relationship extraction model by constructing positive and negative sample pairs to obtain better embedding representations of relationship features through prompt learning. To evaluate our method, we separately built manual and continuous templates and conducted experiments on the DialogRE and CRECIL datasets. Our method consistently outperformed other methods, notably achieving state-of-the-art results on Chinese datasets(DialogRE_cn and CRECIL), underscoring its robust efficiency in Chinese language relation extraction tasks. We also demonstrate the effectiveness of our method in low-resource scenarios. Our code is available at https://github.com/LIyu810/CoPrompt_main. ¬© 2023 ACM.</t>
  </si>
  <si>
    <t>Multiparty Dialogue; Prompt-tuning; Relation Extraction</t>
  </si>
  <si>
    <t>Language processing; Multiparty dialogs; Natural languages; News articles; Prompt-tuning; Relation extraction; Relationship extraction; Research focus; Subfields; Tuning method; Natural language processing systems</t>
  </si>
  <si>
    <t>Brown T., Mann B., Ryder N., Subbiah M., Kaplan J.D., Dhariwal P., Neelakantan A., Shyam P., Sastry G., Askell A., Et al., 2020 Language Models Are Few-shot Learners. Advances in Neural Information Processing Systems 33, pp. 1877-1901, (2020); Chen X., Zhang N., Xie X., Deng S., Yao Y., Tan C., Huang F., Si L., Chen H., 2022. Knowprompt: Knowledge-Aware prompttuning with synergistic optimization for relation extraction, Proceedings of the ACM Web Conference, 2022, pp. 2778-2788; Dosovitskiy A., Beyer L., Kolesnikov A., Weissenborn D., Zhai X., Unterthiner T., Dehghani M., Minderer M., Heigold G., Gelly S., Et al., 2020. An Image Is Worth 16x16 Words: Transformers for Image Recognition at Scale. ArXiv Preprint ArXiv 2010, (2020); Fang H., Meng Zhou S., Ding J., Xie P., 2020. Cert: Contrastive Self-supervised Learning for Language Understanding, (2020); Guo Z., Zhang Y., Lu W., 2019 Attention Guided Graph Convolutional Networks for Relation Extraction, (2019); Hambardzumyan K., Khachatrian H., May J., 2021. Warp Word-level Adversarial Reprogramming; Han X., Zhao W., Ding N., Liu Z., Sun M., 2022 Ptr: Prompt tuning with rules for text classification. AI Open, 3, 2022, pp. 182-192; Jiang Y., Xu Y., Zhan Y., He W., Wang Y., Xi Z., Wang M., Li X., Li Y., Yu Y., 2022. The CRECIL Corpus: A New Dataset for Extraction of Relations between Characters in Chinese Multi-party Dialogues, Proceedings of the Thirteenth Language Resources and Evaluation Conference, pp. 2337-2344; Jiang Z., Xu F.F., Araki J., Neubig G., 2020. How Can We Know What Language Models Know? Transactions of the Association for Computational Linguistics 8, pp. 423-438, (2020); Kristina Toutanova L., Bert: Pre-Training of deep bidirectional transformers for language understanding, Proceedings of NaacL-HLT, 1, (2019); Krizhevsky A., Sutskever I., Hinton G.E., Imagenet classification with deep convolutional neural networks. Advances in neural information processing systems 25, (2012); Lee B., Suk Choi Y., 2021. Graph Based Network with Contextualized Representations of Turns in Dialogue, (2021); Lisa Li X., Liang P., 2021. Prefix-Tuning: Optimizing Continuous Prompts for Generation, (2021); Liu P., Yuan W., Fu J., Jiang Z., Hayashi H., Neubig G., 2023 Pre-Train prompt, and predict: A systematic survey of prompting methods in natural language processing, Comput. Surveys 55, 9, 2023, pp. 1-35; Liu X., Ji K., Fu Y., Tam W., Du Z., Yang Z., Tang J., 2022. P-Tuning: Prompt tuning can be comparable to fine-Tuning across scales and tasks, Proceedings of the 60th Annual Meeting of the Association for Computational Linguistics, 2, pp. 61-68; Petroni F., Rocktaschel T., Lewis P., Bakhtin A., Wu Y., Miller A.H., Riedel S., 2019. Language Models As Knowledge Bases?, (2019); Qiu L., Liang Y., Zhao Y., Lu P., Peng B., Yu Z., Nian Wu Y., Zhu S., 2021. Socaog: Incremental Graph Parsing for Social Relation Inference in Dialogues, (2021); Shin R., Lin C.H., Thomson S., Chen C., Roy S., Antonios Platanios E., Pauls A., Klein D., Eisner J., Van Durme B., 2021. Constrained Language Models Yield Few-shot Semantic Parsers; Shin T., Razeghi Y., Ericwallace Iv Logan R.L., Singh S., 2020. Autoprompt: Eliciting Knowledge from Language Models with Automatically Generated Prompts. ArXiv Preprint ArXiv 2010, (2020); Staudemeyer R.C., Rothstein Morris E., 2019. Understanding LSTM-A Tutorial into Long Short-Term Memory Recurrent Neural Networks, (2019); Wang Y., Yao Q., Kwok J.T., Lmni L., 2020. Generalizing from a few examples: A survey on few-shot learning, ACM Computing Surveys (Csur, 53, 3, pp. 1-34, (2020); Xue F., Sun A., Zhang H., Siong Chng E., 2021. Gdpnet: Refining latent multi-view graph for relation extraction, Proceedings of the AAAI Conference on Artificial Intelligence, 35, pp. 14194-14202; Xue F., Sun A., Zhang H., Ni J., Chng E., 2022. An embarrassingly simple model for dialogue relation extraction, ICASSP 2022-2022 IEEE International Conference on Acoustics, Speech and Signal Processing (ICASSP). IEEE, pp. 6707-6711; Yu D., Sun K., Cardie C., Yu D., 2020 Dialogue-based Relation Extraction, (2020); Zaremba W., Sutskever I., Vinyals O., Recurrent neural network regularization, (2014); Zhang Y., Qi P., Manning C.D., 2018. Graph Convolution over Pruned Dependency Trees Improves Relation Extraction, (2018); Zhang Y., Zhong V., Chen D., Angeli G., Manning C.D., Position-Aware attention and supervised data improve slot filling, Conference on Empirical Methods in Natural Language Processing, (2017); Zhong Z., Friedman D., Chen D., 2021. Factual Probing Is [Mask]: Learning Vs. Learning to Recall; Zhou P., Shi W., Tian J., Qi Z., Li B., Hao H., Xu B., Attention-based bidirectional long short-Term memory networks for relation classification, Proceedings of the 54th Annual Meeting of the Association for Computational Linguistics, 2, pp. 207-212, (2016)</t>
  </si>
  <si>
    <t>Y. Jiang; School of Computer Science, Beijing Information Science and Technology University, China; email: jiangyuru@bistu.edu.cn</t>
  </si>
  <si>
    <t>Association for Computing Machinery</t>
  </si>
  <si>
    <t>7th International Conference on Natural Language Processing and Information Retrieval, NLPIR 2023</t>
  </si>
  <si>
    <t>15 December 2023 through 17 December 2023</t>
  </si>
  <si>
    <t>Hybrid, Seoul</t>
  </si>
  <si>
    <t>197810.0</t>
  </si>
  <si>
    <t>979-840070922-7</t>
  </si>
  <si>
    <t>ACM Int. Conf. Proc. Ser.</t>
  </si>
  <si>
    <t>2-s2.0-85187552377</t>
  </si>
  <si>
    <t>Plum A.; Ranasinghe T.; Purschke C.</t>
  </si>
  <si>
    <t>Plum, Alistair (57212351462); Ranasinghe, Tharindu (57212349916); Purschke, Christoph (54396071500)</t>
  </si>
  <si>
    <t>57212351462; 57212349916; 54396071500</t>
  </si>
  <si>
    <t>Guided Distant Supervision for Multilingual Relation Extraction Data: Adapting to a New Language</t>
  </si>
  <si>
    <t>7982.0</t>
  </si>
  <si>
    <t>7992.0</t>
  </si>
  <si>
    <t>https://www.scopus.com/inward/record.uri?eid=2-s2.0-85195959690&amp;partnerID=40&amp;md5=9d0e6a0626ca213a0a5330cd15f16786</t>
  </si>
  <si>
    <t>University of Luxembourg, Esch-sur-Alzette, Luxembourg; Aston University, Birmingham, United Kingdom</t>
  </si>
  <si>
    <t>Plum A., University of Luxembourg, Esch-sur-Alzette, Luxembourg; Ranasinghe T., Aston University, Birmingham, United Kingdom; Purschke C., University of Luxembourg, Esch-sur-Alzette, Luxembourg</t>
  </si>
  <si>
    <t>Relation extraction is essential for extracting and understanding biographical information in the context of digital humanities and related subjects. There is a growing interest in the community to build datasets capable of training machine learning models to extract relationships. However, annotating such datasets can be expensive and time-consuming, in addition to being limited to English. This paper applies guided distant supervision to create a large biographical relationship extraction dataset for German. Our dataset, composed of more than 80,000 instances for nine relationship types, is the largest biographical German relationship extraction dataset. We also create a manually annotated dataset with 2000 instances to evaluate the models and release it together with the dataset compiled using guided distant supervision. We train several state-of-the-art machine learning models on the automatically created dataset and release them as well. Furthermore, we experiment with multilingual and cross-lingual experiments that could benefit many low-resource languages. ¬© 2024 ELRA Language Resource Association: CC BY-NC 4.0.</t>
  </si>
  <si>
    <t>Distant Supervision; Language Resources; Relation Extraction</t>
  </si>
  <si>
    <t>Large datasets; Machine learning; Annotated datasets; Cross-lingual; Digital humanities; Distant supervision; Language resources; Machine learning models; Relation extraction; Relationship extraction; State of the art; Training machines; Extraction</t>
  </si>
  <si>
    <t>Alt Christoph, Hubner Marc, Hennig Leonhard, Improving relation extraction by pre-trained language representations, Automated Knowledge Base Construction (AKBC), (2019); Soares Livio Baldini, FitzGerald Nicholas, Ling Jeffrey, Kwiatkowski Tom, Matching the blanks: Distributional similarity for relation learning, Proceedings of the 57th Annual Meeting of the Association for Computational Linguistics, pp. 2895-2905, (2019); Chan Branden, Schweter Stefan, Moller Timo, German's next language model, Proceedings of the 28th International Conference on Computational Linguistics, pp. 6788-6796, (2020); Chan Yee Seng, Roth Dan, Exploiting syntactico-semantic structures for relation extraction, Proceedings of the 49th Annual Meeting of the Association for Computational Linguistics: Human Language Technologies, pp. 551-560, (2011); Conneau Alexis, Khandelwal Kartikay, Goyal Naman, Chaudhary Vishrav, Wenzek Guillaume, Guzman Francisco, Grave Edouard, Ott Myle, Zettlemoyer Luke, Stoyanov Veselin, Unsupervised cross-lingual representation learning at scale, Proceedings of the 58th Annual Meeting of the Association for Computational Linguistics, pp. 8440-8451, (2020); Devlin Jacob, Chang Ming-Wei, Lee Kenton, Toutanova Kristina, BERT: Pre-training of deep bidirectional transformers for language understanding, Proceedings of NAACL 2019: HLT, pp. 4171-4186, (2019); During Marten, Kalyakin Roman, Bunout Estelle, Guido Daniele, Impresso inspect and compare. visual comparison of semantically enriched historical newspaper articles, Information, 12, 9, (2021); Finkel Jenny Rose, Grenager Trond, Manning Christopher, Incorporating non-local information into information extraction systems by Gibbs sampling, Proceedings of the 43rd Annual Meeting of the Association for Computational Linguistics (ACL'05), pp. 363-370, (2005); Garg Nikhil, Schiebinger Londa, Jurafsky Dan, Zou James, Word embeddings quantify 100 years of gender and ethnic stereotypes, Proceedings of the National Academy of Sciences, 115, 16, pp. E3635-E3644, (2018); Hoffmann Raphael, Zhang Congle, Ling Xiao, Zettlemoyer Luke, Weld Daniel S., Knowledge-based weak supervision for information extraction of overlapping relations, Proceedings of the 49th Annual Meeting of the Association for Computational Linguistics: Human Language Technologies, pp. 541-550, (2011); Jia Chen, Shi Yuefeng, Yang Qinrong, Zhang Yue, Entity enhanced BERT pre-training for Chinese NER, Proceedings of the 2020 Conference on Empirical Methods in Natural Language Processing (EMNLP), pp. 6384-6396, (2020); Joshi Mandar, Chen Danqi, Liu Yinhan, Weld Daniel S., Zettlemoyer Luke, Levy Omer, SpanBERT: Improving pre-training by representing and predicting spans, Transactions of the Association for Computational Linguistics, 8, pp. 64-77, (2020); Katiyar Arzoo, Cardie Claire, Investigating LSTMs for joint extraction of opinion entities and relations, Proceedings of the 54th Annual Meeting of the Association for Computational Linguistics (Volume 1: Long Papers), pp. 919-929, (2016); Khirbat Gitansh, Qi Jianzhong, Zhang Rui, N-ary biographical relation extraction using shortest path dependencies, Proceedings of the Australasian Language Technology Association Workshop 2016, pp. 74-83, (2016); Kozlowski Austin C., Taddy Matt, Evans James A., The geometry of culture: Analyzing the meanings of class through word embeddings, American Sociological Review, 84, 5, pp. 905-949, (2019); Li Qi, Ji Heng, Incremental joint extraction of entity mentions and relations, Proceedings of the 52nd Annual Meeting of the Association for Computational Linguistics (Volume 1: Long Papers), pp. 402-412, (2014); Lin Yankai, Shen Shiqi, Liu Zhiyuan, Luan Huanbo, Sun Maosong, Neural relation extraction with selective attention over instances, Proceedings of the 54th Annual Meeting of the Association for Computational Linguistics (Volume 1: Long Papers), pp. 2124-2133, (2016); Lothritz Cedric, Allix Kevin, Veiber Lisa, Bissyande Tegawende F., Klein Jacques, Evaluating pretrained transformer-based models on the task of fine-grained named entity recognition, Proceedings of the 28th International Conference on Computational Linguistics, pp. 3750-3760, (2020); Lothritz Cedric, Lebichot Bertrand, Allix Kevin, Veiber Lisa, Bissyande Tegawende, Klein Jacques, Boytsov Andrey, Lefebvre Clement, Goujon Anne, LuxemBERT: Simple and practical data augmentation in language model pre-training for Luxembourgish, Proceedings of the Thirteenth Language Resources and Evaluation Conference, pp. 5080-5089, (2022); Mintz Mike, Bills Steven, Snow Rion, Jurafsky Daniel, Distant supervision for relation extraction without labeled data, Proceedings of the Joint Conference of the 47th Annual Meeting of the ACL and the 4th International Joint Conference on Natural Language Processing of the AFNLP, pp. 1003-1011, (2009); Miwa Makoto, Bansal Mohit, End-to-end relation extraction using LSTMs on sequences and tree structures, Proceedings of the 54th Annual Meeting of the Association for Computational Linguistics (Volume 1: Long Papers), pp. 1105-1116, (2016); Nayak Tapas, Ng Hwee Tou, Effective modeling of encoder-decoder architecture for joint entity and relation extraction, Proceedings of the AAAI Conference on Artificial Intelligence, 34, pp. 8528-8535, (2020); Plum Alistair, Ranasinghe Tharindu, Jones Spencer, Orasan Constantin, Mitkov Ruslan, Biographical: A semi-supervised relation extraction dataset, Proceedings of the 45th International ACM SIGIR Conference on Research and Development in Information Retrieval, (2022); Plum Alistair, Zampieri Marcos, Orasan Constantin, Wandl-Vogt Eveline, Mitkov Ruslan, Large-scale Data Harvesting for Biographical Data, Proceedings of (BD-2019), (2019); Ranasinghe Tharindu, Zampieri Marcos, Multilingual offensive language identification with cross-lingual embeddings, Proceedings of the 2020 Conference on Empirical Methods in Natural Language Processing (EMNLP), pp. 5838-5844, (2020); Riedel Sebastian, Yao Limin, McCallum Andrew, Modeling relations and their mentions without labeled text, Machine Learning and Knowledge Discovery in Databases, pp. 148-163, (2010); Rogers Anna, Kovaleva Olga, Rumshisky Anna, A primer in BERTology: What we know about how BERT works, Transactions of the Association for Computational Linguistics, 8, pp. 842-866, (2020); Seganti Alessandro, Firlag Klaudia, Skowronska Helena, Satlawa Michal, Andruszkiewicz Piotr, Multilingual entity and relation extraction dataset and model, Proceedings of the 16th Conference of the European Chapter of the Association for Computational Linguistics: Main Volume, pp. 1946-1955, (2021); Shang Yu-Ming, Huang Heyan, Mao Xian-Ling, Onerel: Joint entity and relation extraction with one module in one step, Proceedings of the AAAI Conference on Artificial Intelligence, (2022); Surdeanu Mihai, Tibshirani Julie, Nallapati Ramesh, Manning Christopher D., Multiinstance multi-label learning for relation extraction, Proceedings of the 2012 Joint Conference on Empirical Methods in Natural Language Processing and Computational Natural Language Learning, pp. 455-465, (2012); Vrandecic Denny, Krotzsch Markus, Wikidata: a free collaborative knowledgebase, Communications of the ACM, 57, 10, pp. 78-85, (2014); Wu Shanchan, He Yifan, Enriching pretrained language model with entity information for relation classification, Proceedings of the 28th ACM International Conference on Information and Knowledge Management, CIKM'19, pp. 2361-2364, (2019); Xue Kui, Zhou Yangming, Ma Zhiyuan, Ruan Tong, Zhang Huanhuan, He Ping, Fine-tuning bert for joint entity and relation extraction in chinese medical text, 2019 IEEE International Conference on Bioinformatics and Biomedicine (BIBM), pp. 892-897, (2019); Yamada Ikuya, Asai Akari, Shindo Hiroyuki, Takeda Hideaki, Matsumoto Yuji, LUKE: Deep contextualized entity representations with entity-aware self-attention, Proceedings of the 2020 Conference on Empirical Methods in Natural Language Processing (EMNLP), pp. 6442-6454, (2020); Yang Wei, Xie Yuqing, Lin Aileen, Li Xingyu, Tan Luchen, Xiong Kun, Li Ming, Lin Jimmy, End-to-end open-domain question answering with BERTserini, Proceedings of the 2019 Conference of the North American Chapter of the Association for Computational Linguistics (Demonstrations), pp. 72-77, (2019); Yu Amy Zhao, Ronen Shahar, Hu Kevin, Lu Tiffany, Hidalgo Cesar A, Pantheon 1.0, a manually verified dataset of globally famous biographies, Scientific data, 3, 1, pp. 1-16, (2016); Yu Bowen, Zhang Zhenyu, Shu Xiaobo, Liu Tingwen, Wang Yubin, Wang Bin, Li Sujian, Joint extraction of entities and relations based on a novel decomposition strategy, ECAI 2020, pp. 2282-2289, (2020); Yuan Changsen, Huang Heyan, Feng Chong, Liu Xiao, Wei Xiaochi, Distant supervision for relation extraction with linear attenuation simulation and non-iid relevance embedding, AAAI'19/IAAI'19/EAAI'19, (2019); Zelenko Dmitry, Aone Chinatsu, Richardella Anthony, Kernel methods for relation extraction, Journal of Machine Learning Research, 3, pp. 1083-1106, (2003); Zeng Daojian, Liu Kang, Lai Siwei, Zhou Guangyou, Zhao Jun, Relation classification via convolutional deep neural network, Proceedings of COLING 2014, the 25th International Conference on Computational Linguistics: Technical Papers, pp. 2335-2344, (2014); Zhang Yuhao, Zhong Victor, Chen Danqi, Angeli Gabor, Manning Christopher D., Position-aware attention and supervised data improve slot filling, Proceedings of the 2017 Conference on Empirical Methods in Natural Language Processing, pp. 35-45, (2017); Zheng Suncong, Hao Yuexing, Lu Dongyuan, Bao Hongyun, Xu Jiaming, Hao Hongwei, Xu Bo, Joint entity and relation extraction based on a hybrid neural network, Neurocomputing, 257, pp. 59-66, (2017)</t>
  </si>
  <si>
    <t>2-s2.0-85195959690</t>
  </si>
  <si>
    <t>Zhang R.; Zhang M.; Li Y.; Zou L.</t>
  </si>
  <si>
    <t>Zhang, Ruoyu (57261601200); Zhang, Minhao (57219636966); Li, Yanzeng (57814628700); Zou, Lei (8359099800)</t>
  </si>
  <si>
    <t>57261601200; 57219636966; 57814628700; 8359099800</t>
  </si>
  <si>
    <t>Exploiting Ubiquitous Mentions for Document-Level Relation Extraction</t>
  </si>
  <si>
    <t>1986.0</t>
  </si>
  <si>
    <t>1990.0</t>
  </si>
  <si>
    <t>10.1145/3539618.3591984</t>
  </si>
  <si>
    <t>https://www.scopus.com/inward/record.uri?eid=2-s2.0-85168656199&amp;doi=10.1145%2f3539618.3591984&amp;partnerID=40&amp;md5=9852f5aa18bcfcbb412485933d97adeb</t>
  </si>
  <si>
    <t>Peking University, Beijing, China</t>
  </si>
  <si>
    <t>Zhang R., Peking University, Beijing, China; Zhang M., Peking University, Beijing, China; Li Y., Peking University, Beijing, China; Zou L., Peking University, Beijing, China</t>
  </si>
  <si>
    <t>Recent years have witnessed the transition from sentence-level to document-level in relation extraction (RE), with new formulation, new methods and new insights. Yet, the fundamental concept, mention, is not well-considered and well-defined. Current datasets usually use automatically-detected named entities as mentions, which leads to the missing reference problem. We show that such phenomenon hinders models' reasoning abilities. To address it, we propose to incorporate coreferences (e.g. pronouns and common nouns) into mentions, based on which we refine and re-annotate the widely-used DocRED benchmark as R-DocRED. We evaluate various methods and conduct thorough experiments to demonstrate the efficacy of our formula. Specifically, the results indicate that incorporating coreferences helps reduce the long-term dependencies, further improving models' robustness and generalization under adversarial and low-resource settings. The new dataset is made publicly available for future research. ¬© 2023 Copyright held by the owner/author(s). Publication rights licensed to ACM.</t>
  </si>
  <si>
    <t>document-level relation extraction; information extraction; natural language processing</t>
  </si>
  <si>
    <t>Information retrieval; 'current; Coreference; Document-level relation extraction; Fundamental concepts; Information extraction; Language processing; Natural language processing; Natural languages; Relation extraction; Sentence level; Natural language processing systems</t>
  </si>
  <si>
    <t>National Natural Science Foundation of China, NSFC, (61932001, U20A20174)</t>
  </si>
  <si>
    <t>We would like to thank anonymous reviewers for their constructive comments. This work is partially supported by NSFC under grant 61932001 and U20A20174.</t>
  </si>
  <si>
    <t>Soares L.B., FitzGerald N., Ling J., Kwiatkowski T., Matching the Blanks: Distributional Similarity for Relation Learning, Proceedings of the 57th Annual Meeting of the Association for Computational Linguistics, pp. 2895-2905, (2019); Cai R., Zhang X., Wang H., Bidirectional Recurrent Convolutional Neural Network for Relation Classification, Proceedings of the 54th Annual Meeting of the Association for Computational Linguistics (Volume 1: Long Papers), pp. 756-765, (2016); Halliday M.A.K., Matthiessen C.M.I.M., Halliday M., Matthiessen C., An Introduction to Functional Grammar, (2014); Hirschman L., Chinchor N., Appendix F: MUC-7 Coreference Task Definition (version 3.0), Seventh Message Understanding Conference (MUC-7): Proceedings of a Conference Held in Fairfax, (1998); Hochreiter S., Schmidhuber J., Long Short-Term Memory, Neural Computation, 9, 8, pp. 1735-1780, (1997); Huang Q., Zhu S., Feng Y., Ye Y., Lai Y., Zhao D., Three Sentences Are All You Need: Local Path Enhanced Document Relation Extraction, Proceedings of the 59th Annual Meeting of the Association for Computational Linguistics and the 11th International Joint Conference on Natural Language Processing (Volume 2: Short Papers), pp. 998-1004, (2021); Li Y., Yu B., Quangang L., Liu T., FITAnnotator: A Flexible and Intelligent Text Annotation System, Proceedingsofthe2021ConferenceoftheNorthAmericanChapteroftheAssociationforComputationalLinguistics: Human Language Technologies: Demonstrations, pp. 35-41, (2021); Nan G., Guo Z., Sekulic I., Lu W., Reasoning with Latent Structure Refinement for Document-Level Relation Extraction, Proceedings of the 58th Annual Meeting of the Association for Computational Linguistics, pp. 1546-1557, (2020); Nouvel D., Ehrmann M., Rosset S., Named Entities for Computational Linguistics, (2016); Peng H., Gao T., Han X., Lin Y., Li P., Liu Z., Sun M., Zhou J., Learning from Context or Names? An Empirical Study on Neural Relation Extraction, Proceedings of the 2020 Conference on Empirical Methods in Natural Language Processing (EMNLP), pp. 3661-3672, (2020); Peng N., Poon H., Quirk C., Toutanova K., Yih W.-T., Cross-Sentence N-ary Relation Extraction with Graph LSTMs, Transactions of the Association for Computational Linguistics, 5, pp. 101-115, (2017); Reiter R., On Closed World Data Bases, pp. 55-76, (1978); Sorokin D., Gurevych I., Context-Aware Representations for Knowledge Base Relation Extraction, Proceedings of the 2017 Conference on Empirical Methods in Natural Language Processing, pp. 1784-1789, (2017); Tan Q., He R., Bing L., Ng H.T., Document-Level Relation Extraction with Adaptive Focal Loss and Knowledge Distillation, Findings of the Association for Computational Linguistics: ACL 2022, pp. 1672-1681, (2022); Xie Y., Shen J., Li S., Mao Y., Han J., Eider: Empowering Document-level Relation Extraction with Efficient Evidence Extraction and Inference-stage Fusion, Findings of the Association for Computational Linguistics: ACL 2022, pp. 257-268, (2022); Yao Y., Ye D., Li P., Han X., Lin Y., Liu Z., Liu Z., Huang L., Zhou J., Sun M., DocRED: A Large-Scale Document-Level Relation Extraction Dataset, Proceedings of the 57th Annual Meeting of the Association for Computational Linguistics, pp. 764-777, (2019); Zeng D., Liu K., Lai S., Zhou G., Zhao J., Relation Classification via Convolutional Deep Neural Network, Proceedings of COLING 2014, the 25th International Conference on Computational Linguistics: Technical Papers, pp. 2335-2344, (2014); Zeng S., Xu R., Chang B., Li L., Double Graph Based Reasoning for Document-level Relation Extraction, Proceedings of the 2020 Conference on Empirical Methods in Natural Language Processing (EMNLP), pp. 1630-1640, (2020); Zhang Z., Yu B., Shu X., Liu T., Tang H., Yubin W., Guo L., Document-level Relation Extraction with Dual-tier Heterogeneous Graph, Proceedings of the 28th International Conference on Computational Linguistics, pp. 1630-1641, (2020); Zhou W., Huang K., Ma T., Huang J., Document-Level Relation Extraction with Adaptive Thresholding and Localized Context Pooling, Proceedings of the AAAI Conference on Artificial Intelligence, 35, 16, pp. 14612-14620, (2021)</t>
  </si>
  <si>
    <t>L. Zou; Peking University, Beijing, China; email: zoulei@pku.edu.cn</t>
  </si>
  <si>
    <t>2-s2.0-85168656199</t>
  </si>
  <si>
    <t>Gusmita R.H.; Abshar M.F.A.; Moussallem D.; Ngomo A.-C.N.</t>
  </si>
  <si>
    <t>Gusmita, Ria Hari (57193364047); Abshar, Muhammad Faruq Amiral (59350422100); Moussallem, Diego (57079181300); Ngomo, Axel-Cyrille Ngonga (23397850200)</t>
  </si>
  <si>
    <t>57193364047; 59350422100; 57079181300; 23397850200</t>
  </si>
  <si>
    <t>IndEL: Indonesian Entity Linking Benchmark Dataset for¬†General and¬†Specific Domains</t>
  </si>
  <si>
    <t>14762 LNCS</t>
  </si>
  <si>
    <t>500.0</t>
  </si>
  <si>
    <t>513.0</t>
  </si>
  <si>
    <t>10.1007/978-3-031-70239-6_34</t>
  </si>
  <si>
    <t>https://www.scopus.com/inward/record.uri?eid=2-s2.0-85205390701&amp;doi=10.1007%2f978-3-031-70239-6_34&amp;partnerID=40&amp;md5=4e01a598fac80fb4527f32f05e957469</t>
  </si>
  <si>
    <t>Paderborn University, Warburger Street 100, Paderborn, Germany; The State Islamic University Syarif Hidayatullah Jakarta, Ir. H. Juanda Street 95, Ciputat, Banten, South Tangerang, Indonesia; Jusbrasil, Salvador, Brazil</t>
  </si>
  <si>
    <t>Gusmita R.H., Paderborn University, Warburger Street 100, Paderborn, Germany, The State Islamic University Syarif Hidayatullah Jakarta, Ir. H. Juanda Street 95, Ciputat, Banten, South Tangerang, Indonesia; Abshar M.F.A., The State Islamic University Syarif Hidayatullah Jakarta, Ir. H. Juanda Street 95, Ciputat, Banten, South Tangerang, Indonesia; Moussallem D., Paderborn University, Warburger Street 100, Paderborn, Germany, Jusbrasil, Salvador, Brazil; Ngomo A.-C.N., Paderborn University, Warburger Street 100, Paderborn, Germany</t>
  </si>
  <si>
    <t>In recent years, there has been a surge in natural language processing research focused on low-resource languages (LrLs), underscoring the growing recognition that LrLs deserve the same attention as high-resource languages (HrLs). This shift is crucial for ensuring linguistic diversity and inclusivity in the digital age. Despite Indonesian ranking as the 11th most spoken language globally, it remains under-resourced in terms of computational tools and datasets. Within the semantic web domain, Entity Linking (EL) is pivotal, linking textual entity mentions to their corresponding entries in knowledge bases. This process is foundational for advanced information extraction tasks, including relation extraction and event detection. To bolster EL research in Indonesian, we introduce IndEL, the first benchmark dataset tailored for both general and specific domains. IndEL was manually curated using Wikidata, adhering to a rigorous set of annotation guidelines. We used two Named Entity Recognition (NER) benchmark datasets for entity extraction: NER UI for the general domain and IndQNER for the specific domain. IndQNER focused on entities from the Indonesian translation of the Quran. IndEL comprises 4765 entities in the general domain and 2453 in the specific domain. Using the GERBIL framework, we use IndEL to evaluate the performance of various EL systems, such as Babelfy, DBpedia Spotlight, MAG, OpenTapioca, and WAT. Our further investigation reveals that within Wikidata, a significant number of NIL entities remain unlinked due to the limited number of Indonesian labels and the use of acronyms. Especially in the specific domain, transliteration and translation processes performed to create the Indonesian translation of the Quran contribute to the presence of entities in a descriptive form and as synonyms. ¬© The Author(s), under exclusive license to Springer Nature Switzerland AG 2024.</t>
  </si>
  <si>
    <t>entity linking benchmark dataset; general and specific domains; Indonesian</t>
  </si>
  <si>
    <t>Benchmarking; Computational linguistics; Natural language processing systems; Semantics; Translation (languages); Benchmark datasets; Digital age; Entity linking benchmark dataset; General and specific domain; Indonesian; Language processing; Linguistic diversity; Low resource languages; Named entity recognition; Natural languages; Domain Knowledge</t>
  </si>
  <si>
    <t>Kementerian Agama Republik Indonesia; Deutsche Forschungsgemeinschaft, DFG, (SFB-TRR 318, TRR 318/1 2021 - 438445824); Deutsche Forschungsgemeinschaft, DFG; Bundesministerium f√ºr Bildung und Forschung, BMBF, (01I521005D, 02L19C115); Bundesministerium f√ºr Bildung und Forschung, BMBF; European Union‚Äôs Horizon Europe research and innovation programme, (101070305)</t>
  </si>
  <si>
    <t>We acknowledge the support of the German Federal Ministry of Education and Research (BMBF) within the project COLIDE (01I521005D), the European Union\u2019s Horizon Europe research and innovation programme within the project ENEXA (101070305), the German Federal Ministry of Education and Research (BMBF) within the project KIAM (02L19C115), the Deutsche Forschungsgemeinschaft (DFG, German Research Foundation) within the project SFB-TRR 318 (TRR 318/1 2021 - 438445824), and Mora Scholarship from the Ministry of Religious Affairs, Republic of Indonesia.</t>
  </si>
  <si>
    <t>Delpeuch A., Opentapioca: Lightweight entity linking for wikidata, (2019); Fridriksdottir S.R., Et al., Building an Icelandic entity linking corpus, Proceedings of the Workshop on Dataset Creation for Lower-Resourced Languages within the 13Th Language Resources and Evaluation Conference, pp. 27-35, (2022); Gusmita R.H., Firmansyah A.F., Moussallem D., NgongaNgomo A.C., IndQNER: Named Entity Recognition Benchmark Dataset from the Indonesian Translation of the Quran, vol.¬†2, Springer Nature Switzerland, (2023); Mendes P.N., Jakob M., Garcia-Silva A., Bizer C., Dbpedia spotlight: Shedding light on the web of documents, Proceedings of the 7Th International Conference on Semantic Systems, I-Semantics ‚Äô11, pp. 1-8, (2011); Moro A., Raganato A., Navigli R., Entity linking meets word sense disambiguation: A unified approach, Trans. Assoc. Comput. Ling., 2, pp. 231-244, (2014); Moussallem D., Usbeck R., Roeder M., Ngomo A.C.N., Mag: A multilingual, knowledge-base agnostic and deterministic entity linking approach, Proceedings of the Knowledge Capture Conference. K-CAP 2017, (2017); Noullet K., Mix R., Farber M., KORE 50DYWC: An evaluation data set for entity linking based on DBpedia, YAGO, Wikidata, and crunchbase, Proceedings of the Twelfth Language Resources and Evaluation Conference, pp. 2389-2395, (2020); Piccinno F., Ferragina P., From tagme to wat: A new entity annotator, Proceedings of the First International Workshop on Entity Recognition &amp; Disambiguation, ERD 2014, pp. 55-62, (2014); Rosales-Mendez H., Hogan A., Poblete B., Voxel: A benchmark dataset for multilingual entity linking, The Semantic Web - ISWC 2018, pp. 170-186, (2018); Verborgh R., Roder M., Usbeck R., NgongaNgomo A.C., Gerbil - benchmarking named entity recognition and linking consistently, Semant. Web, 9, 5, pp. 605-625, (2018); Wang H., Xiong W., Song Y., Zhu D., Xia Y., Li S., Docred-fe: A document-level fine-grained entity and relation extraction dataset, ICASSP 2023 - 2023 IEEE International Conference on Acoustics, Speech and Signal Processing (ICASSP), pp.¬†1‚Äì5, (2023); Wilie B., Et al., IndoNLU: Benchmark and resources for evaluating Indonesian natural language understanding, Proceedings of the 1St Conference of the Asia-Pacific Chapter of the Association for Computational Linguistics and the 10Th International Joint Conference on Natural Language Processing, pp. 843-857, (2020); Zeng W., Zhao X., Tang J., Tan Z., Huang X., CLEEK: A Chinese long-text corpus for entity linking, Proceedings of the Twelfth Language Resources and Evaluation Conference, pp. 2026-2035, (2020)</t>
  </si>
  <si>
    <t>R.H. Gusmita; Paderborn University, Paderborn, Warburger Street 100, Germany; email: ria.hari.gusmita@uni-paderborn.de</t>
  </si>
  <si>
    <t>Rapp A.; Di Caro L.; Meziane F.; Sugumaran V.</t>
  </si>
  <si>
    <t>29th International Conference on Natural Language and Information Systems, NLDB 2024</t>
  </si>
  <si>
    <t>25 June 2024 through 27 June 2024</t>
  </si>
  <si>
    <t>Turin</t>
  </si>
  <si>
    <t>319819.0</t>
  </si>
  <si>
    <t>978-303170238-9</t>
  </si>
  <si>
    <t>2-s2.0-85205390701</t>
  </si>
  <si>
    <t>Zhao X.; Deng Y.; Yang M.; Wang L.; Zhang R.; Cheng H.; Lam W.; Shen Y.; Xu R.</t>
  </si>
  <si>
    <t>Zhao, Xiaoyan (57218707688); Deng, Yang (57200607347); Yang, Min (56349712700); Wang, Lingzhi (57216694549); Zhang, Rui (54947068500); Cheng, Hong (7404284983); Lam, Wai (57203073460); Shen, Ying (56763084800); Xu, Ruifeng (56048299800)</t>
  </si>
  <si>
    <t>57218707688; 57200607347; 56349712700; 57216694549; 54947068500; 7404284983; 57203073460; 56763084800; 56048299800</t>
  </si>
  <si>
    <t>A Comprehensive Survey on Relation Extraction: Recent Advances and New Frontiers</t>
  </si>
  <si>
    <t>ACM Computing Surveys</t>
  </si>
  <si>
    <t>10.1145/3674501</t>
  </si>
  <si>
    <t>https://www.scopus.com/inward/record.uri?eid=2-s2.0-85200560529&amp;doi=10.1145%2f3674501&amp;partnerID=40&amp;md5=7f8fd6f9a70dcf2e17d9ffb2ebc9559e</t>
  </si>
  <si>
    <t>The Chinese University of Hong Kong, Hong Kong, Hong Kong; Singapore Management University, Singapore, Singapore; Shenzhen Institutes of Advanced Technology, Chinese Academy of Sciences, Guangdong, Shenzhen, China; Huazhong University of Science and Technology, Wuhan, China; Sun Yat-Sen University, Guangdong, Shenzhen, China; Harbin Institute of Technology Shenzhen, GuanDong, Shenzhen, China</t>
  </si>
  <si>
    <t>Zhao X., The Chinese University of Hong Kong, Hong Kong, Hong Kong; Deng Y., Singapore Management University, Singapore, Singapore; Yang M., Shenzhen Institutes of Advanced Technology, Chinese Academy of Sciences, Guangdong, Shenzhen, China; Wang L., The Chinese University of Hong Kong, Hong Kong, Hong Kong; Zhang R., Huazhong University of Science and Technology, Wuhan, China; Cheng H., The Chinese University of Hong Kong, Hong Kong, Hong Kong; Lam W., The Chinese University of Hong Kong, Hong Kong, Hong Kong; Shen Y., Sun Yat-Sen University, Guangdong, Shenzhen, China; Xu R., Harbin Institute of Technology Shenzhen, GuanDong, Shenzhen, China</t>
  </si>
  <si>
    <t>Relation extraction (RE) involves identifying the relations between entities from underlying content. RE serves as the foundation for many natural language processing (NLP) and information retrieval applications, such as knowledge graph completion and question answering. In recent years, deep neural networks have dominated the field of RE and made noticeable progress. Subsequently, the large pre-trained language models (PLMs) have taken the state-of-the-art RE to a new level. This survey provides a comprehensive review of existing deep learning techniques for RE. First, we introduce RE resources, including datasets and evaluation metrics. Second, we propose a new taxonomy to categorize existing works from three perspectives, i.e., text representation, context encoding, and triplet prediction. Third, we discuss several important challenges faced by RE and summarize potential techniques to tackle these challenges. Finally, we outline some promising future directions and prospects in this field. This survey is expected to facilitate researchers‚Äô collaborative efforts to address the challenges of real-world RE systems. ¬© 2024 Copyright held by the owner/author(s). Publication rights licensed to ACM.</t>
  </si>
  <si>
    <t>deep learning; low-resource relation extraction; pre-trained language models; Relation extraction</t>
  </si>
  <si>
    <t>Computational linguistics; Extraction; Knowledge graph; Learning systems; Natural language processing systems; Deep learning; Language informations; Language model; Language processing; Low-resource relation extraction; Natural languages; Pre-trained language model; Relation extraction; Retrieval applications; Deep neural networks</t>
  </si>
  <si>
    <t>Research Grants Council, University Grants Committee, Á†îÁ©∂Ë≥áÂä©Â±Ä, (CUHK 14217622); Shenzhen Basic Research Foundation, (JCYJ20210324115614039); Shenzhen Science and Technology Innovation Program, (KQTD20190929172835662); National Natural Science Foundation of China, NSFC, (62376262); Natural Science Foundation of Guangdong Province, (2024A1515030166); National Key Research and Development Program of China, NKRDPC, (2022YFF0902100)</t>
  </si>
  <si>
    <t>This research is supported in part by grants from the Research Grant Council of the Hong Kong Special Administrative Region, China (No. CUHK 14217622). Min Yang was supported by National Key Research and Development Program of China (2022YFF0902100), National Natural Science Foundation of China (62376262), the Natural Science Foundation of Guangdong Province of China (2024A1515030166), Shenzhen Science and Technology Innovation Program (KQTD20190929172835662), Shenzhen Basic Research Foundation (JCYJ20210324115614039).</t>
  </si>
  <si>
    <t>Achiam J., Adler S., Agarwal S., Ahmad L., Akkaya I., Aleman F.L., Almeida D., Altenschmidt J., Altman S., Anadkat S., Gpt-4 technical report, (2023); Agrawal M., Hegselmann S., Lang H., Kim Y., Sontag D., Large language models are few-shot clinical information extractors, Proceedings of the 2022 Conference on Empirical Methods in Natural Language Processing, pp. 1998-2022, (2022); Ahmed M., Islam J., Samee M.R., Mercer R.E., Identifying protein-protein interaction using tree LSTM and structured attention, Proceedings of the 2019 IEEE 13th International Conference on Semantic Computing (ICSC), pp. 224-231, (2019); Albalak A., Embar V., Tuan Y.-L., Getoor L., Wang W.Y., D-REX: Dialogue relation extraction with explanations, Proceedings of the 4th Workshop on NLP for Conversational AI, pp. 34-46, (2022); Andrew J.J., Automatic extraction of entities and relation from legal documents, Proceedings of the 7th Named Entities Workshop, pp. 1-8, (2018); Andrew J.J., Automatic extraction of entities and relation from legal documents, Proceedings of the NEWS@ACL, (2018); Asada M., Integrating heterogeneous domain information into relation extraction: A case study on drug-drug interaction extraction, (2022); Augenstein I., Das M., Riedel S., Vikraman L., McCallum A., SemEval 2017 Task 10: ScienceIE - extracting keyphrases and relations from scientific publications, Proceedings of the International Workshop on Semantic Evaluation, (2017); Pawar S., Palshikar G.K., Bhattacharyya P., Relation extraction: A survey, (2017); Bassignana E., Plank B., What do you mean by relation extraction? a survey on datasets and study on scientific relation classification, Proceedings of the Annual Meeting of the Association for Computational Linguistics, (2022); Beltagy I., Lo K., Cohan A., SciBERT: A pretrained language model for scientific text, Proceedings of the 2019 Conference on Empirical Methods in Natural Language Processing and the 9th International Joint Conference on Natural Language Processing (EMNLP-IJCNLP), pp. 3615-3620, (2019); Bhartiya A., Badola K., Mausam, DiS-ReX: A multilingual dataset for distantly supervised relation extraction, Proceedings of the Annual Meeting of the Association for Computational Linguistics, (2021); Bian J., Huang L., Huang X., Zhou H., Zhu S., Grantrel: Grant information extraction via joint entity and relation extraction, Proceedings of the ACL-IJCNLP, pp. 2674-2685, (2021); Bizer C., Lehmann J., Kobilarov G., Auer S., Becker C., Cyganiak R., Hellmann S., Dbpedia-a crystallization point for the web of data, Journal of Web Semantics, 7, 3, pp. 154-165, (2009); Bollacker K., Evans C., Paritosh P., Sturge T., Taylor J., Freebase: A collaboratively created graph database for structuring human knowledge, Proceedings of the 2008 ACM SIGMOD International Conference on Management of Data, pp. 1247-1250, (2008); Brown T., Mann B., Ryder N., Subbiah M., Kaplan J.D., Dhariwal P., Neelakantan A., Shyam P., Sastry G., Askell A., Language models are few-shot learners, Advances in Neural Information Processing Systems, 33, pp. 1877-1901, (2020); Cabot P.-L.H., Navigli R., REBEL: Relation extraction by end-to-end language generation, Findings of the Association for Computational Linguistics: EMNLP, pp. 2370-2381, (2021); Cai D., Lam W., Graph transformer for graph-to-sequence learning, Proceedings of the AAAI Conference on Artificial Intelligence, (2019); Cai R., Zhang X., Wang H., Bidirectional recurrent convolutional neural network for relation classification, Proceedings of the 54th Annual Meeting of the Association for Computational Linguistics (Volume 1: Long Papers), pp. 756-765, (2016); Chalkidis I., Fergadiotis M., Malakasiotis P., Aletras N., Androutsopoulos I., Legal-bert: The muppets straight out of law school, Proceedings of the EMNLP, (2020); Chan Y.S., Roth D., Exploiting syntactico-semantic structures for relation extraction, Proceedings of the 49th Annual Meeting of the Association for Computational Linguistics: Human Language Technologies, pp. 551-560, (2011); Chen H., Hong P., Han W., Majumder N., Poria S., Dialogue relation extraction with document-level heterogeneous graph attention networks, Cognitive Computation, 15, 2, pp. 793-802, (2023); Chen X., Zhang N., Li L., Deng S., Tan C., Xu C., Huang F., Si L., Chen H., Hybrid transformer with multi-level fusion for multimodal knowledge graph completion, Proceedings of the 45th International ACM SIGIR Conference on Research and Development in Information Retrieval, pp. 904-915, (2022); Chen X., Zhang N., Xie X., Deng S., Yao Y., Tan C., Huang F., Si L., Chen H., Knowprompt: Knowledge-aware prompt-tuning with synergistic optimization for relation extraction, Proceedings of the ACM Web Conference, pp. 2778-2788, (2022); Chen Y., Gantt W., Gu W., Chen T., White A.S., Van Durme B., Iterative document-level information extraction via imitation learning, Proceedings of the 17th Conference of the European Chapter of the Association for Computational Linguistics, pp. 1858-1874, (2022); Chen Y., Sun Y., Yang Z., Lin H., Joint entity and relation extraction for legal documents with legal feature enhancement, Proceedings of the International Conference on Computational Linguistics, (2020); Chen Y., Zhang Y., Hu C., Huang Y., Jointly extracting explicit and implicit relational triples with reasoning pattern enhanced binary pointer network, Proceedings of the ACL, pp. 5694-5703, (2021); Chen Y., Zhang Y., Huang Y., Learning reasoning patterns for relational triple extraction with mutual generation of text and graph, Proceedings of the ACL, pp. 1638-1647, (2022); Chen Y., Zhang Y., Huang Y., Learning reasoning patterns for relational triple extraction with mutual generation of text and graph, Findings of the Association for Computational Linguistics: ACL, (2022); Chen Z.-Y., Chang C.-H., Chen Y.-P., Nayak J., Ku L.-W., UHop: An unrestricted-hop relation extraction framework for knowledge-based question answering, Proceedings of the 2019 Conference of the North American Chapter of the Association for Computational Linguistics: Human Language Technologies, Volume, 1, pp. 345-356, (2019); Choi S.-P., Extraction of protein-protein interactions (PPIs) from the literature by deep convolutional neural networks with various feature embeddings, Journal of Information Science, 44, 1, pp. 60-73, (2018); Christopoulou F., Miwa M., Ananiadou S., Connecting the Dots: Document-level neural relation extraction with edge-oriented graphs, Proceedings of the 2019 Conference on Empirical Methods in Natural Language Processing and the 9th International Joint Conference on Natural Language Processing (EMNLP-IJCNLP), pp. 4925-4936, (2019); Christopoulou F., Miwa M., Ananiadou S., Connecting the Dots: Document-level neural relation extraction with edge-oriented graphs, Proceedings of the Conference on Empirical Methods in Natural Language Processing, (2019); Dai Q., Heinzerling B., Inui K., Cross-stitching text and knowledge graph encoders for distantly supervised relation extraction, Proceedings of the Conference on Empirical Methods in Natural Language Processing, (2022); Dai Q., Inoue N., Reisert P., Takahashi R., Inui K., Distantly supervised biomedical knowledge acquisition via knowledge graph based attention, Proceedings of the Workshop on Extracting Structured Knowledge from Scientific Publications, pp. 1-10, (2019); Cui M., Li L., Wang Z., You M., A survey on relation extraction, Knowledge Graph and Semantic Computing. Language, Knowledge, and Intelligence: Second China Conference (CCKS‚Äô17), pp. 50-58, (2017); Deusser T., Ali S.M., Hillebrand L., Nurchalifah D., Jacob B., Bauckhage C., Sifa R., KPI-EDGAR: A novel dataset and accompanying metric for relation extraction from financial documents, 21st IEEE International Conference on Machine Learning and Applications (ICMLA‚Äô22), pp. 1654-1659, (2022); Devlin J., Chang M.-W., Lee K., Toutanova K., Bert: Pre-training of deep bidirectional transformers for language understanding, Proceedings of the 2019 Conference of the North American Chapter of the Association for Computational Linguistics: Human Language Technologies, 1, pp. 4171-4186, (2018); Ding N., Wang X., Fu Y., Xu G., Wang R., Xie P., Shen Y., Huang F., Zheng H.-T., Zhang R., Prototypical representation learning for relation extraction, Proceedings of the International Conference on Learning Representations, (2020); Dixit K., Al-Onaizan Y., Span-level model for relation extraction, Proceedings of the Annual Meeting of the Association for Computational Linguistics, (2019); Doddington G.R., Mitchell A., Przybocki M., Ramshaw L., Strassel S., Weischedel R., The automatic content extraction (ACE) program‚Äìtasks, data, and evaluation, Proceedings of the Fourth International Conference on Language Resources and Evaluation (LREC‚Äô04), (2004); Dong M., Pan C., Luo Z., MapRE: An effective semantic mapping approach for low-resource relation extraction, Proceedings of the 2021 Conference on Empirical Methods in Natural Language Processing, pp. 2694-2704, (2021); Dong Q., Li L., Dai D., Zheng C., Wu Z., Chang B., Sun X., Xu J., Sui Z., A survey for in-context learning, (2022); Du J., Han J., Way A., Wan D., Multi-level structured self-attentions for distantly supervised relation extraction, Proceedings of the 2018 Conference on Empirical Methods in Natural Language Processing, pp. 2216-2225, (2018); Eberts M., Ulges A., Span-based joint entity and relation extraction with transformer pre-training, (ECAI‚Äô20), pp. 2006-2013, (2019); Eberts M., Ulges A., Span-based joint entity and relation extraction with transformer pre-training, Proceedings of the ECAI 2020, (2020); Faruqui M., Kumar S., Multilingual open relation extraction using cross-lingual projection, Proceedings of the 2015 Conference of the North American Chapter of the Association for Computational Linguistics: Human Language Technologies, pp. 1351-1356, (2015); Gao T., Fisch A., Chen D., Making pre-trained language models better few-shot learners, Proceedings of the 59th Annual Meeting of the Association for Computational Linguistics and the 11th International Joint Conference on Natural Language Processing (Volume 1: Long Papers), pp. 3816-3830, (2021); Gao T., Han X., Liu Z., Sun M., Hybrid attention-based prototypical networks for noisy few-shot relation classification, Proceedings of the AAAI Conference on Artificial Intelligence, pp. 6407-6414, (2019); Gao T., Han X., Zhu H., Liu Z., Li P., Sun M., Zhou J., FewRel 2.0: Towards more challenging few-shot relation classification, Proceedings of the EMNLP-IJCNLP, (2019); Gardent C., Shimorina A., Narayan S., Perez-Beltrachini L., Creating training corpora for nlg micro-planning, Proceedings of the 55th Annual Meeting of the Association for Computational Linguistics (ACL), (2017); Gou Y., Lei Y., Liu L., Zhang P., Peng X., A dynamic parameter enhanced network for distant supervised relation extraction, Knowledge-Based Systems, 197, (2020); Gu J., Qian L., Zhou G., Chemical-induced disease relation extraction with various linguistic features, (2016); Gu Y., Tinn R., Cheng H., Lucas M., Usuyama N., Liu X., Naumann T., Gao J., Poon H., Domain-specific language model pretraining for biomedical natural language processing, ACM Transactions on Computing for Healthcare, 3, 1, pp. 1-23, (2021); Guo Q., Yang Y., Yan H., Qiu X., Zhang Z., DORE: Document ordered relation extraction based on generative framework, Proceedings of the Conference on Empirical Methods in Natural Language Processing, (2022); Guo Z., Zhang Y., Lu W., Attention guided graph convolutional networks for relation extraction, Proceedings of the 57th Annual Meeting of the Association for Computational Linguistics, pp. 241-251, (2019); Gutierrez B.J., McNeal N., Washington C., Chen Y., Li L., Sun H., Su Y., Thinking about GPT-3 in-context learning for biomedical ie? think again, Findings of the Association for Computational Linguistics (EMNLP‚Äô22), (2022); Han J., Cheng B., Lu W., Exploring task difficulty for few-shot relation extraction, Proceedings of the 2021 Conference on Empirical Methods in Natural Language Processing, pp. 2605-2616, (2021); Han X., Gao T., Lin Y., Peng H., Yang Y., Xiao C., Liu Z., Li P., Sun M., Zhou J., More data, more relations, more context and more openness: A review and outlook for relation extraction, Proceedings of the AACL, (2020); Han X., Zhao W., Ding N., Liu Z., Sun M., Ptr: Prompt tuning with rules for text classification, AI Open, 3, pp. 182-192, (2021); Ul Haq H., Kocaman V., Talby D., Veyseh A.P.B., Dernoncourt F., Nguyen T.H., Lai V.D., Deeper clinical document understanding using relation extraction, Proceedings of the Workshop on Scientific Document Understanding, (2022); Hendrycks D., Burns C., Chen A., Ball S., Cuad: An expert-annotated nlp dataset for legal contract review, (2021); Herrero-Zazo M., Segura-Bedmar I., Martinez P., Declerck T., The DDI corpus: An annotated corpus with pharmacological substances and drug‚Äìdrug interactions, Journal of Biomedical Informatics, 46, 5, pp. 914-920, (2013); Hewlett D., Lacoste A., Jones L., Polosukhin I., Fandrianto A., Han J., Kelcey M., Berthelot D., WikiReading: A novel large-scale language understanding task over wikipedia, Proceedings of the ACL, (2016); Hillebrand L., Deusser T., Dilmaghani T., Kliem B., Loitz R., Bauckhage C., Sifa R., Kpi-bert: A joint named entity recognition and relation extraction model for financial reports, Proceedings of the 2022 26th International Conference on Pattern Recognition (ICPR), pp. 606-612, (2022); Hou Y., Jochim C., Gleize M., Bonin F., Ganguly D., Identification of tasks, datasets, evaluation metrics, and numeric scores for scientific leaderboards construction, Proceedings of the 57th Annual Meeting of the Association for Computational Linguistics, pp. 5203-5213, (2019); Hu X., Wen L., Xu Y., Zhang C., Yu Philip S., SelfORE: Self-supervised relational feature learning for open relation extraction, Proceedings of the 2020 Conference on Empirical Methods in Natural Language Processing (EMNLP), pp. 3673-3682, (2020); Huang Z., Xu W., Yu K., Bidirectional LSTM-CRF models for sequence tagging, (2015); Jabbari A.A., Sauvage O., Zeine H., Chergui H., A french corpus and annotation schema for named entity recognition and relation extraction of financial news, Proceedings of the International Conference on Language Resources and Evaluation, (2020); Jain S., van Zuylen M., Hajishirzi H., Beltagy I., SciREX: A challenge dataset for document-level information extraction, Proceedings of the 58th Annual Meeting of the Association for Computational Linguistics, pp. 7506-7516, (2020); Hu L., Zhang L., Shi C., Nie L., Guan W., Yang C., Improving distantly-supervised relation extraction with joint label embedding, Proceedings of the 2019 Conference on Empirical Methods in Natural Language Processing and the 9th International Joint Conference on Natural Language Processing, pp. 3821-3829, (2019); Ji B., Yu J., Li S., Ma J., Wu Q., Tan Y., Liu H., Span-based joint entity and relation extraction with attention-based span-specific and contextual semantic representations, Proceedings of the 28th International Conference on Computational Linguistics, pp. 88-99, (2020); Ji B., Yu J., Li S., Ma J., Wu Q., Tan Y., Liu H., Span-based Joint Entity and Relation Extraction with Attention-based Span-specific and Contextual Semantic Representations, Proceedings of the International Conference on Computational Linguistics, (2020); Jia R., Wong C., Poon H., Document-level N-ary relation extraction with multiscale representation learning, Proceedings of the ACL, (2019); Jiang P., Lin J., Wang Z., Sun J., Han J., GenRES: Rethinking evaluation for generative relation extraction in the era of large language models, Proceedings of the 2024 Conference of the North American Chapter of the Association for Computational Linguistics: Human Language Technologies (Volume 1: Long Papers), pp. 2820-2837, (2024); Jiang X., He K., He J., Yan G., A new entity extraction method based on machine reading comprehension, (2021); Jiang Z., Xu F.F., Araki J., Neubig G., How can we know what language models know?, Transactions of the Association for Computational Linguistics, 8, pp. 423-438, (2020); Joshi M., Chen D., Liu Y., Weld D.S., Zettlemoyer L., Levy O., SpanBERT: Improving pre-training by representing and predicting spans, Transactions of the Association for Computational Linguistics, 8, pp. 64-77, (2020); Kanjirangat V., Rinaldi F., Enhancing biomedical relation extraction with transformer models using shortest dependency path features and triplet information, Journal of Biomedical Informatics, 122, (2021); Kassner N., Dufter P., Schutze H., Multilingual LAMA: Investigating knowledge in multilingual pretrained language models, Proceedings of the 16th Conference of the European Chapter of the Association for Computational Linguistics: Main, pp. 3250-3258, (2021); Kruiper R., Vincent J., Chen-Burger J., Desmulliez M., Konstas I., In layman‚Äôs terms: Semi-open relation extraction from scientific texts, Proceedings of the 58th Annual Meeting of the Association for Computational Linguistics, pp. 1489-1500, (2020); Lee B., Choi Y.S., Graph based network with contextualized representations of turns in dialogue, Proceedings of the Conference on Empirical Methods in Natural Language Processing, (2021); Lee J., Yoon W., Kim S., Kim D., Kim S., So C.H., Kang J., BioBERT: A pre-trained biomedical language representation model for biomedical text mining, Bioinformatics, 36, 4, pp. 1234-1240, (2020); Lee S., Seo S., Oh B., Lee K.-H., Shin D., Lee Y., Cross-sentence N-ary relation extraction using entity link and discourse relation, Proceedings of the 29th ACM International Conference on Information and Knowledge Management, pp. 705-714, (2020); Lester B., Al-Rfou R., Constant N., The power of scale for parameter-efficient prompt tuning, Proceedings of the 2021 Conference on Empirical Methods in Natural Language Processing, pp. 3045-3059, (2021); Levy O., Seo M., Choi E., Zettlemoyer L., Zero-shot relation extraction via reading comprehension, Proceedings of the 21st Conference on Computational Natural Language Learning (CoNLL 2017), pp. 333-342, (2017); Li B., Ye W., Sheng Z., Xie R., Xi X., Zhang S., Graph enhanced dual attention network for document-level relation extraction, Proceedings of the International Conference on Computational Linguistics, (2020); Li F., Zhang M., Fu G., Ji D., A neural joint model for entity and relation extraction from biomedical text, BMC Bioinformatics, 18, 1, pp. 1-11, (2017); Li X., Luo X., Dong C., Yang D., Luan B., He Z., TDEER: An efficient translating decoding schema for joint extraction of entities and relations, Proceedings of the 2021 Conference on Empirical Methods in Natural Language Processing, pp. 8055-8064, (2021); Li X., Yin F., Sun Z., Li X., Yuan A., Chai D., Zhou M., Li J., Entity-relation extraction as multi-turn question answering, Proceedings of the 57th Annual Meeting of the Association for Computational Linguistics, pp. 1340-1350, (2019); Li X.L., Liang P., Prefix-tuning: Optimizing continuous prompts for generation, Proceedings of the 59th Annual Meeting of the Association for Computational Linguistics and the 11th International Joint Conference on Natural Language Processing (Volume 1: Long Papers), pp. 4582-4597, (2021); Li Y., Long G., Shen T., Zhou T., Yao L., Huo H., Jiang J., Self-attention enhanced selective gate with entity-aware embedding for distantly supervised relation extraction, Proceedings of the AAAI Conference on Artificial Intelligence, pp. 8269-8276, (2020); Liu W., Zhou P., Zhao Z., Wang Z., Ju Q., Deng H., Wang P., K-bert: Enabling language representation with knowledge graph, Proceedings of the AAAI Conference on Artificial Intelligence, pp. 2901-2908, (2020); Liu Y., Hu J., Wan X., Chang T.-H., Learn from relation information: Towards prototype representation rectification for few-shot relation extraction, Findings of the Association for Computational Linguistics: NAACL, pp. 1822-1831, (2022); Liu Y., Ott M., Goyal N., Du J., Joshi M., Chen D., Levy O., Lewis M., Zettlemoyer L., Stoyanov V., Roberta: A robustly optimized bert pretraining approach, (2019); Luan Y., Information extraction from scientific literature for method recommendation, (2018); Luan Y., He L., Ostendorf M., Hajishirzi H., Multi-task identification of entities, relations, and coreference for scientific knowledge graph construction, Proceedings of the 2018 Conference on Empirical Methods in Natural Language Processing, pp. 3219-3232, (2018); Luan Y., He L., Ostendorf M., Hajishirzi H., Multi-task identification of entities, relations, and coreference for scientific knowledge graph construction, Proceedings of the Conference on Empirical Methods in Natural Language Processing, (2018); Luan Y., Wadden D., He L., Shah A., Ostendorf M., Hajishirzi H., A general framework for information extraction using dynamic span graphs, Proceedings of the 2019 Conference of the North American Chapter of the Association for Computational Linguistics: Human Language Technologies, Volume, 1, pp. 3036-3046, (2019); Luo K., Lin F., Luo X., Zhu K., Knowledge base question answering via encoding of complex query graphs, Proceedings of the 2018 Conference on Empirical Methods in Natural Language Processing, pp. 2185-2194, (2018); Ma X., Hovy E., End-to-end sequence labeling via bi-directional lstm-cnns-crf, Proceedings of the 54th Annual Meeting of the Association for Computational Linguistics (Volume 1: Long Papers), pp. 1064-1074, (2016); Magnusson I.H., Friedman S.E., Extracting fine-grained knowledge graphs of scientific claims: Dataset and transformer-based results, Proceedings of the Conference on Empirical Methods in Natural Language Processing, (2021); Mandya A., Bollegala D., Coenen F., Graph convolution over multiple dependency subgraphs for relation extraction, Proceedings of the COLING. International Committee on Computational Linguistics, pp. 6424-6435, (2020); Mikolov T., Chen K., Corrado G., Dean J., Efficient estimation of word representations in vector space, (2013); Mikolov T., Sutskever I., Chen K., Corrado G.S., Dean J., Distributed representations of words and phrases and their compositionality, Advances in Neural Information Processing Systems, 26, (2013); Milosevic N., Thielemann W., Relationship extraction for knowledge graph creation from biomedical literature, (2022); Mintz M., Bills S., Snow R., Jurafsky D., Distant supervision for relation extraction without labeled data, Proceedings of the Joint Conference of the 47th Annual Meeting of the ACL and the 4th International Joint Conference on Natural Language Processing of the AFNLP, pp. 1003-1011, (2009); Miwa M., Bansal M., End-to-end relation extraction using LSTMs on sequences and tree structures, Proceedings of the ACL, (2016); Nan G., Guo Z., Sekulic I., Lu W., Reasoning with latent structure refinement for document-level relation extraction, Proceedings of the 58th Annual Meeting of the Association for Computational Linguistics, pp. 1546-1557, (2020); Nan G., Guo Z., Sekulic I., Lu W., Reasoning with latent structure refinement for document-level relation extraction, Proceedings of the Annual Meeting of the Association for Computational Linguistics, (2020); Nayak T., Majumder N., Goyal P., Poria S., Deep neural approaches to relation triplets extraction: A comprehensive survey, Cognitive Computation, 13, 5, pp. 1215-1232, (2021); Nayak T., Ng H.T., Effective modeling of encoder-decoder architecture for joint entity and relation extraction, Proceedings of the AAAI Conference on Artificial Intelligence, pp. 8528-8535, (2020); Paolini G., Athiwaratkun B., Krone J., Ma J., Achille A., Anubhai R., dos Santos C.N., Xiang B., Soatto S., Structured prediction as translation between augmented natural languages, Proceedings of the International Conference on Learning Representations, (2021); Pawar S., Palshikar G.K., Bhattacharyya P., Relation extraction: A survey, (2017); Peng Y., Yan S., Lu Z., Transfer learning in biomedical natural language processing: An evaluation of BERT and ELMo on ten benchmarking datasets, Proceedings of the 18th BioNLP Workshop and Shared Task, (2019); Pennington J., Socher R., Manning C.D., Glove: Global vectors for word representation, Proceedings of the 2014 Conference on Empirical Methods in Natural Language Processing (EMNLP), pp. 1532-1543, (2014); Peters M.E., Neumann M., Iyyer M., Gardner M., Clark C., Lee K., Zettlemoyer L., Deep contextualized word representations, Proceedings of the 2018 Conference of the North American Chapter of the Association for Computational Linguistics, pp. 2227-2237, (2018); Phi V.-T., Santoso J., Tran V.-H., Shindo H., Shimbo M., Matsumoto Y., Distant supervision for relation extraction via piecewise attention and bag-level contextual inference, IEEE Access, 7, pp. 103570-103582, (2019); Qin G., Eisner J., Learning how to ask: Querying LMs with mixtures of soft prompts, Proceedings of the 2021 Conference of the North American Chapter of the Association for Computational Linguistics: Human Language Technologies, pp. 5203-5212, (2021); Qiu L., Liang Y., Zhao Y., Lu P., Peng B., Yu Z., Wu Y.N., Zhu S.-C., SocAoG: Incremental graph parsing for social relation inference in dialogues, Proceedings of the 59th Annual Meeting of the Association for Computational Linguistics and the 11th International Joint Conference on Natural Language Processing (Volume 1: Long Papers), pp. 658-670, (2021); Qu M., Gao T., Xhonneux L.-P., Tang J., Few-shot relation extraction via bayesian meta-learning on relation graphs, International Conference on Machine Learning, pp. 7867-7876, (2020); Rathore V., Badola K., Singla P., PARE: A simple and strong baseline for monolingual and multilingual distantly supervised relation extraction, Proceedings of the 60th Annual Meeting of the Association for Computational Linguistics Volume, 2, pp. 340-354, (2022); Ren X., Wu Z., He W., Qu M., Voss C.R., Ji H., Abdelzaher T.F., Han J., Cotype: Joint extraction of typed entities and relations with knowledge bases, Proceedings of the 26th International Conference on World Wide Web, pp. 1015-1024, (2017); Ribeiro M.T., Singh S., Guestrin C., Why should i trust you?‚Äù Explaining the predictions of any classifier, Proceedings of the 22nd ACM SIGKDD International Conference on Knowledge Discovery and Data Mining, pp. 1135-1144, (2016); Riedel S., Yao L., McCallum A., Modeling relations and their mentions without labeled text, Proceedings of the Joint European Conference on Machine Learning and Knowledge Discovery in Databases, (2010); Roy A., Pan S., Incorporating medical knowledge in BERT for clinical relation extraction, Proceedings of the EMNLP, (2021); Roy A., Pan S., Incorporating medical knowledge in BERT for clinical relation extraction, Proceedings of the Conference on Empirical Methods in Natural Language Processing, (2021); Saeed W., Omlin C., Explainable AI (XAI): A systematic meta-survey of current challenges and future opportunities, Knowledge-Based Systems, 263, (2023); Sahu S.K., Christopoulou F., Miwa M., Ananiadou S., Inter-sentence relation extraction with document-level graph convolutional neural network, Proceedings of the 57th Annual Meeting of the Association for Computational Linguistics, pp. 4309-4316, (2019); Sainz O., de Lacalle O.L., Labaka G., Barrena A., Agirre E., Label verbalization and entailment for effective zero and few-shot relation extraction, Proceedings of the 2021 Conference on Empirical Methods in Natural Language Processing, pp. 1199-1212, (2021); Santosh T., Chakraborty P., Dutta S., Sanyal D.K., Das P.P., Joint entity and relation extraction from scientific documents: Role of linguistic information and entity types, EEKE@ JCDL, 21, pp. 15-19, (2021); Sarrouti M., Tao C., Randriamihaja Y.M., Comparing encoder-only and encoder-decoder transformers for relation extraction from biomedical texts: An empirical study on ten benchmark datasets, Proceedings of the BIONLP, (2022); Schick T., Schmid H., Schutze H., Automatically identifying words that can serve as labels for few-shot text classification, Proceedings of the 28th International Conference on Computational Linguistics, pp. 5569-5578, (2020); Schick T., Schutze H., Exploiting cloze-questions for few-shot text classification and natural language inference, Proceedings of the 16th Conference of the European Chapter of the Association for Computational Linguistics: Main, pp. 255-269, (2021); Seganti A., Firlag K., Skowronska H., Satlawa M., Andruszkiewicz P., Multilingual entity and relation extraction dataset and model, Proceedings of the ACL, (2021); Shang Y., Huang H.-Y., Mao X.-L., Sun X., Wei W., Are noisy sentences useless for distant supervised relation extraction?, Proceedings of the AAAI Conference on Artificial Intelligence, pp. 8799-8806, (2020); Shang Y.-M., Huang H., Sun X., Wei W., Mao X.-L., Learning relation ties with a force-directed graph in distant supervised relation extraction, ACM Transactions on Information Systems, 41, 1, pp. 1-23, (2023); Sharma S., Nayak T., Bose A., Meena A.K., Dasgupta K., Ganguly N., Goyal P., FinRED: A dataset for relation extraction in financial domain, Companion Proceedings of the Web Conference, pp. 595-597, (2022); Shen Y., Huang X.-J., Attention-based convolutional neural network for semantic relation extraction, Proceedings of COLING 2016, the 26th International Conference on Computational Linguistics: Technical Papers, pp. 2526-2536, (2016); Shen Y., Ma X., Tang Y., Lu W., A trigger-sense memory flow framework for joint entity and relation extraction, Proceedings of the Web Conference, pp. 1704-1715, (2021); Shin T., Razeghi Y., Robert L., Logan I.V., Wallace E., Singh S., AutoPrompt: Eliciting knowledge from language models with automatically generated prompts, Proceedings of the 2020 Conference on Empirical Methods in Natural Language Processing (EMNLP), pp. 4222-4235, (2020); Soares L.B., Fitzgerald N., Ling J., Kwiatkowski T., Matching the blanks: Distributional similarity for relation learning, Proceedings of the 57th Annual Meeting of the Association for Computational Linguistics, pp. 2895-2905, (2019); Socher R., Huval B., Manning C.D., Ng A.Y., Semantic compositionality through recursive matrix-vector spaces, Proceedings of the 2012 Joint Conference on Empirical Methods in Natural Language Processing and Computational Natural Language Learning, pp. 1201-1211, (2012); Son J., Kim J., Lim J.H., Lim H.-J., GRASP: Guiding model with relational semantics using prompt for dialogue relation extraction, Proceedings of the International Conference on Computational Linguistics, (2022); Song W., Zhou X., Yang P., Sun Y., Yang L., Lin H., Joint entity and relation extraction for legal texts, Proceedings of the 20th Chinese National Conference on Computational Linguistics, pp. 589-599, (2021); Subburathinam A., Lu D., Ji H., May J., Chang S.-F., Sil A., Voss C., Cross-lingual structure transfer for relation and event extraction, Proceedings of the 2019 Conference on Empirical Methods in Natural Language Processing and the 9th International Joint Conference on Natural Language Processing (EMNLP-IJCNLP), pp. 313-325, (2019); Sui D., Zeng X., Chen Y., Liu K., Zhao J., Joint entity and relation extraction with set prediction networks, IEEE Transactions on Neural Networks and Learning Systems, (2023); Sun K., Zhang R., Mensah S., Mao Y., Liu X., Recurrent interaction network for jointly extracting entities and classifying relations, Proceedings of the 2020 Conference on Empirical Methods in Natural Language Processing (EMNLP), pp. 3722-3732, (2020); Sun Q., Huang K., Yang X., Tong R., Zhang K., Poria S., Consistency guided knowledge retrieval and denoising in LLMs for zero-shot document-level relation triplet extraction, Proceedings of the ACM on Web Conference, pp. 4407-4416, (2024); Taille B., Guigue V., Scoutheeten G., Gallinari P., Let‚Äôs stop incorrect comparisons in end-to-end relation extraction!, Proceedings of the 2020 Conference on Empirical Methods in Natural Language Processing (EMNLP), pp. 3689-3701, (2020); Tan X., Pergola G., He Y., Extracting event temporal relations via hyperbolic geometry, Proceedings of the 2021 Conference on Empirical Methods in Natural Language Processing, pp. 8065-8077, (2021); Tang W., Xu B., Zhao Y., Mao Z., Liu Y., Liao Y., Xie H., UniRel: Unified representation and interaction for joint relational triple extraction, Proceedings of the 2022 Conference on Empirical Methods in Natural Language Processing, pp. 7087-7099, (2022)</t>
  </si>
  <si>
    <t>X. Zhao; The Chinese University of Hong Kong, Hong Kong, Hong Kong; email: xzhao@se.cuhk.edu.hk; M. Yang; Shenzhen Institutes of Advanced Technology, Chinese Academy of Sciences, Shenzhen, Guangdong, China; email: min.yang@siat.ac.cn; Y. Shen; Sun Yat-Sen University, Shenzhen, Guangdong, China; email: sheny76@mail.sysu.edu.cn</t>
  </si>
  <si>
    <t>ACSUE</t>
  </si>
  <si>
    <t>ACM Comput Surv</t>
  </si>
  <si>
    <t>2-s2.0-85200560529</t>
  </si>
  <si>
    <t>Zheng C.; Feng J.; Cai Y.; Wei X.-Y.; Li Q.</t>
  </si>
  <si>
    <t>Zheng, Changmeng (57209718452); Feng, Junhao (57345073800); Cai, Yi (55538918200); Wei, Xiao-Yong (8880187800); Li, Qing (57199178903)</t>
  </si>
  <si>
    <t>57209718452; 57345073800; 55538918200; 8880187800; 57199178903</t>
  </si>
  <si>
    <t>Rethinking Multimodal Entity and Relation Extraction from a Translation Point of View</t>
  </si>
  <si>
    <t>6810.0</t>
  </si>
  <si>
    <t>6824.0</t>
  </si>
  <si>
    <t>https://www.scopus.com/inward/record.uri?eid=2-s2.0-85174391363&amp;partnerID=40&amp;md5=74f2f644a8b347be776061e97ad08d4e</t>
  </si>
  <si>
    <t>Department of Computing, The Hong Kong Polytechnic University, Hong Kong; Department of Computer Science, Sichuan University, China; School of Software Engineering, South China University of Technology, China</t>
  </si>
  <si>
    <t>Zheng C., Department of Computing, The Hong Kong Polytechnic University, Hong Kong; Feng J., School of Software Engineering, South China University of Technology, China; Cai Y., School of Software Engineering, South China University of Technology, China; Wei X.-Y., Department of Computing, The Hong Kong Polytechnic University, Hong Kong, Department of Computer Science, Sichuan University, China; Li Q., Department of Computing, The Hong Kong Polytechnic University, Hong Kong</t>
  </si>
  <si>
    <t>We revisit the multimodal entity and relation extraction from a translation point of view. Special attention is paid on the misalignment issue in text-image datasets which may mislead the learning. We are motivated by the fact that the cross-modal misalignment is a similar problem of cross-lingual divergence issue in machine translation. The problem can then be transformed and existing solutions can be borrowed by treating a text and its paired image as the translation to each other. We implement a multimodal back-translation using diffusion-based generative models for pseudo-paralleled pairs and a divergence estimator by constructing a high-resource corpora as a bridge for low-resource learners. Fine-grained confidence scores are generated to indicate both types and degrees of alignments with which better representations are obtained. The method has been validated in the experiments by outperforming 14 state-of-the-art methods in both entity and relation extraction tasks. The source code is available at https://github.com/thecharm/TMR. ¬© 2023 Association for Computational Linguistics.</t>
  </si>
  <si>
    <t>Computational linguistics; Extraction; Machine translation; Back translations; Cross-lingual; Cross-modal; Entity extractions; Generative model; Image datasets; Machine translations; Multi-modal; Relation extraction; Text images; Alignment</t>
  </si>
  <si>
    <t>CAAI-Huawei MindSpore Open Fund; CAAIHuawei MindSpore Open Fund; CCF-Zhipu; National Natural Science Foundation of China, NSFC, (62076100); Research Grants Council, University Grants Committee, Á†îÁ©∂Ë≥áÂä©Â±Ä, (C1031-18G); South China University of Technology, SCUT, (x2rjD2220050); Fundamental Research Funds for the Central Universities; Science and Technology Planning Project of Guangdong Province, (2020B0101100002)</t>
  </si>
  <si>
    <t>Funding text 1: This work has been supported by the Hong Kong Research Grants Council under the Collaborative Research Fund (Project No. C1031-18G), the National Natural Science Foundation of China (62076100), Fundamental Research Funds for the Central Universities, SCUT (x2rjD2220050), the Science and Technology Planning Project of Guangdong Province (2020B0101100002), CAAI-Huawei MindSpore Open Fund, CCF-Zhipu AI Large Model Fund.; Funding text 2: This work has been supported by the Hong Kong Research Grants Council under the Collaborative Research Fund (Project No. C1031-18G), the National Natural Science Foundation of China (62076100), Fundamental Research Funds for the Central Universities, SCUT (x2rjD2220050), the Science and Technology Planning Project of Guangdong Province (2020B0101100002), CAAIHuawei MindSpore Open Fund, CCF-Zhipu AI Large Model Fund.</t>
  </si>
  <si>
    <t>Antol Stanislaw, Agrawal Aishwarya, Lu Jiasen, Mitchell Margaret, Batra Dhruv, Lawrence Zitnick C, Parikh Devi, Vqa: Visual question answering, Proceedings of the IEEE international conference on computer vision, pp. 2425-2433, (2015); Carpuat Marine, Vyas Yogarshi, Niu Xing, Detecting cross-lingual semantic divergence for neural machine translation, Proceedings of the First Workshop on Neural Machine Translation, pp. 69-79, (2017); Chen Xiang, Zhang Ningyu, Li Lei, Deng Shumin, Tan Chuanqi, Xu Changliang, Huang Fei, Si Luo, Chen Huajun, Hybrid transformer with multi-level fusion for multimodal knowledge graph completion, (2022); Chen Xiang, Zhang Ningyu, Li Lei, Yao Yunzhi, Deng Shumin, Tan Chuanqi, Huang Fei, Si Luo, Chen Huajun, Good visual guidance makes a better extractor: Hierarchical visual prefix for multimodal entity and relation extraction, (2022); Datta Ritendra, Joshi Dhiraj, Li Jia, Wang James Z, Image retrieval: Ideas, influences, and trends of the new age, ACM Computing Surveys (Csur), 40, 2, pp. 1-60, (2008); Dhariwal Prafulla, Nichol Alexander, Diffusion models beat gans on image synthesis, Advances in Neural Information Processing Systems, 34, pp. 8780-8794, (2021); Dosovitskiy Alexey, Beyer Lucas, Kolesnikov Alexander, Weissenborn Dirk, Zhai Xiaohua, Unterthiner Thomas, Dehghani Mostafa, Minderer Matthias, Heigold Georg, Gelly Sylvain, Et al., An image is worth 16x16 words: Transformers for image recognition at scale, International Conference on Learning Representations, (2020); Edunov Sergey, Ott Myle, Auli Michael, Grangier David, Understanding back-translation at scale, Proceedings of the 2018 Conference on Empirical Methods in Natural Language Processing, pp. 489-500, (2018); Gu Jiatao, Wang Yong, Chen Yun, Cho Kyunghyun, Li Victor OK, Meta-learning for low-resource neural machine translation, 2018 Conference on Empirical Methods in Natural Language Processing, EMNLP 2018, pp. 3622-3631, (2020); Haddow Barry, Bawden Rachel, Valerio Miceli Barone Antonio, Helcl Jindrich, Birch Alexandra, Survey of low-resource machine translation, Computational Linguistics, 48, 3, pp. 673-732, (2022); Han Xu, Zhang Zhengyan, Ding Ning, Gu Yuxian, Liu Xiao, Huo Yuqi, Qiu Jiezhong, Yao Yuan, Zhang Ao, Zhang Liang, Et al., Pre-trained models: Past, present and future, AI Open, 2, pp. 225-250, (2021); He Kaiming, Zhang Xiangyu, Ren Shaoqing, Sun Jian, Deep residual learning for image recognition, Proceedings of the IEEE conference on computer vision and pattern recognition, pp. 770-778, (2016); Ho Jonathan, Jain Ajay, Abbeel Pieter, Denoising diffusion probabilistic models, Advances in Neural Information Processing Systems, 33, pp. 6840-6851, (2020); Ho Jonathan, Salimans Tim, Gritsenko Alexey A, Chan William, Norouzi Mohammad, Fleet David J, Video diffusion models, ICLR Workshop on Deep Generative Models for Highly Structured Data, (2022); Hu Yuting, Zheng Liang, Yang Yi, Huang Yongfeng, Twitter100k: A real-world dataset for weakly supervised cross-media retrieval, IEEE Transactions on Multimedia, 20, 4, pp. 927-938, (2017); Jin Wengong, Barzilay Regina, Jaakkola Tommi, Junction tree variational autoencoder for molecular graph generation, International conference on machine learning, pp. 2323-2332, (2018); Devlin Ming-Wei Jacob, Kenton Chang, Toutanova Lee Kristina, Bert: Pre-training of deep bidirectional transformers for language understanding, Proceedings of NAACL-HLT, pp. 4171-4186, (2019); Khosla Prannay, Teterwak Piotr, Wang Chen, Sarna Aaron, Tian Yonglong, Isola Phillip, Maschinot Aaron, Liu Ce, Krishnan Dilip, Supervised contrastive learning, Advances in Neural Information Processing Systems, 33, pp. 18661-18673, (2020); Kim Wonjae, Son Bokyung, Kim Ildoo, Vilt: Vision-and-language transformer without convolution or region supervision, International Conference on Machine Learning, pp. 5583-5594, (2021); Lample Guillaume, Ballesteros Miguel, Subramanian Sandeep, Kawakami Kazuya, Dyer Chris, Neural architectures for named entity recognition, Proceedings of NAACL-HLT, pp. 260-270, (2016); Li Liunian Harold, Yatskar Mark, Yin Da, Hsieh Cho-Jui, Chang Kai-Wei, Visualbert: A simple and performant baseline for vision and language, (2019); Li Zejun, Fan Zhihao, Tou Huaixiao, Chen Jingjing, Wei Zhongyu, Huang Xuanjing, Mvptr: Multi-level semantic alignment for vision-language pre-training via multi-stage learning, Proceedings of the 30th ACM International Conference on Multimedia, pp. 4395-4405, (2022); Lin Tsung-Yi, Maire Michael, Belongie Serge, Hays James, Perona Pietro, Ramanan Deva, Dollar Piotr, Lawrence Zitnick C, Microsoft coco: Common objects in context, European conference on computer vision, pp. 740-755, (2014); Lu Di, Neves Leonardo, Carvalho Vitor, Zhang Ning, Ji Heng, Visual attention model for name tagging in multimodal social media, Proceedings of the 56th Annual Meeting of the Association for Computational Linguistics (Volume 1: Long Papers), pp. 1990-1999, (2018); Ma Xuezhe, Hovy Eduard, End-to-end sequence labeling via bi-directional lstm-cnns-crf, Proceedings of the 54th Annual Meeting of the Association for Computational Linguistics (Volume 1: Long Papers), pp. 1064-1074, (2016); Moon Seungwhan, Neves Leonardo, Carvalho Vitor, Multimodal named entity recognition for short social media posts, (2018); Radford Alec, Kim Jong Wook, Hallacy Chris, Ramesh Aditya, Goh Gabriel, Agarwal Sandhini, Sastry Girish, Askell Amanda, Mishkin Pamela, Clark Jack, Et al., Learning transferable visual models from natural language supervision, International Conference on Machine Learning, pp. 8748-8763, (2021); Rombach Robin, Blattmann Andreas, Lorenz Dominik, Esser Patrick, Ommer Bjorn, High-resolution image synthesis with latent diffusion models, Proceedings of the IEEE/CVF Conference on Computer Vision and Pattern Recognition, pp. 10684-10695, (2022); Saharia Chitwan, Chan William, Saxena Saurabh, Li Lala, Whang Jay, Denton Emily, Ghasemipour Seyed Kamyar Seyed, Ayan Burcu Karagol, Sara Mahdavi S, Lopes Rapha Gontijo, Et al., Photorealistic text-to-image diffusion models with deep language understanding, (2022); Schuhmann Christoph, Beaumont Romain, Vencu Richard, Gordon Cade W, Wightman Ross, Cherti Mehdi, Coombes Theo, Katta Aarush, Mullis Clayton, Wortsman Mitchell, Et al., Laion-5b: An open large-scale dataset for training next generation image-text models, Thirty-sixth Conference on Neural Information Processing Systems Datasets and Benchmarks Track; Schuhmann Christoph, Kaczmarczyk Robert, Komatsuzaki Aran, Katta Aarush, Vencu Richard, Beaumont Romain, Jitsev Jenia, Coombes Theo, Mullis Clayton, Laion-400m: Open dataset of clip-filtered 400 million image-text pairs, NeurIPS Workshop Datacentric AI, (2021); Soares Livio Baldini, Fitzgerald Nicholas, Ling Jeffrey, Kwiatkowski Tom, Matching the blanks: Distributional similarity for relation learning, Proceedings of the 57th Annual Meeting of the Association for Computational Linguistics, pp. 2895-2905, (2019); Song Yang, Sohl-Dickstein Jascha, Kingma Diederik P, Kumar Abhishek, Ermon Stefano, Poole Ben, Score-based generative modeling through stochastic differential equations, International Conference on Learning Representations, (2020); Sun Lin, Wang Jiquan, Zhang Kai, Su Yindu, Weng Fangsheng, Rpbert: a text-image relation propagation-based bert model for multimodal ner, Proceedings of the AAAI Conference on Artificial Intelligence, 35, pp. 13860-13868, (2021); Vempala Alakananda, Preotiuc-Pietro Daniel, Categorizing and inferring the relationship between the text and image of twitter posts, Proceedings of the 57th annual meeting of the Association for Computational Linguistics, pp. 2830-2840, (2019); Wu Zhiwei, Zheng Changmeng, Cai Yi, Chen Junying, Leung Ho-fung, Li Qing, Multimodal representation with embedded visual guiding objects for named entity recognition in social media posts, Proceedings of the 28th ACM International Conference on Multimedia, pp. 1038-1046, (2020); Yang Sibei, Li Guanbin, Yu Yizhou, Cross-modal relationship inference for grounding referring expressions, Proceedings of the IEEE/CVF Conference on Computer Vision and Pattern Recognition, pp. 4145-4154, (2019); Yang Zhengyuan, Gong Boqing, Wang Liwei, Huang Wenbing, Yu Dong, Luo Jiebo, A fast and accurate one-stage approach to visual grounding, Proceedings of the IEEE/CVF International Conference on Computer Vision, pp. 4683-4693, (2019); Jianfei YU, JIANG Jing, YANG Li, Rui XIA., Improving multimodal named entity recognition via entity span detection with unified multimodal transformer, Proceedings of the 58th Annual Meeting of the Association for Computational Linguistics, pp. 3342-3352, (2020); Zeng Daojian, Liu Kang, Chen Yubo, Zhao Jun, Distant supervision for relation extraction via piecewise convolutional neural networks, Proceedings of the 2015 conference on empirical methods in natural language processing, pp. 1753-1762, (2015); Zhang Dong, Wei Suzhong, Li Shoushan, Wu Hanqian, Zhu Qiaoming, Zhou Guodong, Multimodal graph fusion for named entity recognition with targeted visual guidance, Proceedings of the AAAI Conference on Artificial Intelligence, 35, pp. 14347-14355, (2021); Zhang Pengchuan, Li Xiujun, Hu Xiaowei, Yang Jianwei, Zhang Lei, Wang Lijuan, Choi Yejin, Gao Jianfeng, Vinvl: Revisiting visual representations in vision-language models, Proceedings of the IEEE/CVF Conference on Computer Vision and Pattern Recognition, pp. 5579-5588, (2021); Zhang Qi, Fu Jinlan, Liu Xiaoyu, Huang Xuanjing, Adaptive co-attention network for named entity recognition in tweets, Thirty-Second AAAI Conference on Artificial Intelligence, (2018); Zhao Fei, Li Chunhui, Wu Zhen, Xing Shangyu, Dai Xinyu, Learning from different text-image pairs: A relation-enhanced graph convolutional network for multimodal ner, Proceedings of the 30th ACM International Conference on Multimedia, pp. 3983-3992, (2022); Zheng Changmeng, Feng Junhao, Fu Ze, Cai Yi, Li Qing, Wang Tao, Multimodal relation extraction with efficient graph alignment, Proceedings of the 29th ACM International Conference on Multimedia, pp. 5298-5306, (2021); Zheng Changmeng, Wu Zhiwei, Feng Junhao, Fu Ze, Cai Yi, Mnre: A challenge multimodal dataset for neural relation extraction with visual evidence in social media posts, 2021 IEEE International Conference on Multimedia and Expo (ICME), pp. 1-6, (2021); Zheng Changmeng, Wu Zhiwei, Wang Tao, Cai Yi, Li Qing, Object-aware multimodal named entity recognition in social media posts with adversarial learning, IEEE Transactions on Multimedia, 23, pp. 2520-2532, (2020)</t>
  </si>
  <si>
    <t>X.-Y. Wei; Department of Computing, The Hong Kong Polytechnic University, Hong Kong; email: cswei@scu.edu.cn</t>
  </si>
  <si>
    <t>2-s2.0-85174391363</t>
  </si>
  <si>
    <t>Shi Y.; Jiang G.; Qiu T.; Yang D.</t>
  </si>
  <si>
    <t>Shi, Yuchen (57666097800); Jiang, Guochao (59008975200); Qiu, Tian (59339310600); Yang, Deqing (56138582400)</t>
  </si>
  <si>
    <t>57666097800; 59008975200; 59339310600; 56138582400</t>
  </si>
  <si>
    <t>AgentRE: An Agent-Based Framework for Navigating Complex Information Landscapes in Relation Extraction</t>
  </si>
  <si>
    <t>International Conference on Information and Knowledge Management, Proceedings</t>
  </si>
  <si>
    <t>2045.0</t>
  </si>
  <si>
    <t>2055.0</t>
  </si>
  <si>
    <t>10.1145/3627673.3679791</t>
  </si>
  <si>
    <t>https://www.scopus.com/inward/record.uri?eid=2-s2.0-85210024610&amp;doi=10.1145%2f3627673.3679791&amp;partnerID=40&amp;md5=0eadba098cac7e3acf4b36a354d804ab</t>
  </si>
  <si>
    <t>School of Data Science, Fudan University, Shanghai, China</t>
  </si>
  <si>
    <t>Shi Y., School of Data Science, Fudan University, Shanghai, China; Jiang G., School of Data Science, Fudan University, Shanghai, China; Qiu T., School of Data Science, Fudan University, Shanghai, China; Yang D., School of Data Science, Fudan University, Shanghai, China</t>
  </si>
  <si>
    <t>The relation extraction (RE) in complex scenarios faces challenges such as diverse relation types and ambiguous relations between entities within a single sentence, leading to the poor performance of pure "text-in, text-out"language models (LMs). To address these challenges, in this paper, we propose an agent-based RE framework, namely "AgentRE", which fully leverages the potential of large language models (LLMs) including memory, retrieval and reflection, to achieve RE in complex scenarios. Specifically, three major modules are built in AgentRE serving as the tools to help the agent acquire and process various useful information, thereby obtaining improved RE performance. Our extensive experimental results upon two datasets in English and Chinese demonstrate our AgentRE's superior performance, especially in low-resource scenarios. Additionally, the trajectories generated by AgentRE can be refined to construct a high-quality training dataset incorporating different reasoning methods, which can be used to fine-tune smaller models.  ¬© 2024 ACM.</t>
  </si>
  <si>
    <t>agent; large language model; memory; relation extraction; retrieval</t>
  </si>
  <si>
    <t>Autonomous agents; Agent based; Agent-based framework; Complex information; Language model; Large language model; Memory retrieval; Performance; Poor performance; Relation extraction; Retrieval; Modeling languages</t>
  </si>
  <si>
    <t>Major Research Plan, (92270121, 62102095); Major Research Plan; Science and Technology Innovation Plan Of Shanghai Science and Technology Commission, (21511100401); Science and Technology Innovation Plan Of Shanghai Science and Technology Commission</t>
  </si>
  <si>
    <t>This work was supported by the Chinese NSF Major Research Plan (No.92270121), Youth Fund (No.62102095), Shanghai Science and Technology Innovation Action Plan (No.21511100401).</t>
  </si>
  <si>
    <t>Bekoulis G., Deleu J., Demeester T., Develder C., Joint entity recognition and relation extraction as a multi-head selection problem, Expert Systems with Applications, 114, pp. 34-45, (2018); Bi Z., Chen J., Jiang Y., Xiong F., Guo W., Chen H., Zhang N., CodeKGC: Code Language Model for Generative Knowledge Graph Construction, ACM Transactions on Asian and Low-Resource Language Information Processing, (2023); Bousmalis K., Vezzani G., Rao D., Devin C., Lee A.X., Bauza M., Davchev T., Zhou Y., Gupta A., Raju A.S., Laurens A., Fantacci C., Dalibard V., Zambelli M., Fernandes Martins M., Pevceviciute R., Blokzijl M., Denil M., Batchelor N., Lampe T., Parisotto E., Zolna K., Reed S.E., Gomez Colmenarejo S., Scholz J., Abdolmaleki A., Groth O., Regli J., Sushkov O.O., Rothorl T., Enrique Chen J., Aytar Y., Barker D., Ortiz J., Riedmiller M.A., Tobias Springenberg J., Hadsell R., Nori F., Manfred Otto Heess N., RoboCat: A Self-Improving Generalist Agent for Robotic Manipulation, (2023); Chen B., Shu C., Shareghi E., Collier N., Narasimhan K., Yao S., FireAct: Toward Language Agent Fine-tuning, (2023); Chung H., Hou L., Longpre S., Zoph B., Tay Y., Fedus W., Li E., Wang X., Dehghani M., Brahma S., Webson A., Shane Gu S., Dai Z., Suzgun M., Chen X., Chowdhery A., Valter D., Narang S., Mishra G., Wei Yu A., Zhao V., Huang Y., Dai A.M., Yu H., Petrov S., Huai Hsin Chi E., Dean J., Devlin J., Roberts A., Zhou D., Le Q.V., Wei J., Scaling Instruction-Finetuned Language Models, (2022); Gao T., Yao X., Chen D., SimCSE: Simple Contrastive Learning of Sentence Embeddings, Conference on Empirical Methods in Natural Language Processing, (2021); Guo D., Zhu Q., Yang D., Xie Z., Dong K., Zhang W., Chen G., Bi X., Wu Y., Li Y.K., Luo F., Xiong Y., Liang W., DeepSeek-Coder: When the Large Language Model Meets Programming-The Rise of Code Intelligence, (2024); Guo Y., Li Z., Jin X., Liu Y., Zeng Y., Liu W., Li X., Yang P., Bai L., Guo J., Cheng X., Retrieval-Augmented Code Generation for Universal Information Extraction, (2023); Hu E.J., Shen Y., Wallis P., Allen-Zhu Z., Li Y., Wang S., Wang L., Chen W., LoRA: Low-Rank Adaptation of Large Language Models, International Conference on Learning Representations (ICLR), (2022); Li P., Sun T., Tang Q., Yan H., Wu Y., Huang X., Qiu X., CodeIE: Large Code Generation Models are Better Few-Shot Information Extractors, (2023); Li S., He W., Shi Y., Jiang W., Liang H., Jiang Y., Zhang Y., Lyu Y., Zhu Y., DuIE: A Large-Scale Chinese Dataset for Information Extraction, Natural Language Processing and Chinese Computing, (2019); Li X., Yin F., Sun Z., Li X., Yuan A., Chai D., Zhou M., Li J., Entity-Relation Extraction as Multi-Turn Question Answering, (2019); Liu Y., Ott M., Goyal N., Du J., Joshi M., Chen D., Levy O., Lewis M., Zettlemoyer L., Stoyanov V., Roberta: A robustly optimized bert pretraining approach, (2019); Loshchilov I., Hutter F., DecoupledWeight Decay Regularization, International Conference on Learning Representations, (2017); Lou J., Lu Y., Dai D., Jia W., Lin H., Han X., Sun L., Wu H., Universal Information Extraction as Unified Semantic Matching, Proceedings of the AAAI Conference on Artificial Intelligence, 37, 11, pp. 13318-13326, (2023); Lu Y., Liu Q., Dai D., Xiao X., Lin H., Han X., Sun L., Wu H., Unified structure generation for universal information extraction, (2022); Luan Y., He L., Ostendorf M., Hajishirzi H., Multi-Task Identification of Entities, Relations, and Coreference for Scientific Knowledge Graph Construction, Conference on Empirical Methods in Natural Language Processing, (2018); Qiao S., Zhang N., Fang R., Luo Y., Zhou W., Eleanor Jiang Y., Lv C., Chen H., AUTOACT: Automatic Agent Learning from Scratch via Self-Planning, (2024); Raffel C., Shazeer N., Roberts A., Lee K., Narang S., Matena M., Zhou Y., Li W., Liu P.J., Exploring the limits of transfer learning with a unified text-to-text transformer, The Journal of Machine Learning Research, 21, 1, pp. 5485-5551, (2020); Enrique Ramos J., Using TF-IDF to Determine Word Relevance in Document Queries, (2003); Robertson S.E., Zaragoza H., The Probabilistic Relevance Framework: BM25 and beyond, Found. Trends Inf. Retr., 3, pp. 333-389, (2009); Sumers T.R., Yao S., Narasimhan K., Griffiths T.L., Cognitive architectures for language agents, (2023); Touvron H., Martin L., Stone K.R., Albert P., Almahairi A., Babaei Y., Bashlykov N., Batra S., Bhargava P., Bhosale S., Bikel D.M., Blecher L., Canton Ferrer C., Chen M., Cucurull G., Esiobu D., Fernandes J., Fu J., Fu W., Fuller B., Gao C., Goswami V., Goyal N., Hartshorn A., Hosseini S., Hou R., Inan H., Kardas M., Kerkez V., Khabsa M., Kloumann I.M., Korenev A., Singh Koura P., Lachaux M., Lavril T., Lee J., Liskovich D., Lu Y., Mao Y., Martinet X., Mihaylov T., Mishra P., Molybog I., Nie Y., Poulton A., Reizenstein J., Rungta R., Saladi K., Schelten A., Silva R., Michael Smith E., Subramanian R., Tan X., Tang B., Taylor R., Williams A., Xiang Kuan J., Xu P., Yan Z., Zarov I., Zhang Y., Fan A., Kambadur M., Narang S., Rodriguez A., Stojnic R., Edunov S., Scialom T., Llama 2: Open Foundation and Fine-Tuned Chat Models, (2023); Ulmer D., Mansimov E., Lin K., Sun J., Gao X., Zhang Y., Bootstrapping LLM-based Task-Oriented Dialogue Agents via Self-Talk, (2024); Wan Z., Cheng F., Mao Z., Liu Q., Song H., Li J., Kurohashi S., GPT-RE: In-context Learning for Relation Extraction using Large Language Models, (2023); Wang L., Ma C., Feng X., Zhang Z., Yang H., Zhang J., Chen Z., Tang J., Chen X., Lin Y., Xin Zhao W., Wei Z., Wen J., A Survey on Large Language Model based Autonomous Agents, (2023); Wang X., Zhou W., Zu C., Xia H., Chen T., Zhang Y., Zheng R., Ye J., Zhang Q., Gui T., Kang J., Yang J., Li S., Du C., InstructUIE: Multi-task Instruction Tuning for Unified Information Extraction, (2023); Wang Y., Yu B., Zhang Y., Liu T., Zhu H., Sun L., TPLinker: Single-stage joint extraction of entities and relations through token pair linking, (2020); Wei X., Cui X., Cheng N., Wang X., Zhang X., Huang S., Xie P., Xu J., Chen Y., Zhang M., Jiang Y., Han W., Zero-Shot Information Extraction via Chatting with ChatGPT, (2023); Wu L., Zheng Z., Qiu Z., Wang H., Gu H., Shen T., Qin C., Zhu C., Zhu H., Liu Q., Xiong H., Chen E., A Survey on Large Language Models for Recommendation, (2023); Xiao S., Liu Z., Zhang P., Muennighoff N., CPack: Packaged Resources To Advance General Chinese Embedding, (2023); Xu D., Chen W., Peng W., Zhang C., Xu T., Zhao X., Wu X., Zheng Y., Chen E., Large Language Models for Generative Information Extraction: A Survey, (2023); Yao S., Zhao J., Yu D., Shafran I., Narasimhan K.R., Cao Y., ReAct: Synergizing Reasoning and Acting in Language Models, NeurIPS 2022 Foundation Models for Decision Making Workshop, (2022); Ye H., Gui H., Zhang A., Liu T., Hua W., Jia W., Beyond Isolation: Multi-Agent Synergy for Improving Knowledge Graph Construction, (2023); Yu B., Zhang Z., Shu X., Wang Y., Liu T., Wang B., Li S., Joint extraction of entities and relations based on a novel decomposition strategy, (2019); Zhang K., Jimenez Gutierrez B., Su Y., Aligning Instruction Tasks Unlocks Large Language Models as Zero-Shot Relation Extractors, Findings of the Association for Computational Linguistics: ACL 2023, pp. 794-812, (2023); Xin Zhao W., Zhou K., Li J., Tang T., Wang X., Hou Y., Min Y., Zhang B., Zhang J., Dong Z., Du Y., Yang C., Chen Y., Chen Z., Jiang J., Ren R., Li Y., Tang X., Liu Z., Liu P., Nie J., Rong Wen J., A Survey of Large Language Models, (2023); Zhou S., Bowen Y., Sun A., Long C., Li J., Yu H., Sun J., A Survey on Neural Open Information Extraction: Current Status and Future Directions, (2022); Zhou W., Zhang S., Gu Y., Chen M., Poon H., UniversalNER: Targeted Distillation from Large Language Models for Open Named Entity Recognition, The Twelfth International Conference on Learning Representations, (2024); Zhou Y., Shen T., Geng X., Long G., Jiang D., ClarET: Pre-training a Correlation-Aware Context-To-Event Transformer for Event-Centric Generation and Classification, (2022); Zhu Y., Qiao S., Ou Y., Deng S., Zhang N., Lyu S., Shen Y., Liang L., Gu J., Chen H., KnowAgent: Knowledge-Augmented Planning for LLM-Based Agents, (2024); Zhu Y., Wang X., Chen J., Qiao S., Ou Y., Yao Y., Deng S., Chen H., Zhang N., LLMs for Knowledge Graph Construction and Reasoning: Recent Capabilities and Future Opportunities, (2023)</t>
  </si>
  <si>
    <t>D. Yang; School of Data Science, Fudan University, Shanghai, China; email: yangdeqing@fudan.edu.cn</t>
  </si>
  <si>
    <t>ACM SIGIR; ACM SIGWEB</t>
  </si>
  <si>
    <t>33rd ACM International Conference on Information and Knowledge Management, CIKM 2024</t>
  </si>
  <si>
    <t>21 October 2024 through 25 October 2024</t>
  </si>
  <si>
    <t>Boise</t>
  </si>
  <si>
    <t>203771.0</t>
  </si>
  <si>
    <t>979-840070436-9</t>
  </si>
  <si>
    <t>Int Conf Inf Knowledge Manage</t>
  </si>
  <si>
    <t>All Open Access; Green Open Access</t>
  </si>
  <si>
    <t>2-s2.0-85210024610</t>
  </si>
  <si>
    <t>Ma L.; Chen J.; Yao Y.; Zhong N.</t>
  </si>
  <si>
    <t>Ma, Lianfang (57208737514); Chen, Jianhui (36623396600); Yao, Yiyu (57989974600); Zhong, Ning (7102138219)</t>
  </si>
  <si>
    <t>57208737514; 36623396600; 57989974600; 7102138219</t>
  </si>
  <si>
    <t>Joint Constrained Learning for Causal Event-Event Relation Extraction of Brain Connectome</t>
  </si>
  <si>
    <t>Proceedings - 2023 22nd IEEE/WIC International Conference on Web Intelligence and Intelligent Agent Technology, WI-IAT 2023</t>
  </si>
  <si>
    <t>517.0</t>
  </si>
  <si>
    <t>10.1109/WI-IAT59888.2023.00085</t>
  </si>
  <si>
    <t>https://www.scopus.com/inward/record.uri?eid=2-s2.0-85182522611&amp;doi=10.1109%2fWI-IAT59888.2023.00085&amp;partnerID=40&amp;md5=267de552dcce8096b7236221308787f4</t>
  </si>
  <si>
    <t>Beijing University of Technology, Faculty of Information Technology, Beijing, China; University of Regina, Department of Computer Science, Regina, SK, Canada; Maebashi Institute of Technology, Faculty of Engineering, Maebashi, Gunma, Japan</t>
  </si>
  <si>
    <t>Ma L., Beijing University of Technology, Faculty of Information Technology, Beijing, China; Chen J., Beijing University of Technology, Faculty of Information Technology, Beijing, China; Yao Y., University of Regina, Department of Computer Science, Regina, SK, Canada; Zhong N., Maebashi Institute of Technology, Faculty of Engineering, Maebashi, Gunma, Japan</t>
  </si>
  <si>
    <t>Brain science research has entered the era of con-nectome. The era of connectome has brought new challenges and opportunities for brain science research. Many studies have reported the structural and functional connections of the brain, but extracting scientific evidences from them is not easy. Traditional neuroimaging text mining methods based on terms are not suitable for the complex experimental designs and results analysis of brain connectome studies. Therefore, this paper proposes a novel method for event-level neuroimaging text mining, which aims to extract causal event-event relations of brain connectome. The method uses a deep learning model that combines BiLSTM and MLP, and incorporates constraints learning to enhance the model's performance on few-shot datasets. The constraints include common sense constraints and domain constraints, which help the model to learn from prior knowledge and domain expertise. The experiments on a brain connectome article dataset show that the proposed method can effectively extract the causal event-event relations of brain connectome with low resource requirements.  ¬© 2023 IEEE.</t>
  </si>
  <si>
    <t>brain connectivity; causal event-event relation extraction; constraint learning; neuroimaging text mining</t>
  </si>
  <si>
    <t>Data mining; Deep learning; Extraction; Learning systems; Brain connectivity; Brain science; Causal event-event relation extraction; Connectomes; Constraint learning; Neuroimaging text mining; Relation extraction; Science research; Structural connections; Text-mining; Neuroimaging</t>
  </si>
  <si>
    <t>Natural Science Foundation of Beijing Municipality, (4222022); Natural Science Foundation of Beijing Municipality; National Key Research and Development Program of China, NKRDPC, (2020YFB2104402); National Key Research and Development Program of China, NKRDPC</t>
  </si>
  <si>
    <t>The work is supported by Beijing Natural Science Foundation (No. 4222022) and National Key Research and Development Program of China (Grant No. 2020YFB2104402).</t>
  </si>
  <si>
    <t>Bullmore E., Sporns O., Complex brain networks: Graph theoretical analysis of structural and functional systems, Nat Rev Neurosci, 10, 3, pp. 186-198, (2009); Sporns O., Tononi G., Kotter R., The human connectome: A structural description of the human brain, PLoS Computational Biology, 1, (2005); Dennis E.L., Thompson P.M., Functional Brain Connectivity Using fMRI in Aging and Alzheimers Disease, Neuropsychology Review, 24, pp. 49-62, (2014); Elizabeth B., Christopher P., Poldrack R.A., Et al., A datadriven framework for mapping domains of human neurobiology, Nature Neuroscience, 24, pp. 1733-1744, (2021); Kuai H., Zhong N., Chen J., Et al., Multi-source brain computing with systematic fusion for smart health, Information Fusion, 75, pp. 150-167, (2021); Yarkoni T., Poldrack R.A., Nichols T.E., Et al., Large-scale automated synthesis of human functional neuroimaging data, Nature Methods, 8, 8, pp. 665-670, (2011); Poldrack R.A., Mumford J.A., Schonberg T., Et al., Discovering relations between mind, brain, and mental disorders using topic mapping, PLoS Comput. Biol, 8, (2013); French L., Lane S., Xu L., Et al., Application and evaluation of automated methods to extract neuroanatomical connectivity statements from free text, Bioinformatics, 28, pp. 2963-2970, (2012); Alhazmi F.H., Beaton D., Abdi H., Semantically defined subdomains of functional neuroimaging literature and their corresponding brain regions, Human Brain Mapping, 39, pp. 2764-2776, (2018); Abacha A.B., Herrera A., Ke W., Et al., Named entity recognition in functional neuroimaging literature, Proceedings of the 2017 Ieee International Conference on Bioinformatics and Biomedicine (BIBM, pp. 2218-2220, (2017); Shardlow M., Ju M., Li M., Et al., A text mining pipeline using active and deep learning aimed at curating information in computational neuroscience, Neuroinformatics, 17, pp. 391-406, (2018); Zhu H., Zeng Y., Wang D., Et al., Species classification for neuroscience literature based on span of interest using sequence-tosequence learning model, Frontiers in Human Neuroscience, 14, (2020); Lin S., Xu Z., Sheng Y., Et al., AT-NeuroEAE: A Joint Extraction Model of Events with Attributes for Research Sharing-Oriented Neuroimaging Provenance Construction, Frontiers in Neuroscience, 15, (2022); Guan H., Li J., Xu H., Devarakonda M., Robustly Pre-Trained Neural Model for Direct Temporal Relation Extraction, 2021 Ieee 9th International Conference on Healthcare Informatics (ICHI, pp. 501-502, (2021); Akkasi A., Moens M.F., Causal Relationship Extraction from Biomedical Text Using Deep Neural Models: A Comprehensive Survey, Journal of Biomedical Informatics, 119, (2021); Weichwald S., Peters J., Causality in Cognitive Neuroscience: Concepts, Challenges, and Distributional Robustness, Journal of Cognitive Neuroscience, 33, 2, pp. 226-247, (2021); Siddiqi S.H., Kording K.P., Parvizi J., Fox M.D., Causal mapping of human brain function, Nature Reviews Neuroscience, 23, pp. 361-375, (2022); Whitesell J.D., Liska A., Coletta L., Et al., Regional, Layer, and Cell-Type-Specific Connectivity of the Mouse Default Mode Network, Neuron, 109, 3, pp. 545-559e8, (2021); Zhong H., Chen J., Kotake T., Et al., Developing a Brain Informatics Provenance Model, Brain and Health Informatics, 8211, pp. 439-449, (2013); Yan J., Chen L., Yu Y., Et al., Neuroimaging-ITM: A Text Mining Pipeline Combining Deep Adversarial Learning with Interaction Based Topic Modeling for Enabling the FAIR Neuroimaging Study, Neuroinformatics, 20, 3, pp. 701-726, (2022); Lee J., Yoon W., Kim S., BioBERT: A pre-trained biomedical language representation model for biomedical text mining, Bioinformatics, 36, 4, pp. 1234-1240, (2020); Wang H., Chen M., Zhang H., Et al., Joint Constrained Learning for Event-Event Relation Extraction, (2020)</t>
  </si>
  <si>
    <t>Ca' Foscari University of Venice; IEEE Computer Society; Institute of Electrical and Electronics Engineers (IEEE); IOS Press; Web Intelligence Consortium (WIC)</t>
  </si>
  <si>
    <t>22nd IEEE/WIC International Conference on Web Intelligence and Intelligent Agent Technology, WI-IAT 2023</t>
  </si>
  <si>
    <t>26 October 2023 through 29 October 2023</t>
  </si>
  <si>
    <t>Hybrid, Venice</t>
  </si>
  <si>
    <t>195652.0</t>
  </si>
  <si>
    <t>979-835030918-8</t>
  </si>
  <si>
    <t>Proc. - IEEE/WIC Int. Conf. Web Intell. Intell. Agent Technol., WI-IAT</t>
  </si>
  <si>
    <t>2-s2.0-85182522611</t>
  </si>
  <si>
    <t>Liu C.; Zhao F.; Kang Y.; Zhang J.; Zhou X.; Sun C.; Kuang K.; Wu F.</t>
  </si>
  <si>
    <t>Liu, Chengyuan (57944325500); Zhao, Fubang (57224919264); Kang, Yangyang (55486938100); Zhang, Jingyuan (57207955618); Zhou, Xiang (58295855300); Sun, Changlong (57209225440); Kuang, Kun (57193524618); Wu, Fei (55533360000)</t>
  </si>
  <si>
    <t>57944325500; 57224919264; 55486938100; 57207955618; 58295855300; 57209225440; 57193524618; 55533360000</t>
  </si>
  <si>
    <t>RexUIE: A Recursive Method with Explicit Schema Instructor for Universal Information Extraction</t>
  </si>
  <si>
    <t>15342.0</t>
  </si>
  <si>
    <t>15359.0</t>
  </si>
  <si>
    <t>https://www.scopus.com/inward/record.uri?eid=2-s2.0-85182863920&amp;partnerID=40&amp;md5=d186f5b3bc3289020839a39788b9d4e2</t>
  </si>
  <si>
    <t>College of Computer Science and Technology, Zhejiang University, China; Damo Academy, Alibaba Group, China; Guanghua Law School, Zhejiang University, China; Shanghai Institute for Advanced Study of Zhejiang University, China</t>
  </si>
  <si>
    <t>Liu C., College of Computer Science and Technology, Zhejiang University, China; Zhao F., Damo Academy, Alibaba Group, China; Kang Y., Damo Academy, Alibaba Group, China; Zhang J., Damo Academy, Alibaba Group, China; Zhou X., Guanghua Law School, Zhejiang University, China; Sun C., Damo Academy, Alibaba Group, China; Kuang K., College of Computer Science and Technology, Zhejiang University, China; Wu F., College of Computer Science and Technology, Zhejiang University, China, Shanghai Institute for Advanced Study of Zhejiang University, China</t>
  </si>
  <si>
    <t>Universal Information Extraction (UIE) is an area of interest due to the challenges posed by varying targets, heterogeneous structures, and demand-specific schemas. Previous works have achieved success by unifying a few tasks, such as Named Entity Recognition (NER) and Relation Extraction (RE), while they fall short of being true UIE models particularly when extracting other general schemas such as quadruples and quintuples. Additionally, these models used an implicit structural schema instructor, which could lead to incorrect links between types, hindering the model's generalization and performance in low-resource scenarios. In this paper, we redefine the true UIE with a formal formulation that covers almost all extraction schemas. To the best of our knowledge, we are the first to introduce UIE for any kind of schemas. In addition, we propose RexUIE, which is a Recursive Method with Explicit Schema Instructor for UIE. To avoid interference between different types, we reset the position ids and attention mask matrices. RexUIE shows strong performance under both full-shot and few-shot settings and achieves state-of-the-art results on the tasks of extracting complex schemas. ¬© 2023 Association for Computational Linguistics.</t>
  </si>
  <si>
    <t>Computational linguistics; Area of interest; Explicit schemata; Extraction modeling; Heterogeneous demand; Heterogeneous structures; Model generalization; Modeling performance; Named entity recognition; Recursive methods; Relation extraction; Information retrieval</t>
  </si>
  <si>
    <t>Shanghai AI Laboratory, (P22KS00111); StarryNight Science Fund of Zhejiang University Shanghai Institute for Advanced Study, (SN-ZJU-SIAS-0010); National Natural Science Foundation of China, NSFC, (62037001, 62376243, U20A20387); National Key Research and Development Program of China, NKRDPC, (2022YFC3340900); Fundamental Research Funds for the Central Universities, (226-2022-00051, 226-2022-00142); Science and Technology Program of Zhejiang Province, (2022C01044)</t>
  </si>
  <si>
    <t>This work was supported in part by National Key Research and Development Program of China (2022YFC3340900), National Natural Science Foundation of China (62376243, 62037001, U20A20387), the StarryNight Science Fund of Zhejiang University Shanghai Institute for Advanced Study (SN-ZJU-SIAS-0010), Alibaba Group through Alibaba Research Intern Program, Project by Shanghai AI Laboratory (P22KS00111), Program of Zhejiang Province Science and Technology (2022C01044), the Fundamental Research Funds for the Central Universities (226-2022-00142, 226-2022-00051).</t>
  </si>
  <si>
    <t>Chia Yew Ken, Bing Lidong, Aljunied Sharifah Mahani, Si Luo, Poria Soujanya, A dataset for hyper-relational extraction and a cube-filling approach, Proceedings of the 2022 Conference on Empirical Methods in Natural Language Processing, pp. 10114-10133, (2022); Devlin Jacob, Chang Ming-Wei, Lee Kenton, Toutanova Kristina, BERT: Pre-training of deep bidirectional transformers for language understanding, Proceedings of the 2019 Conference of the North American Chapter of the Association for Computational Linguistics: Human Language Technologies, Volume 1 (Long and Short Papers), pp. 4171-4186, (2019); Ding Ning, Xu Guangwei, Chen Yulin, Wang Xiaobin, Han Xu, Xie Pengjun, Zheng Haitao, Liu Zhiyuan, Few-NERD: A few-shot named entity recognition dataset, Proceedings of the 59th Annual Meeting of the Association for Computational Linguistics and the 11th International Joint Conference on Natural Language Processing (Volume 1: Long Papers), pp. 3198-3213, (2021); He Pengcheng, Liu Xiaodong, Gao Jianfeng, Chen Weizhu, Deberta: Decoding-enhanced bert with disentangled attention, International Conference on Learning Representations, (2021); Huguet Cabot Pere-Lluis, Navigli Roberto, REBEL: Relation extraction by end-to-end language generation, Findings of the Association for Computational Linguistics: EMNLP 2021, pp. 2370-2381, (2021); Kan Zhigang, Feng Linhui, Yin Zhangyue, Qiao Linbo, Qiu Xipeng, Li Dongsheng, A Unified Generative Framework based on Prompt Learning for Various Information Extraction Tasks, (2022); Lample Guillaume, Ballesteros Miguel, Sub-ramanian Sandeep, Kawakami Kazuya, Dyer Chris, Neural architectures for named entity recognition, CoRR, (2016); Li Qian, Guo Shu, Wu Jia, Li Jianxin, Sheng Jiawei, Wang Lihong, Dong Xiaohan, Peng Hao, Event extraction by associating event types and argument roles, CoRR, (2021); Li Zhe, Fu Luoyi, Wang Xinbing, Zhang Haisong, Zhou Chenghu, RFBFN: A relation-first blank filling network for joint relational triple extraction, Proceedings of the 60th Annual Meeting of the Association for Computational Linguistics: Student Research Workshop, ACL 2022, pp. 10-20, (2022); Lin Ying, Ji Heng, Huang Fei, Wu Lingfei, A joint neural model for information extraction with global features, Proceedings of the 58th Annual Meeting of the Association for Computational Linguistics, pp. 7999-8009, (2020); Liu Jingjing, Pasupat Panupong, Cyphers Scott, Glass James, Asgard: A portable architecture for multilingual dialogue systems, pp. 8386-8390, (2013); Liu Yinhan, Ott Myle, Goyal Naman, Du Jingfei, Joshi Mandar, Chen Danqi, Levy Omer, Lewis Mike, Zettlemoyer Luke, Stoyanov Veselin, Roberta: A robustly optimized bert pretraining approach, (2019); Liu Zihan, Xu Yan, Yu Tiezheng, Dai Wenliang, Ji Ziwei, Cahyawijaya Samuel, Madotto Andrea, Fung Pas-cale, Crossner: Evaluating cross-domain named entity recognition, (2020); Liu Ziheng, Xia Rui, Yu Jianfei, Comparative opinion quintuple extraction from product reviews, Proceedings of the 2021 Conference on Empirical Methods in Natural Language Processing, pp. 3955-3965, (2021); Loshchilov Ilya, Hutter Frank, Fixing weight decay regularization in adam, CoRR, (2017); Lou Chao, Yang Songlin, Tu Kewei, Nested named entity recognition as latent lexicalized constituency parsing, Proceedings of the 60th Annual Meeting of the Association for Computational Linguistics (Volume 1: Long Papers), pp. 6183-6198, (2022); Lou Jie, Lu Yaojie, Dai Dai, Jia Wei, Lin Hongyu, Han Xianpei, Sun Le, Wu Hua, Universal information extraction as unified semantic matching, (2023); Lu Yaojie, Lin Hongyu, Xu Jin, Han Xianpei, Tang Jialong, Li Annan, Sun Le, Liao Meng, Chen Shaoyi, Text2Event: Controllable sequence-to-structure generation for end-to-end event extraction, Proceedings of the 59th Annual Meeting of the Association for Computational Linguistics and the 11th International Joint Conference on Natural Language Processing (Volume 1: Long Papers), pp. 2795-2806, (2021); Lu Yaojie, Lin Hongyu, Xu Jin, Han Xianpei, Tang Jialong, Li Annan, Sun Le, Liao Meng, Chen Shaoyi, Text2Event: Controllable sequence-to-structure generation for end-to-end event extraction, Proceedings of the 59th Annual Meeting of the Association for Computational Linguistics and the 11th International Joint Conference on Natural Language Processing (Volume 1: Long Papers), pp. 2795-2806, (2021); Lu Yaojie, Liu Qing, Dai Dai, Xiao Xinyan, Lin Hongyu, Han Xianpei, Sun Le, Wu Hua, Unified structure generation for universal information extraction, Proceedings of the 60th Annual Meeting of the Association for Computational Linguistics (Volume 1: Long Papers), pp. 5755-5772, (2022); Luan Yi, He Luheng, Ostendorf Mari, Hajishirzi Hannaneh, Multi-task identification of entities, relations, and coreference for scientific knowledge graph construction, Proceedings of the 2018 Conference on Empirical Methods in Natural Language Processing, pp. 3219-3232, (2018); Mitchell Alexis, Strassel Stephanie, Huang Shudong, Zakhary Ramez, Ace 2004 multilingual training corpus, (2005); Van Nguyen Minh, Lai Viet Dac, Nguyen Thien Huu, Cross-task instance representation interactions and label dependencies for joint information extraction with graph convolutional networks, Proceedings of the 2021 Conference of the North American Chapter of the Association for Computational Linguistics: Human Language Technologies, pp. 27-38, (2021); Van Nguyen Minh, Min Bonan, Dernoncourt Franck, Nguyen Thien, Joint extraction of entities, relations, and events via modeling inter-instance and inter-label dependencies, Proceedings of the 2022 Conference of the North American Chapter of the Association for Computational Linguistics: Human Language Technologies, pp. 4363-4374, (2022); Paolini Giovanni, Athiwaratkun Ben, Krone Jason, Ma Jie, Achille Alessandro, Anubhai Rishita, dos Santos Cicero Nogueira, Xiang Bing, Soatto Ste-fano, Structured prediction as translation between augmented natural languages, CoRR, (2021); Pontiki Maria, Galanis Dimitris, Papageorgiou Haris, Androutsopoulos Ion, Manandhar Suresh, AL-Smadi Mohammad, Al-Ayyoub Mahmoud, Zhao Yanyan, Qin Bing, De Clercq Orphee, Hoste Veronique, Apidianaki Marianna, Tannier Xavier, Loukachevitch Natalia, Kotelnikov Evgeniy, Bel Nuria, Jimenez-Zafra Salud Maria, Eryigit Gulsen, SemEval-2016 task 5: Aspect based sentiment analysis, Proceedings of the 10th International Workshop on Semantic Evaluation (SemEval-2016), pp. 19-30, (2016); Pontiki Maria, Galanis Dimitris, Papageorgiou Haris, Manandhar Suresh, Androutsopoulos Ion, SemEval-2015 task 12: Aspect based sentiment analysis, Proceedings of the 9th International Workshop on Semantic Evaluation (SemEval 2015), pp. 486-495, (2015); Pontiki Maria, Galanis Dimitris, Pavlopoulos John, Papageorgiou Harris, Androutsopoulos Ion, Manandhar Suresh, SemEval-2014 task 4: Aspect based sentiment analysis, Proceedings of the 8th International Workshop on Semantic Evaluation (SemEval 2014), pp. 27-35, (2014); Pradhan Sameer, Moschitti Alessandro, Xue Nianwen, Ng Hwee Tou, Bjorkelund Anders, Uryupina Olga, Zhang Yuchen, Zhong Zhi, Towards robust linguistic analysis using OntoNotes, Proceedings of the Seventeenth Conference on Computational Natural Language Learning, pp. 143-152, (2013); Rajpurkar Pranav, Zhang Jian, Lopyrev Konstantin, Liang Percy, SQuAD: 100,000+ Questions for Machine Comprehension of Text, (2016); Riedel Sebastian, Yao Limin, McCallum Andrew, Marlin Benjamin M., Relation extraction with matrix factorization and universal schemas, Proceedings of the 2013 Conference of the North American Chapter of the Association for Computational Linguistics: Human Language Technologies, pp. 74-84, (2013); Roth Dan, Yih Wen-tau, A linear programming formulation for global inference in natural language tasks, Proceedings of the Eighth Conference on Computational Natural Language Learning (CoNLL-2004) at HLT-NAACL 2004, pp. 1-8, (2004); Satyapanich Taneeya, Ferraro Francis, Finin Tim, Casie: Extracting cybersecurity event information from text, Proceedings of the AAAI Conference on Artificial Intelligence, 34, pp. 8749-8757, (2020); Su Jianlin, Lu Yu, Pan Shengfeng, Murtadha Ahmed, Wen Bo, Liu Yunfeng, Roformer: Enhanced transformer with rotary position embedding, (2021); Su Jianlin, Murtadha Ahmed, Pan Shengfeng, Hou Jing, Sun Jun, Huang Wanwei, Wen Bo, Liu Yunfeng, Global pointer: Novel efficient span-based approach for named entity recognition, (2022); Sun Yifan, Cheng Changmao, Zhang Yuhan, Zhang Chi, Zheng Liang, Wang Zhongdao, Wei Yichen, Circle loss: A unified perspective of pair similarity optimization, Proceedings of the IEEE/CVF conference on computer vision and pattern recognition, pp. 6398-6407, (2020); Tjong Erik F., Sang Kim, De Meulder Fien, Introduction to the CoNLL-2003 shared task: Language-independent named entity recognition, Proceedings of the Seventh Conference on Natural Language Learning at HLT-NAACL 2003, pp. 142-147, (2003); Walker Christopher, Strassel Stephanie, Medero Julie, Maeda Kazuaki, Ace 2005 multilingual training corpus, (2006); Wang Sijia, Yu Mo, Chang Shiyu, Sun Lichao, Huang Lifu, Query and extract: Refining event extraction as type-oriented binary decoding, Findings of the Association for Computational Linguistics: ACL 2022, pp. 169-182, (2022); Wang Xinyu, Jiang Yong, Bach Nguyen, Wang Tao, Huang Zhongqiang, Huang Fei, Tu Kewei, Improving named entity recognition by external context retrieving and cooperative learning, Proceedings of the 59th Annual Meeting of the Association for Computational Linguistics and the 11th International Joint Conference on Natural Language Processing (Volume 1: Long Papers), pp. 1800-1812, (2021); Wang Yucheng, Yu Bowen, Zhang Yueyang, Liu Tingwen, Zhu Hongsong, Sun Limin, Tplinker: Single-stage joint extraction of entities and relations through token pair linking, (2020); Wang Zihan, Shang Jingbo, Liu Liyuan, Lu Lihao, Liu Jiacheng, Han Jiawei, Crossweigh: Training named entity tagger from imperfect annotations, (2019); Wei Xiang, Cui Xingyu, Cheng Ning, Wang Xiaobin, Zhang Xin, Huang Shen, Xie Pengjun, Xu Jinan, Chen Yufeng, Zhang Meishan, Et al., Zero-shot information extraction via chatting with chatgpt, (2023); Wei Zhepei, Su Jianlin, Wang Yue, Tian Yuan, Chang Yi, A novel cascade binary tagging framework for relational triple extraction, Proceedings of the 58th Annual Meeting of the Association for Computational Linguistics, pp. 1476-1488, (2020); Wolf Thomas, Debut Lysandre, Sanh Victor, Chaumond Julien, Delangue Clement, Moi Anthony, Cistac Pierric, Rault Tim, Louf Remi, Funtowicz Morgan, Davison Joe, Shleifer Sam, von Platen Patrick, Ma Clara, Jernite Yacine, Plu Julien, Xu Canwen, Le Scao Teven, Gugger Sylvain, Drame Mariama, Lhoest Quentin, Rush Alexander M., Transformers: State-of-the-art natural language processing, Proceedings of the 2020 Conference on Empirical Methods in Natural Language Processing: System Demonstrations, pp. 38-45, (2020); Xu Lu, Chia Yew Ken, Bing Lidong, Learning span-level interactions for aspect sentiment triplet extraction, Proceedings of the 59th Annual Meeting of the Association for Computational Linguistics and the 11th International Joint Conference on Natural Language Processing (Volume 1: Long Papers), pp. 4755-4766, (2021); Yan Hang, Gui Tao, Dai Junqi, Guo Qipeng, Zhang Zheng, Qiu Xipeng, A unified generative framework for various NER subtasks, Proceedings of the 59th Annual Meeting of the Association for Computational Linguistics and the 11th International Joint Conference on Natural Language Processing (Volume 1: Long Papers), pp. 5808-5822, (2021); Yan Zhiheng, Zhang Chong, Fu Jinlan, Zhang Qi, Wei Zhongyu, A partition filter network for joint entity and relation extraction, Proceedings of the 2021 Conference on Empirical Methods in Natural Language Processing, pp. 185-197, (2021); Yang Ping, Wang Junjie, Gan Ruyi, Zhu Xinyu, Zhang Lin, Wu Ziwei, Gao Xinyu, Zhang Jiaxing, Sakai Tetsuya, Zero-shot learners for natural language understanding via a unified multiple choice perspective, Proceedings of the 2022 Conference on Empirical Methods in Natural Language Processing, pp. 7042-7055, (2022); Zellers Rowan, Holtzman Ari, Bisk Yonatan, Farhadi Ali, Choi Yejin, Hellaswag: Can a machine really finish your sentence?, Proceedings of the 57th Annual Meeting of the Association for Computational Linguistics, (2019); Zhang Dongxu, Wang Dong, Relation classification via recurrent neural network, CoRR, (2015); Zhang Wenxuan, Li Xin, Deng Yang, Bing Lidong, Lam Wai, Towards generative aspect-based sentiment analysis, Proceedings of the 59th Annual Meeting of the Association for Computational Linguistics and the 11th International Joint Conference on Natural Language Processing (Volume 2: Short Papers), pp. 504-510, (2021); Zheng Hengyi, Wen Rui, Chen Xi, Yang Yifan, Zhang Yunyan, Zhang Ziheng, Zhang Ningyu, Qin Bin, Ming Xu, Zheng Yefeng, PRGC: Potential relation and global correspondence based joint relational triple extraction, Proceedings of the 59th Annual Meeting of the Association for Computational Linguistics and the 11th International Joint Conference on Natural Language Processing (Volume 1: Long Papers), pp. 6225-6235, (2021); Zhong Zexuan, Chen Danqi, A frustratingly easy approach for entity and relation extraction, Proceedings of the 2021 Conference of the North American Chapter of the Association for Computational Linguistics: Human Language Technologies, pp. 50-61, (2021)</t>
  </si>
  <si>
    <t>Y. Kang; Damo Academy, Alibaba Group, China; email: yangyang.kangyy@alibaba-inc.com; K. Kuang; College of Computer Science and Technology, Zhejiang University, China; email: kunkuang@zju.edu.cn</t>
  </si>
  <si>
    <t>2-s2.0-85182863920</t>
  </si>
  <si>
    <t>Sazzed S.</t>
  </si>
  <si>
    <t>Sazzed, Salim (57201119659)</t>
  </si>
  <si>
    <t>BanglaBioMed: A Biomedical Named-Entity Annotated Corpus for Bangla (Bengali)</t>
  </si>
  <si>
    <t>323.0</t>
  </si>
  <si>
    <t>329.0</t>
  </si>
  <si>
    <t>10.18653/v1/2022.bionlp-1.31</t>
  </si>
  <si>
    <t>https://www.scopus.com/inward/record.uri?eid=2-s2.0-85149127360&amp;doi=10.18653%2fv1%2f2022.bionlp-1.31&amp;partnerID=40&amp;md5=d63cc0d3566456ba1830bb4220d941e6</t>
  </si>
  <si>
    <t>Old Dominion University, Norfolk, VA, United States</t>
  </si>
  <si>
    <t>Sazzed S., Old Dominion University, Norfolk, VA, United States</t>
  </si>
  <si>
    <t>Recognizing biomedical entities in the text has significance in biomedical and health science research, as it benefits myriad downstream tasks, including entity linking, relation extraction, or entity resolution. While English and a few other widely used languages enjoy ample resources for automatic biomedical entity recognition, it is not the case for Bangla, a low-resource language. On that account, in this paper, we introduce BanglaBioMed, a Bangla biomedical named entity (NE) annotated dataset in standard IOB format, the first of its kind, consisting of over 12000 tokens annotated with the biomedical entities. The corpus is created by collecting Bangla text from a list of health articles and then annotated with four distinct types of entities: Anatomy (AN), Chemical and Drugs (CD), Disease and Symptom (DS), and Medical Procedure (MP). We provide the details of the entire data collection and annotation procedure and illustrate various statistics of the created corpus. Our developed corpus is a much-needed addition to the Bangla NLP resource that will facilitate biomedical NLP research in Bangla. ¬© 2022 Association for Computational Linguistics.</t>
  </si>
  <si>
    <t>Character recognition; Computational linguistics; Bengalis; Biomedical science; Down-stream; Entity recognition; Entity resolutions; Health science; Low resource languages; Named entities; Relation extraction; Science research; Natural language processing systems</t>
  </si>
  <si>
    <t>Bhowmick Anirban, Jana Abhik, Sentiment analysis for bengali using transformer based models; Bodini Matteo, Opinion mining from machine translated bangla reviews with stacked contractive auto-encoders, Journal of Ambient Intelligence and Humanized Computing, pp. 1-13, (2022); Carrino Casimiro Pio, Armengol-Estape Jordi, de Gibert Bonet Ona, Gutierrez-Fandino Asier, Gonzalez-Agirre Aitor, Krallinger Martin, Villegas Marta, Spanish biomedical crawled corpus: A large, diverse dataset for spanish biomedical language models, (2021); Dogan Rezarta Islamaj, Leaman Robert, Lu Zhiyong, Ncbi disease corpus: a resource for disease name recognition and concept normalization, Journal of biomedical informatics, 47, pp. 1-10, (2014); Abdullah Faruque M, Rahman Saifur, Chakraborty Partha, Choudhury Tanupriya, Um Jung-Sup, Singh Thipendra Pal, Ascertaining polarity of public opinions on bangladesh cricket using machine learning techniques, Spatial Information Research, pp. 1-8, (2021); Giorgi John M, Bader Gary D, Towards reliable named entity recognition in the biomedical domain, Bioinformatics, 36, 1, pp. 280-286, (2020); Gonzalez-Agirre Aitor, Marimon Montserrat, Intxaurrondo Ander, Rabal Obdulia, Villegas Marta, Krallinger Martin, Pharmaconer: Pharmacological substances, compounds and proteins named entity recognition track, Proceedings of The 5th Workshop on BioNLP Open Shared Tasks, pp. 1-10, (2019); Hastings Janna, Owen Gareth, Dekker Adriano, Ennis Marcus, Kale Namrata, Muthukrishnan Venkatesh, Turner Steve, Swainston Neil, Mendes Pedro, Steinbeck Christoph, Chebi in 2016: Improved services and an expanding collection of metabolites, Nucleic acids research, 44, D1, pp. D1214-D1219, (2016); Ishmam Alvi Md, Sharmin Sadia, Hateful speech detection in public facebook pages for the bengali language, 2019 18th IEEE International Conference On Machine Learning And Applications (ICMLA), pp. 555-560, (2019); Karim Md Rezaul, Dey Sumon Kanti, Islam Tanhim, Sarker Sagor, Menon Mehadi Hasan, Hossain Kabir, Hossain Md Azam, Decker Stefan, Deephateexplainer: Explainable hate speech detection in under-resourced bengali language, 2021 IEEE 8th International Conference on Data Science and Advanced Analytics (DSAA), pp. 1-10, (2021); Karimi Sarvnaz, Metke-Jimenez Alejandro, Kemp Madonna, Wang Chen, Cadec: A corpus of adverse drug event annotations, Journal of biomedical informatics, 55, pp. 73-81, (2015); Kim J-D, Ohta Tomoko, Tateisi Yuka, Tsujii Junichi, Genia corpusa semantically annotated corpus for bio-textmining, Bioinformatics, 19, pp. i180-i182, (2003); Kim Jin-Dong, Ohta Tomoko, 'ichi Tsujii Jun, Corpus annotation for mining biomedical events from literature, BMC bioinformatics, 9, 1, pp. 1-25, (2008); Kolarik Corinna, Klinger Roman, Friedrich Christoph M, Hofmann-Apitius Martin, Fluck Juliane, Chemical names: terminological resources and corpora annotation, Workshop on Building and evaluating resources for biomedical text mining (6th edition of the Language Resources and Evaluation Conference), (2008); Mitrofan Maria, Bootstrapping a romanian corpus for medical named entity recognition, RANLP, pp. 501-509, (2017); Mitrofan Maria, Tufis Dan, Bioro: The biomedical corpus for the romanian language, Proceedings of the Eleventh International Conference on Language Resources and Evaluation (LREC 2018), (2018); Mowery Danielle L, Velupillai Sumithra, Chapman Wendy, Medical diagnosis lost in translation-analysis of uncertainty and negation expressions in english and swedish clinical texts, BioNLP: Proceedings of the 2012 Workshop on Biomedical Natural Language Processing, pp. 56-64, (2012); Murphy Tara, McIntosh Tara, Cur-ran James R, Named entity recognition for astronomy literature, Proceedings of the Australasian Language Technology Workshop 2006, pp. 59-66, (2006); Neves Mariana, Damaschun Alexander, Kurtz Andreas, Leser Ulf, Annotating and evaluating text for stem cell research, Proceedings of the Third Workshop on Building and Evaluation Resources for Biomedical Text Mining (BioTxtM 2012) at Language Resources and Evaluation (LREC), pp. 16-23, (2012); Pyysalo Sampo, Ginter Filip, Heimonen Juho, Bjorne Jari, Boberg Jorma, Jarvinen Jouni, Salakoski Tapio, Bioinfer: a corpus for information extraction in the biomedical domain, BMC bioinformatics, 8, 1, pp. 1-24, (2007); Sang Erik F, De Meulder Fien, Introduction to the conll-2003 shared task: Language-independent named entity recognition, (2003); Sazzed Salim, Cross-lingual sentiment classification in low-resource bengali language, Proceedings of the sixth workshop on noisy user-generated text (W-NUT 2020), pp. 50-60, (2020); Sazzed Salim, Development of sentiment lexicon in bengali utilizing corpus and cross-lingual resources, 2020 IEEE 21st International conference on information reuse and integration for data science (IRI), pp. 237-244, (2020); Sazzed Salim, Abusive content detection in transliterated bengali-english social media corpus, Proceedings of the Fifth Workshop on Computational Approaches to Linguistic Code-Switching, pp. 125-130, (2021); Sazzed Salim, Identifying vulgarity in bengali social media textual content, PeerJ Computer Science, 7, (2021); Sazzed Salim, Jayarathna Sampath, A sentiment classification in bengali and machine translated english corpus, 2019 IEEE 20th international conference on information reuse and integration for data science (IRI), pp. 107-114, (2019); Scepanovic Sanja, Martin-Lopez Enrique, Quercia Daniele, Baykaner Khan, Extracting medical entities from social media, Proceedings of the ACM Conference on Health, Inference, and Learning, pp. 170-181, (2020); Stojanov Riste, Popovski Gorjan, Cenikj Gjorgjina, Seljak Barbara Korousic, Eftimov Tome, Et al., A fine-tuned bidirectional encoder representations from transformers model for food named-entity recognition: Algorithm development and validation, Journal of Medical Internet Research, 23, 8, (2021); Sun Cong, Yang Zhihao, Transfer learning in biomedical named entity recognition: an evaluation of bert in the pharmaconer task, Proceedings of The 5th Workshop on BioNLP Open Shared Tasks, pp. 100-104, (2019); Tanabe Lorraine, Xie Natalie, Thom Lynne H, Matten Wayne, John Wilbur W, Gene-tag: a tagged corpus for gene/protein named entity recognition, BMC bioinformatics, 6, 1, pp. 1-7, (2005); Tjong Erik F., Sang Kim, Veenstra Jorn, Representing text chunks, Ninth Conference of the European Chapter of the Association for Computational Linguistics, pp. 173-179, (1999); Velupillai Sumithra, Shades of certainty: annotation and classification of swedish medical records, (2012); Zweigenbaum Pierre, Baud Robert, Bur-gun Anita, Namer Fiammetta, Jarrousse Eric, Grabar Natalia, Ruch Patrick, Duff Franck Le, Forget Jean-Francois, Douyere Magaly, Et al., Umlf: a unified medical lexicon for french, International Journal of Medical Informatics, 74, 2-4, pp. 119-124, (2005)</t>
  </si>
  <si>
    <t>S. Sazzed; Old Dominion University, Norfolk, United States; email: ssazz001@odu.edu</t>
  </si>
  <si>
    <t>21st Workshop on Biomedical Language Processing, BioNLP 2022 at the Association for Computational Linguistics Conference, ACL 2022</t>
  </si>
  <si>
    <t>Dublin</t>
  </si>
  <si>
    <t>182391.0</t>
  </si>
  <si>
    <t>978-195591727-8</t>
  </si>
  <si>
    <t>2-s2.0-85149127360</t>
  </si>
  <si>
    <t>Liu Y.; Zhang K.; Gan A.; Yue L.; Hu F.; Liu Q.; Chen E.</t>
  </si>
  <si>
    <t>Liu, Ye (57206820506); Zhang, Kai (58376409600); Gan, Aoran (57884550200); Yue, Linan (57226475441); Hu, Feng (59258323800); Liu, Qi (56382635200); Chen, Enhong (35228685900)</t>
  </si>
  <si>
    <t>57206820506; 58376409600; 57884550200; 57226475441; 59258323800; 56382635200; 35228685900</t>
  </si>
  <si>
    <t>Empowering Few-Shot Relation Extraction with The Integration of Traditional RE Methods and Large Language Models</t>
  </si>
  <si>
    <t>14854 LNCS</t>
  </si>
  <si>
    <t>349.0</t>
  </si>
  <si>
    <t>359.0</t>
  </si>
  <si>
    <t>10.1007/978-981-97-5569-1_22</t>
  </si>
  <si>
    <t>https://www.scopus.com/inward/record.uri?eid=2-s2.0-85213354615&amp;doi=10.1007%2f978-981-97-5569-1_22&amp;partnerID=40&amp;md5=9a0a6fb4e8c559c1eac5df1a65f372b2</t>
  </si>
  <si>
    <t>School of Data Science, School of Computer Science and Technology, University of Science and Technology of China, Hefei, China; State Key Laboratory of Cognitive Intelligence, Hefei, China</t>
  </si>
  <si>
    <t>Liu Y., School of Data Science, School of Computer Science and Technology, University of Science and Technology of China, Hefei, China, State Key Laboratory of Cognitive Intelligence, Hefei, China; Zhang K., School of Data Science, School of Computer Science and Technology, University of Science and Technology of China, Hefei, China, State Key Laboratory of Cognitive Intelligence, Hefei, China; Gan A., School of Data Science, School of Computer Science and Technology, University of Science and Technology of China, Hefei, China, State Key Laboratory of Cognitive Intelligence, Hefei, China; Yue L., School of Data Science, School of Computer Science and Technology, University of Science and Technology of China, Hefei, China, State Key Laboratory of Cognitive Intelligence, Hefei, China; Hu F., School of Data Science, School of Computer Science and Technology, University of Science and Technology of China, Hefei, China, State Key Laboratory of Cognitive Intelligence, Hefei, China; Liu Q., School of Data Science, School of Computer Science and Technology, University of Science and Technology of China, Hefei, China, State Key Laboratory of Cognitive Intelligence, Hefei, China; Chen E., School of Data Science, School of Computer Science and Technology, University of Science and Technology of China, Hefei, China, State Key Laboratory of Cognitive Intelligence, Hefei, China</t>
  </si>
  <si>
    <t>Few-Shot Relation Extraction (FSRE), a subtask of Relation Extraction (RE) that utilizes limited training instances, appeals to more researchers in Natural Language Processing (NLP) due to its capability to extract textual information in extremely low-resource scenarios. The primary methodologies employed for FSRE have been fine-tuning or prompt tuning techniques based on Pre-trained Language Models (PLMs). Recently, the emergence of Large Language Models (LLMs) has prompted numerous researchers to explore FSRE through In-Context Learning (ICL). However, there are substantial limitations associated with methods based on either traditional RE models or LLMs. Traditional RE models are hampered by a lack of necessary prior knowledge, while LLMs fall short in their task-specific capabilities for RE. To address these shortcomings, we propose a Dual-System Augmented Relation Extractor (DSARE), which synergistically combines traditional RE models with LLMs. Specifically, DSARE innovatively injects the prior knowledge of LLMs into traditional RE models, and conversely enhances LLMs‚Äô task-specific aptitude for RE through relation extraction augmentation. Moreover, an Integrated Prediction module is employed to jointly consider these two respective predictions and derive the final results. Extensive experiments demonstrate the efficacy of our proposed method. ¬© The Author(s), under exclusive license to Springer Nature Singapore Pte Ltd. 2024.</t>
  </si>
  <si>
    <t>Few Shot; Large Language Models.; Relation Extraction</t>
  </si>
  <si>
    <t>Digital elevation model; Prediction models; Zero-shot learning; Dual system; Extraction method; Extraction modeling; Few shot; Language model; Large language model.; Natural languages; Prior-knowledge; Relation extraction; Subtask; Natural language processing systems</t>
  </si>
  <si>
    <t>Fundamental Research Funds for the Central Universities; National Natural Science Foundation of China, NSFC, (U20A20229); National Natural Science Foundation of China, NSFC; Natural Science Foundation of Anhui Province, (2308085QF229, 2308085MG226); Natural Science Foundation of Anhui Province</t>
  </si>
  <si>
    <t>This research was partially supported by grants from the National Natural Science Foundation of China (No. U20A20229), the Anhui Provincial Natural Science Foundation of China (No. 2308085QF229 and 2308085MG226) and the Fundamental Research Funds for the Central Universities.</t>
  </si>
  <si>
    <t>Alt C., Gabryszak A., Hennig L., TACRED revisited: A thorough evaluation of the TACRED relation extraction task, Proceedings of the 58Th Annual Meeting of the Association for Computational Linguistics, pp. 1558-1569, (2020); Brown T., Et al., Language models are few-shot learners, Advances in Neural Information Processing Systems, 33, pp. 1877-1901, (2020); Chen X., Et al., KnowPrompt: Knowledge-aware prompt-tuning with synergistic optimization for relation extraction, Proceedings of the ACM Web Conference 2022, pp. 2778-2788, (2022); Gao T., Fisch A., Chen D., Making pre-trained language models better few-shot learners, ACL-IJCNLP 2021, pp. 3816-3830, (2021); Gutierrez B.J., Et al., Thinking about GPT-3 in-context learning for biomedical IE? Think again, Findings of EMNLP 2022, pp. 4497-4512, (2022); Han J., Zhao S., Cheng B., Ma S., Lu W., Generative prompt tuning for relation classification, Findings of the Association for Computational Linguistics: EMNLP 2022, pp. 3170-3185, (2022); Han X., Zhao W., Ding N., Liu Z., Sun M., Ptr: Prompt tuning with rules for text classification, AI Open, 3, pp. 182-192, (2022); Liu J., Shen D., Zhang Y., Dolan W.B., Carin L., Chen W., What makes good in-context examples for GPT-3?, Proceedings of Deep Learning inside Out, Deelio 2022, pp. 100-114, (2022); Liu Y., Et al., TechPat: Technical phrase extraction for patent mining, ACM Trans. Knowl. Discov. Data, 17, 9, pp. 1-31, (2023); Liu Y., Et al., Enhancing hierarchical text classification through knowledge graph integration, Findings of the Association for Computational Linguistics: ACL 2023, pp. 5797-5810, (2023); Liu Y., Et al., Roberta: A Robustly Optimized BERT Pretraining Approach, (2019); Loshchilov I., Hutter F., Decoupled Weight Decay Regularization, (2017); Lyu S., Chen H., Relation classification with entity type restriction, Findings of ACL-IJCNLP 2021, pp. 390-395, (2021); GPT-4 Technical Report, (2023); Ouyang L., Et al., Training language models to follow instructions with human feedback, Adv. Neural Inf. Process. Syst., 35, pp. 27730-27744, (2022); Stoica G., Platanios E.A., Poczos B., Re-TACRED: Addressing shortcomings of the TACRED dataset, Proceedings of the AAAI Conference on Artificial Intelligence, 35, pp. 13843-13850, (2021); Touvron H., Et al., Llama 2: Open Foundation and Fine-Tuned Chat Models, (2023); Tunstall L., Et al., Zephyr: Direct Distillation of LM Alignment, (2023); Wan Z., Et al., GPT-RE: In-Context Learning for Relation Extraction Using Large Language Models, (2023); Xu X., Zhu Y., Wang X., Zhang N., How to unleash the power of large language models for few-shot relation extraction?, Proceedings of the Fourth Workshop on Simple and Efficient Natural Language Processing (Sustainlp), pp. 190-200, (2023); Zhang K., Et al., Incorporating dynamic semantics into pre-trained language model for aspect-based sentiment analysis, Findings of the Association for Computational Linguistics: ACL 2022, pp. 3599-3610, (2022); Zhang Y., Zhong V., Chen D., Angeli G., Manning C.D., Position-aware attention and supervised data improve slot filling, Conference on Empirical Methods in Natural Language Processing, (2017); Zhou W., Chen M., An improved baseline for sentence-level relation extraction, AACL-IJCNLP 2022, (2022)</t>
  </si>
  <si>
    <t>K. Zhang; School of Data Science, School of Computer Science and Technology, University of Science and Technology of China, Hefei, China; email: kkzhang08@ustc.edu.cn</t>
  </si>
  <si>
    <t>Onizuka M.; Xiao C.; Lee J.-G.; Tong Y.; Ishikawa Y.; Lu K.; Amer-Yahia S.; Jagadish H.V.</t>
  </si>
  <si>
    <t>29th International Conference on Database Systems for Advanced Applications, DASFAA 2024</t>
  </si>
  <si>
    <t>2 July 2024 through 5 July 2024</t>
  </si>
  <si>
    <t>Gifu</t>
  </si>
  <si>
    <t>318119.0</t>
  </si>
  <si>
    <t>978-981975568-4</t>
  </si>
  <si>
    <t>2-s2.0-85213354615</t>
  </si>
  <si>
    <t>Yang P.; Lu J.; Gan R.; Wang J.; Zhang Y.; Zhang J.; Zhang P.</t>
  </si>
  <si>
    <t>Yang, Ping (57794601000); Lu, Junyu (57724855500); Gan, Ruyi (57609578800); Wang, Junjie (57882243200); Zhang, Yuxiang (57848113800); Zhang, Jiaxing (57608515900); Zhang, Pingjian (10739173200)</t>
  </si>
  <si>
    <t>57794601000; 57724855500; 57609578800; 57882243200; 57848113800; 57608515900; 10739173200</t>
  </si>
  <si>
    <t>UniEX: An Effective and Efficient Framework for Unified Information Extraction via a Span-extractive Perspective</t>
  </si>
  <si>
    <t>16424.0</t>
  </si>
  <si>
    <t>16440.0</t>
  </si>
  <si>
    <t>16.0</t>
  </si>
  <si>
    <t>https://www.scopus.com/inward/record.uri?eid=2-s2.0-85174417801&amp;partnerID=40&amp;md5=ae9e99fb65adca90c526240cbc326592</t>
  </si>
  <si>
    <t>International Digital Economy Academy, China; South China University of Technology, China; Waseda University, Japan</t>
  </si>
  <si>
    <t>Yang P., International Digital Economy Academy, China; Lu J., International Digital Economy Academy, China, South China University of Technology, China; Gan R., International Digital Economy Academy, China; Wang J., Waseda University, Japan; Zhang Y., Waseda University, Japan; Zhang J., International Digital Economy Academy, China; Zhang P., South China University of Technology, China</t>
  </si>
  <si>
    <t>We propose a new paradigm for universal information extraction (IE) that is compatible with any schema format and applicable to a list of IE tasks, such as named entity recognition, relation extraction, event extraction and sentiment analysis. Our approach converts the text-based IE tasks as the token-pair problem, which uniformly disassembles all extraction targets into joint span detection, classification and association problems with a unified extractive framework, namely UniEX. UniEX can synchronously encode schema-based prompt and textual information, and collaboratively learn the generalized knowledge from pre-defined information using the auto-encoder language models. We develop a traffine attention mechanism to integrate heterogeneous factors including tasks, labels and inside tokens, and obtain the extraction target via a scoring matrix. Experiment results show that UniEX can outperform generative universal IE models in terms of performance and inference-speed on 14 benchmarks IE datasets with the supervised setting. The state-of-the-art performance in low-resource scenarios also verifies the transferability and effectiveness of UniEX. ¬© 2023 Association for Computational Linguistics.</t>
  </si>
  <si>
    <t>Benchmarking; Classification (of information); Computational linguistics; Information retrieval; Attention mechanisms; Auto encoders; Events extractions; Language model; Learn+; Named entity recognition; Relation extraction; Sentiment analysis; Text-based information; Textual information; Sentiment analysis</t>
  </si>
  <si>
    <t>Blodgett Su Lin, Barocas Solon, Daume Hal, Wallach Hanna, Language (technology) is power: A critical survey of ‚Äúbias‚Äù in nlp, Proceedings of the 58th Annual Meeting of the Association for Computational Linguistics, pp. 5454-5476, (2020); Chen Chih-Yao, Li Cheng-Te, Zs-bert: Towards zero-shot relation extraction with attribute representation learning, Proceedings of the 2021 Conference of the North American Chapter of the Association for Computational Linguistics: Human Language Technologies, pp. 3470-3479, (2021); Chia Yew Ken, Bing Lidong, Poria Soujanya, Si Luo, Relationprompt: Leveraging prompts to generate synthetic data for zero-shot relation triplet extraction, Findings of the Association for Computational Linguistics: ACL 2022, pp. 45-57, (2022); Derczynski Leon, Nichols Eric, van Erp Marieke, Limsopatham Nut, Results of the wnut2017 shared task on novel and emerging entity recognition, Proceedings of the 3rd Workshop on Noisy User-generated Text, pp. 140-147, (2017); Devlin Jacob, Chang Ming-Wei, Lee Kenton, Toutanova Kristina, Bert: Pre-training of deep bidirectional transformers for language understanding, Proceedings of the 2019 Conference of the North American Chapter of the Association for Computational Linguistics: Human Language Technologies, Volume 1 (Long and Short Papers), pp. 4171-4186, (2019); Ding Ning, Xu Guangwei, Chen Yulin, Wang Xiaobin, Han Xu, Xie Pengjun, Zheng Haitao, Liu Zhiyuan, Few-nerd: A few-shot named entity recognition dataset, Proceedings of the 59th Annual Meeting of the Association for Computational Linguistics and the 11th International Joint Conference on Natural Language Processing (Volume 1: Long Papers), pp. 3198-3213, (2021); Doddington George R, Mitchell Alexis, Przybocki Mark, Ramshaw Lance, Strassel Stephanie, Weischedel Ralph, The automatic content extraction (ace) program-tasks, data, and evaluation, Proceedings of the Fourth International Conference on Language Resources and Evaluation (LREC'04), (2004); Dong Li, Yang Nan, Wang Wenhui, Wei Furu, Liu Xiaodong, Wang Yu, Gao Jianfeng, Zhou Ming, Hon Hsiao-Wuen, Unified language model pre-training for natural language understanding and generation, Advances in Neural Information Processing Systems, 32, (2019); Finkel Jenny Rose, Manning Christopher D, Nested named entity recognition, Proceedings of the 2009 conference on empirical methods in natural language processing, pp. 141-150, (2009); Grishman Ralph, Twenty-five years of information extraction, Natural Language Engineering, 25, 6, pp. 677-692, (2019); Gupta Pankaj, Schutze Hinrich, Andrassy Bernt, Table filling multi-task recurrent neural network for joint entity and relation extraction, Proceedings of COLING 2016, the 26th International Conference on Computational Linguistics: Technical Papers, pp. 2537-2547, (2016); Gurulingappa Harsha, Rajput Abdul Mateen, Roberts Angus, Fluck Juliane, Hofmann-Apitius Martin, Toldo Luca, Development of a benchmark corpus to support the automatic extraction of drug-related adverse effects from medical case reports, Journal of Biomedical Informatics, 45, 5, pp. 885-892, (2012); Han Xu, Zhu Hao, Yu Pengfei, Wang Ziyun, Yao Yuan, Liu Zhiyuan, Sun Maosong, Fewrel: A large-scale supervised few-shot relation classification dataset with state-of-the-art evaluation, Proceedings of the 2018 Conference on Empirical Methods in Natural Language Processing, pp. 4803-4809, (2018); Hou Yutai, Che Wanxiang, Lai Yongkui, Zhou Zhihan, Liu Yijia, Liu Han, Liu Ting, Few-shot slot tagging with collapsed dependency transfer and label-enhanced task-adaptive projection network, Proceedings of the 58th Annual Meeting of the Association for Computational Linguistics, pp. 1381-1393, (2020); Keskar Nitish Shirish, McCann Bryan, Xiong Caiming, Socher Richard, Unifying question answering, text classification, and regression via span extraction, (2019); Kingma Diederik P, Ba Jimmy, Adam: A method for stochastic optimization, ICLR (Poster), (2015); Lample Guillaume, Ballesteros Miguel, Subramanian Sandeep, Kawakami Kazuya, Dyer Chris, Neural architectures for named entity recognition, Proceedings of the 2016 Conference of the North American Chapter of the Association for Computational Linguistics: Human Language Technologies, pp. 260-270, (2016); Lan Zhenzhong, Chen Mingda, Goodman Sebastian, Gimpel Kevin, Sharma Piyush, Soricut Radu, Albert: A lite bert for self-supervised learning of language representations, International Conference on Learning Representations, (2020); Leidner Jochen L, Plachouras Vassilis, Ethical by design: Ethics best practices for natural language processing, Proceedings of the First ACL Workshop on Ethics in Natural Language Processing, pp. 30-40, (2017); Li Xiaoya, Feng Jingrong, Meng Yuxian, Han Qinghong, Wu Fei, Li Jiwei, A unified mrc framework for named entity recognition, Proceedings of the 58th Annual Meeting of the Association for Computational Linguistics, pp. 5849-5859, (2020); Lin Ying, Ji Heng, Huang Fei, Wu Lingfei, A joint neural model for information extraction with global features, Proceedings of the 58th annual meeting of the association for computational linguistics, pp. 7999-8009, (2020); Liu Xiaodong, He Pengcheng, Chen Weizhu, Gao Jianfeng, Multi-task deep neural networks for natural language understanding, Proceedings of the 57th Annual Meeting of the Association for Computational Linguistics, pp. 4487-4496, (2019); Liu Yinhan, Ott Myle, Goyal Naman, Du Jingfei, Joshi Mandar, Chen Danqi, Levy Omer, Lewis Mike, Zettlemoyer Luke, Stoyanov Veselin, Roberta: A robustly optimized bert pretraining approach, (2019); Lu Yaojie, Liu Qing, Dai Dai, Xiao Xinyan, Lin Hongyu, Han Xi-anpei, Sun Le, Wu Hua, Unified structure generation for universal information extraction, Proceedings of the 60th Annual Meeting of the Association for Computational Linguistics (Volume 1: Long Papers), pp. 5755-5772, (2022); Luan Yi, He Luheng, Ostendorf Mari, Hajishirzi Hannaneh, Multi-task identification of entities, relations, and coreference for scientific knowledge graph construction, Proceedings of the 2018 Conference on Empirical Methods in Natural Language Processing, pp. 3219-3232, (2018); Luan Yi, Wadden Dave, He Luheng, Shah Amy, Ostendorf Mari, Hajishirzi Hannaneh, A general framework for information extraction using dynamic span graphs, Proceedings of the 2019 Conference of the North American Chapter of the Association for Computational Linguistics: Human Language Technologies, Volume 1 (Long and Short Papers), pp. 3036-3046, (2019); Luo Ying, Xiao Fengshun, Zhao Hai, Hierarchical contextualized representation for named entity recognition, AAAI, pp. 8441-8448, (2020); Ma Jie, Ballesteros Miguel, Doss Srikanth, Anubhai Rishita, Mallya Sunil, Al-Onaizan Yaser, Roth Dan, Label semantics for few shot named entity recognition, Findings of the Association for Computational Linguistics: ACL 2022, pp. 1956-1971, (2022); Ma Tingting, Jiang Huiqiang, Wu Qianhui, Zhao Tiejun, Lin Chin-Yew, Decomposed meta-learning for few-shot named entity recognition, Findings of the Association for Computational Linguistics: ACL 2022, pp. 1584-1596, (2022); McCann Bryan, Keskar Nitish Shirish, Xiong Caiming, Socher Richard, The natural language decathlon: Multitask learning as question answering, (2018); Mueller Aaron, Krone Jason, Romeo Salvatore, Man-sour Saab, Mansimov Elman, Zhang Yi, Roth Dan, Label semantic aware pre-training for few-shot text classification, Proceedings of the 60th Annual Meeting of the Association for Computational Linguistics (Volume 1: Long Papers), pp. 8318-8334, (2022); Muslea Ion, Et al., Extraction patterns for information extraction tasks: A survey, The AAAI-99 workshop on machine learning for information extraction, 2, (1999); Ohta Tomoko, Tateisi Yuka, Kim Jin-Dong, The genia corpus: an annotated research abstract corpus in molecular biology domain, Proceedings of the second international conference on Human Language Technology Research, pp. 82-86, (2002); Paolini Giovanni, Athiwaratkun Ben, Krone Jason, Ma Jie, Achille Alessandro, ANUBHAI RISHITA, dos Santos Cicero Nogueira, Xiang Bing, Soatto Stefano, Structured prediction as translation between augmented natural languages, International Conference on Learning Representations, (2020); Pradhan Sameer, Moschitti Alessandro, Xue Nianwen, Tou Ng Hwee, Bjorkelund Anders, Uryupina Olga, Zhang Yuchen, Zhong Zhi, Towards robust linguistic analysis using ontonotes, Proceedings of the Seventeenth Conference on Computational Natural Language Learning, pp. 143-152, (2013); Raffel Colin, Shazeer Noam, Roberts Adam, Lee Katherine, Narang Sharan, Matena Michael, Zhou Yanqi, Li Wei, Liu Peter J., Exploring the limits of transfer learning with a unified text-to-text transformer, Journal of Machine Learning Research, 21, 140, pp. 1-67, (2020); Raffel Colin, Shazeer Noam, Roberts Adam, Lee Katherine, Narang Sharan, Matena Michael, Zhou Yanqi, Li Wei, Liu Peter J, Exploring the limits of transfer learning with a unified text-to-text transformer, Journal of Machine Learning Research, 21, pp. 1-67, (2020); Riedel Sebastian, Yao Limin, McCallum Andrew, Modeling relations and their mentions without labeled text, Proceedings of the 2010 European conference on Machine learning and knowledge discovery in databases: Part III, pp. 148-163, (2010); Roth Dan, Yih Wen-tau, A linear programming formulation for global inference in natural language tasks, Proceedings of the Eighth Conference on Computational Natural Language Learning (CoNLL-2004) at HLT-NAACL 2004, pp. 1-8, (2004); Tjong Kim Sang Erik, De Meulder Fien, Introduction to the conll-2003 shared task: Language-independent named entity recognition, Proceedings of the Seventh Conference on Natural Language Learning at HLT-NAACL 2003, pp. 142-147, (2003); Sanh Victor, Webson Albert, Raffel Colin, Bach Stephen, Sutawika Lin-tang, Alyafeai Zaid, Chaffin Antoine, Stiegler Arnaud, Le Scao Teven, Raja Arun, Et al., Multitask prompted training enables zero-shot task generalization, The Tenth International Conference on Learning Representations, (2022); Satyapanich Taneeya, Ferraro Francis, Finin Tim, CASIE: extracting cybersecurity event information from text, AAAI, pp. 8749-8757, (2020); Schramowski Patrick, Turan Cigdem, Andersen Nico, Rothkopf Con-stantin A, Kersting Kristian, Large pre-trained language models contain human-like biases of what is right and wrong to do, Nature Machine Intelligence, 4, 3, pp. 258-268, (2022); Schramowski Patrick, Turan Cigdem, Jentzsch Sophie, Rothkopf Con-stantin, Kersting Kristian, Bert has a moral compass: Improvements of ethical and moral values of machines, (2019); Walker Christopher, Strassel Stephanie, Medero Julie, Maeda Kazuaki, Ace 2005 multilingual training corpus, Linguistic Data Consortium, Philadelphia, 57, (2006); Wang Jue, Lu Wei, Two are better than one: Joint entity and relation extraction with table-sequence encoders, Proceedings of the 2020 Conference on Empirical Methods in Natural Language Processing (EMNLP), pp. 1706-1721, (2020); Wang Peiyi, Xu Runxin, Liu Tianyu, Zhou Qingyu, Cao Yunbo, Chang Baobao, Sui Zhifang, An enhanced span-based decomposition method for few-shot sequence labeling, Proceedings of the 2022 Conference of the North American Chapter of the Association for Computational Linguistics: Human Language Technologies, pp. 5012-5024, (2022); Wei Jason, Bosma Maarten, Zhao Vincent Y, Guu Kelvin, Yu Adams Wei, Lester Brian, Du Nan, Dai Andrew M, Le Quoc V, Finetuned language models are zero-shot learners, (2021); Wei Zhepei, Su Jianlin, Wang Yue, Tian Yuan, Chang Yi, A novel cascade binary tagging framework for relational triple extraction, Proceedings of the 58th Annual Meeting of the Association for Computational Linguistics, pp. 1476-1488, (2020); Xu Lu, Li Hao, Lu Wei, Bing Lidong, Position-aware tagging for aspect sentiment triplet extraction, Proceedings of the 2020 Conference on Empirical Methods in Natural Language Processing (EMNLP), pp. 2339-2349, (2020); Yan Hang, Dai Junqi, Ji Tuo, Qiu Xipeng, Zhang Zheng, A unified generative framework for aspect-based sentiment analysis, Proceedings of the 59th Annual Meeting of the Association for Computational Linguistics and the 11th International Joint Conference on Natural Language Processing (Volume 1: Long Papers), pp. 2416-2429, (2021); Yang Ping, Wang Junjie, Gan Ruyi, Zhu Xinyu, Zhang Lin, Wu Ziwei, Gao Xinyu, Zhang Jiaxing, Sakai Tetsuya, Zero-shot learners for natural language understanding via a unified multiple choice perspective, (2022); Ye Deming, Lin Yankai, Li Peng, Sun Maosong, Packed levitated marker for entity and relation extraction, Proceedings of the 60th Annual Meeting of the Association for Computational Linguistics (Volume 1: Long Papers), pp. 4904-4917, (2022); Yu Bowen, Zhang Zhenyu, Shu Xiaobo, Liu Tingwen, Wang Yubin, Wang Bin, Li Sujian, Joint extraction of entities and relations based on a novel decomposition strategy, ECAI, (2020); Yu Juntao, Bohnet Bernd, Poesio Massimo, Named entity recognition as dependency parsing, Proceedings of the 58th Annual Meeting of the Association for Computational Linguistics, pp. 6470-6476, (2020); Yuan Zheng, Tan Chuanqi, Huang Songfang, Huang Fei, Fusing heterogeneous factors with triaffine mechanism for nested named entity recognition, Findings of the Association for Computational Linguistics: ACL 2022, pp. 3174-3186, (2022); Zeldes Amir, The gum corpus: creating multilayer resources in the classroom, Language Resources and Evaluation, 51, 3, pp. 581-612, (2017)</t>
  </si>
  <si>
    <t>; P. Zhang; South China University of Technology, China; email: pjzhang@scut.edu.cn</t>
  </si>
  <si>
    <t>2-s2.0-85174417801</t>
  </si>
  <si>
    <t>Ko H.; Yoo J.; Jeong O.-R.</t>
  </si>
  <si>
    <t>Ko, Hyojin (59254205300); Yoo, Joon (7402295621); Jeong, Ok-Ran (6604013896)</t>
  </si>
  <si>
    <t>59254205300; 7402295621; 6604013896</t>
  </si>
  <si>
    <t>MDCKE: Multimodal deep-context knowledge extractor that integrates contextual information</t>
  </si>
  <si>
    <t>Alexandria Engineering Journal</t>
  </si>
  <si>
    <t>478.0</t>
  </si>
  <si>
    <t>492.0</t>
  </si>
  <si>
    <t>10.1016/j.aej.2025.01.119</t>
  </si>
  <si>
    <t>https://www.scopus.com/inward/record.uri?eid=2-s2.0-85217076650&amp;doi=10.1016%2fj.aej.2025.01.119&amp;partnerID=40&amp;md5=c97f7268f51c939e13102018a43cc3e8</t>
  </si>
  <si>
    <t>School of Computing, Gachon University, Gyeonggi-do, Seongnam-si, 13129, South Korea</t>
  </si>
  <si>
    <t>Ko H., School of Computing, Gachon University, Gyeonggi-do, Seongnam-si, 13129, South Korea; Yoo J., School of Computing, Gachon University, Gyeonggi-do, Seongnam-si, 13129, South Korea; Jeong O.-R., School of Computing, Gachon University, Gyeonggi-do, Seongnam-si, 13129, South Korea</t>
  </si>
  <si>
    <t>Extraction of comprehensive information from diverse data sources remains a significant challenge in contemporary research. Although multimodal Named Entity Recognition (NER) and Relation Extraction (RE) tasks have garnered significant attention, existing methods often focus on surface-level information, underutilizing the potential depth of the available data. To address this issue, this study introduces a Multimodal Deep-Context Knowledge Extractor (MDCKE) that generates hierarchical multi-scale images and captions from original images. These connectors between image and text enhance information extraction by integrating more complex data relationships and contexts to build a multimodal knowledge graph. Captioning precedes feature extraction, leveraging semantic descriptions to align global and local image features and enhance inter- and intramodality alignment. Experimental validation on the Twitter2015 and Multimodal Neural Relation Extraction (MNRE) datasets demonstrated the novelty and accuracy of MDCKE, resulting in an improvement in the F1-score by up to 5.83% and 26.26%, respectively, compared to State-Of-The-Art (SOTA) models. MDCKE was compared with top models, case studies, and simulations in low-resource settings, proving its flexibility and efficacy. An ablation study further corroborated the contribution of each component, resulting in an approximately 6% enhancement in the F1-score across the datasets. ¬© 2025</t>
  </si>
  <si>
    <t>Image processing; Information extraction; Multimodal data fusing; Multimodal knowledge graph; Named entity recognition; Natural language processing; Relation extraction</t>
  </si>
  <si>
    <t>Data assimilation; Spatio-temporal data; Data fusing; Images processing; Information extraction; Knowledge graphs; Language processing; Multi-modal; Multimodal data fusing; Multimodal knowledge graph; Named entity recognition; Natural language processing; Natural languages; Relation extraction; Knowledge graph</t>
  </si>
  <si>
    <t>National Research Foundation of Korea, NRF; Basic Science Research Foundation of Korea; MSIT; Gachon University, (2021R1F1A1063640, GCU-202300690001)</t>
  </si>
  <si>
    <t>The Basic Science Research Foundation of Korea (NRF), the Korean government (MSIT), and the Gachon University research fund of 2023 (Nos.2021R1F1A1063640 and GCU-202300690001).</t>
  </si>
  <si>
    <t>Mousselly-Sergieh H., Botschen T., Gurevych I., Roth S., A multimodal translation-based approach for knowledge graph representation learning, pp. 225-234, (2018); Xie R., Liu Z., Luan H., Sun M., Image-embodied knowledge representation learning, (2016); Baltrusaitis T., Ahuja C., Morency L.-P., Multimodal machine learning: A survey and taxonomy, IEEE Trans. Pattern Anal. Mach. Intell., 41, 2, pp. 423-443, (2018); Ehrlinger L., Woss W., Towards a definition of knowledge graphs, International Conference on Semantic Systems, (2016); Zhou H., Shen T., Liu X., Zhang Y., Guo P., Zhang J., Survey of knowledge graph approaches and applications, J. Artif. Intell., (2020); Vrandecic D., Wikidata: a new platform for collaborative data collection, Proc. the 21st Int. Conf. World Wide Web, (2012); Auer S., Bizer C., Kobilarov G., Lehmann J., Cyganiak R., Ives Z., Dbpedia: A nucleus for a web of open data, International Semantic Web Conference, pp. 722-735, (2007); Kasneci G., Suchanek F., Weikum G., Yago-a Core of Semantic Knowledge, (2006); Ahn Y.-S., Jeong O.-R., Time-aware PolarisX: Auto-growing knowledge graph, Comput. Mater. Contin., 67, 3, (2023); Lan Z., Chen M., Goodman S., Gimpel K., Sharma P., Soricut R., Albert: A lite bert for self-supervised learning of language representations, (2019); Liu Y., Li H., Garcia-Duran A., Niepert M., Onoro-Rubio D., Rosenblum D.S., MMKG: multi-modal knowledge graphs, The Semantic Web: 16th International Conference, ESWC 2019, Portoro≈Ω, Slovenia, June 2‚Äì6, 2019, Proceedings 16, pp. 459-474, (2019); Viswanathan A., Fradkin D., Akrotirianakis I.G., Kulahcioglu T., Canedo A., Roy A., Yu S.Y., Malawade A.V., Faruque M.A.A., Multimodal knowledge graph for deep learning papers and code, Proc. the 29th ACM Int. Conf. Information &amp; Knowl. Manag., (2020); Pezeshkpour P., Chen L., Singh S., Embedding multimodal relational data for knowledge base completion, (2018); Evangelopoulos N.E., Latent semantic analysis, Wiley Interdiscip. Reviews: Cogn. Sci., 4, 6, pp. 683-692, (2013); Sarzynska-Wawer J., Wawer A., Pawlak A., Szymanowska J., Stefaniak I., Jarkiewicz M., Okruszek L., Detecting formal thought disorder by deep contextualized word representations, Psychiatry Res., 304, (2021); Cui Z., Ke R., Pu Z., Wang Y., Deep bidirectional and unidirectional LSTM recurrent neural network for network-wide traffic speed prediction, (2018); Devlin J., Chang M.-W., Lee K., Toutanova K., Bert: Pre-training of deep bidirectional transformers for language understanding, (2018); Vaswani A., Shazeer N., Parmar N., Uszkoreit J., Jones L., Gomez A.N., Kaiser L., Polosukhin I., Attention is all you need, Adv. Neural Inf. Process. Syst., 30, (2017); Liu Y., Ott M., Goyal N., Du J., Joshi M., Chen D., Levy O., Lewis M., Zettlemoyer L., Stoyanov V., Roberta: A robustly optimized bert pretraining approach, (2019); Clavie B., Gal K., Edubert: Pretrained deep language models for learning analytics, (2019); Rasmy L., Xiang Y., Xie Z., Tao C., Zhi D., Med-BERT: pretrained contextualized embeddings on large-scale structured electronic health records for disease prediction, NPJ Digit. Med., 4, 1, (2021); Girshick R., Donahue J., Darrell T., Malik J., Rich feature hierarchies for accurate object detection and semantic segmentation, pp. 580-587, (2014); Girshick R., pp. 1440-1448, (2015); Ren S., He K., Girshick R., Sun J., Faster r-cnn: Towards real-time object detection with region proposal networks, Adv. Neural Inf. Process. Syst., 28, (2015); O'Shea K., Nash R., An introduction to convolutional neural networks, (2015); Krizhevsky A., Sutskever I., Hinton G.E., Imagenet classification with deep convolutional neural networks, Adv. Neural Inf. Process. Syst., 25, (2012); Simonyan K., Zisserman A., Very deep convolutional networks for large-scale image recognition, (2014); He K., Zhang X., Ren S., Sun J., Deep residual learning for image recognition, pp. 770-778, (2016); Lin T.-Y., Dollar P., Girshick R., He K., Hariharan B., Belongie S., Feature pyramid networks for object detection, pp. 2117-2125, (2017); Lai M., Deep learning for medical image segmentation, (2015); Aygun M., Sahin Y.H., Unal G., Multi modal convolutional neural networks for brain tumor segmentation, (2018); Li J., Sun A., Han J., Li C., A survey on deep learning for named entity recognition, IEEE Trans. Knowl. Data Eng., 34, 1, pp. 50-70, (2020); Riaz K., Rule-based named entity recognition in Urdu, pp. 126-135, (2010); Li M., Yang Q., He F., Li Z., Zhao P., Zhao L., Chen Z., An unsupervised learning approach for NER based on online encyclopedia, Web and Big Data: Third International Joint Conference, APWeb-WAIM 2019, Chengdu, China, August 1‚Äì3, 2019, Proceedings, Part I 3, pp. 329-344, (2019); Ghosh S., Maitra P., Das D., Feature based approach to named entity recognition and linking for tweets., # Microposts, pp. 74-76, (2016); Eddy S.R., What is a hidden Markov model?, Nature Biotechnol., 22, 10, pp. 1315-1316, (2004); Szarvas G., Farkas R., Kocsor A., A multilingual named entity recognition system using boosting and c4. 5 decision tree learning algorithms, Discovery Science: 9th International Conference, DS 2006, Barcelona, Spain, October 7-10, 2006. Proceedings 9, pp. 267-278, (2006); Mansouri A., Affendey L.S., Mamat A., Kadir R.A., Semantically factoid question answering using fuzzy SVM named entity recognition, 2008 International Symposium on Information Technology, 2, pp. 1-7, (2008); Panchendrarajan R., Amaresan A., Bidirectional LSTM-CRF for named entity recognition, (2018); Lee C., LSTM-CRF models for named entity recognition, IEICE Trans. Inf. Syst., 100, 4, pp. 882-887, (2017); Lyu S., Chen H., Relation classification with entity type restriction, (2021); Liu X., Zheng Y., Du Z., Ding M., Qian Y., Yang Z., Tang J., GPT understands, too, AI Open, (2023); Ahn Y., Yoo S., Jeong O., PolarisX2: auto-growing context-aware knowledge graph, Int. J. Web Grid Serv., 19, 2, pp. 137-155, (2023); Zhang N., Xu X., Tao L., Yu H., Ye H., Qiao S., Xie X., Chen X., Li Z., Li L., Et al., Deepke: A deep learning based knowledge extraction toolkit for knowledge base population, (2022); Chen X., Zhang N., Li L., Yao Y., Deng S., Tan C., Huang F., Si L., Chen H., Good visual guidance makes a better extractor: Hierarchical visual prefix for multimodal entity and relation extraction, (2022); Yang Z., Gong B., Wang L., Huang W., Yu D., Luo J., A fast and accurate one-stage approach to visual grounding, 2019 IEEE/ CVF Int. Conf. Comput. Vis. (ICCV), pp. 4682-4692, (2019); He S., Liao W., Tavakoli H.R., Yang M.Y., Rosenhahn B., Pugeault N., Image captioning through image transformer, Asian Conference on Computer Vision, (2020); Zhang Y., Zhou H., Li Z., Fast and accurate neural CRF constituency parsing, (2020); Chen X., Zhang N., Li L., Deng S., Tan C., Xu C., Huang F., Si L., Chen H., Hybrid transformer with multi-level fusion for multimodal knowledge graph completion, Proc. the 45th Int. ACM SIGIR Conf. Res. Dev. Inf. Retr., (2022); Hwang W., Kim S., Seo M., Yim J., Park S., Park S., Lee J., Lee B., Lee H., Post-OCR parsing: building simple and robust parser via BIO tagging, (2019); Hu Z., Jiang Y., Bach N., Wang T., Huang Z., Huang F., Tu K., An investigation of potential function designs for neural CRF, (2020); Zheng C., Wu Z., Feng J., Fu Z., Cai Y., MNRE: A challenge multimodal dataset for neural relation extraction with visual evidence in social media posts, 2021 IEEE Int. Conf. Multimed. Expo (ICME), pp. 1-6, (2021); Lin T.-Y., Maire M., Belongie S.J., Hays J., Perona P., Ramanan D., Dollar P., Zitnick C.L., Microsoft COCO: Common objects in context, European Conference on Computer Vision, (2014); Sang E.T.K., Meulder F.D., Introduction to the CoNLL-2003 shared task: Language-independent named entity recognition, Conference on Computational Natural Language Learning, (2003); Bos J., The groningen meaning bank, Joint Symposium on Semantic Processing, (2013); Zhang Q., Fu J., Liu X., Huang X., Adaptive co-attention network for named entity recognition in tweets, AAAI Conference on Artificial Intelligence, (2018); Reimers N., Gurevych I., Optimal hyperparameters for deep LSTM-networks for sequence labeling tasks, (2017); Reimers N., Gurevych I., Alternative weighting schemes for ELMo embeddings, (2019); Peters M.E., Neumann M., Iyyer M., Gardner M., Clark C., Lee K., Zettlemoyer L., Deep contextualized word representations, (2018); Lample G., Ballesteros M., Subramanian S., Kawakami K., Dyer C., Neural architectures for named entity recognition, North American Chapter of the Association for Computational Linguistics, (2016); Yu J., Li Z., Wang J., Xia R., Grounded multimodal named entity recognition on social media, pp. 9141-9154, (2023); Yan H., Gui T., Dai J., Guo Q., Zhang Z., Qiu X., A unified generative framework for various NER subtasks, (2021); Li J., Li H., Sun D., Wang J., Zhang W., Wang Z., Pan G., LLMs as bridges: Reformulating grounded multimodal named entity recognition, (2024); Wang Y., Lou R., Zhang K., Chen M.Y., Yang Y., More: A metric learning based framework for open-domain relation extraction, ICASSP 2021 - 2021 IEEE Int. Conf. Acoust. Speech Signal Process. (ICASSP), pp. 7698-7702, (2021); Zheng C., Feng J., Fu Z., Cai Y., Li Q., Wang T., Multimodal relation extraction with efficient graph alignment, Proc. the 29th ACM Int. Conf. Multimed., (2021); Chen X., Zhang N., Li L., Deng S., Tan C., Xu C., Huang F., Si L., Chen H., Hybrid transformer with multi-level fusion for multimodal knowledge graph completion, pp. 904-915, (2022); Yuan L., Cai Y., Wang J., Li Q., Joint multimodal entity-relation extraction based on edge-enhanced graph alignment network and word-pair relation tagging, pp. 11051-11059; Cui S., Cao J., Cong X., Sheng J., Li Q., Liu T., Shi J., Enhancing multimodal entity and relation extraction with variational information bottleneck, IEEE/ ACM Trans. Audio, Speech, Lang. Process., (2024)</t>
  </si>
  <si>
    <t>J. Yoo; School of Computing, Seongnam-si, Gachon University, Gyeonggi-do, 13129, South Korea; email: joon.yoo@gachon.ac.kr</t>
  </si>
  <si>
    <t>2-s2.0-85217076650</t>
  </si>
  <si>
    <t>Zheng Y.; Ke W.; Liu Q.; Yang Y.; Zhao R.; Feng D.; Zhang J.; Fang Z.</t>
  </si>
  <si>
    <t>Zheng, Yifan (58919170300); Ke, Wenjun (57193995075); Liu, Qi (58460565600); Yang, Yuting (57219589387); Zhao, Ruizhuo (57226322169); Feng, Dacheng (57818689300); Zhang, Jianwei (57318239600); Fang, Zhi (57946883900)</t>
  </si>
  <si>
    <t>58919170300; 57193995075; 58460565600; 57219589387; 57226322169; 57818689300; 57318239600; 57946883900</t>
  </si>
  <si>
    <t>Making LLMs as Fine-Grained Relation Extraction Data Augmentor</t>
  </si>
  <si>
    <t>IJCAI International Joint Conference on Artificial Intelligence</t>
  </si>
  <si>
    <t>6660.0</t>
  </si>
  <si>
    <t>6668.0</t>
  </si>
  <si>
    <t>https://www.scopus.com/inward/record.uri?eid=2-s2.0-85204282209&amp;partnerID=40&amp;md5=ba5ee58cd82647947fc7b47f805ec700</t>
  </si>
  <si>
    <t>School of Computer Science and Engineering, Southeast University, China; Beijing Institute of Computer Technology and Application, China; Key Laboratory of New Generation Artifcial Intelligence Technology and Its Interdisciplinary Applications (Southeast University), China; Laboratory for Big Data and Decision, National University of Defense Technology, China</t>
  </si>
  <si>
    <t>Zheng Y., School of Computer Science and Engineering, Southeast University, China, Beijing Institute of Computer Technology and Application, China; Ke W., School of Computer Science and Engineering, Southeast University, China, Key Laboratory of New Generation Artifcial Intelligence Technology and Its Interdisciplinary Applications (Southeast University), China; Liu Q., Beijing Institute of Computer Technology and Application, China; Yang Y., Beijing Institute of Computer Technology and Application, China; Zhao R., Beijing Institute of Computer Technology and Application, China; Feng D., Beijing Institute of Computer Technology and Application, China; Zhang J., Beijing Institute of Computer Technology and Application, China, Laboratory for Big Data and Decision, National University of Defense Technology, China; Fang Z., Beijing Institute of Computer Technology and Application, China, Laboratory for Big Data and Decision, National University of Defense Technology, China</t>
  </si>
  <si>
    <t>Relation Extraction (RE) identifies relations between entities in text, typically relying on supervised models that demand abundant high-quality data. Various approaches, including Data Augmentation (DA), have been proposed as promising solutions for addressing low-resource challenges in RE. However, existing DA methods in RE often struggle to ensure consistency and contextual diversity in generated data due to the fine-grained nature of RE. Inspired by the extensive generative capabilities of large language models (LLMs), we introduce a novel framework named ConsistRE, aiming to maintain context consistency in RE. ConsistRE initiates by collecting a substantial corpus from external resources and employing statistical algorithms and semantics to identify keyword hints closely related to relation instances. These keyword hints are subsequently integrated as contextual constraints in sentence generation, ensuring the preservation of relation dependence and diversity with LLMs. Additionally, we implement syntactic dependency selection to enhance the syntactic structure of the generated sentences. Experimental results from the evaluation of SemEval, TACRED, and TACREV datasets unequivocally demonstrate that ConsistRE outperforms other baselines in F1 values by 1.76%, 3.92%, and 2.53%, respectively, particularly when operating under low-resource experimental conditions. ¬© 2024 International Joint Conferences on Artificial Intelligence. All rights reserved.</t>
  </si>
  <si>
    <t>Data assimilation; Spatio-temporal data; Syntactics; Augmentation methods; Contextual constraints; Data augmentation; External resources; Fine grained; High quality data; Language model; Relation extraction; Statistical algorithm; Statistical semantics; Semantics</t>
  </si>
  <si>
    <t>National Natural Science Foundation of China, NSFC, (62376057); National Natural Science Foundation of China, NSFC; Start-up Research Fund of Southeast University, (RF1028623234)</t>
  </si>
  <si>
    <t>We thank the reviewers for their insightful comments. This work was supported by National Science Foundation of China (Grant Nos.62376057) and the Start-up Research Fund of Southeast University (RF1028623234). All opinions are of the authors and do not reflect the view of sponsors.</t>
  </si>
  <si>
    <t>Alt Christoph, Gabryszak Aleksandra, Hennig Leonhard, TACRED revisited: A thorough evaluation of the TACRED relation extraction task, Proc. of ACL, (2020); Anaby-Tavor Ateret, Carmeli Boaz, Goldbraich Esther, Kantor Amir, Kour George, Shlomov Segev, Tepper Naama, Zwerdling Naama, Do not have enough data? deep learning to the rescue!, Proc. of AAAI, (2020); Bougouin Adrien, Boudin Florian, Daille Beatrice, TopicRank: Graph-based topic ranking for keyphrase extraction, Proc. of ACL, (2013); Brown Tom B., Mann Benjamin, Ryder Nick, Subbiah Melanie, Kaplan Jared, Dhariwal Prafulla, Neelakantan Arvind, Shyam Pranav, Sastry Girish, Askell Amanda, Agarwal Sandhini, Herbert-Voss Ariel, Krueger Gretchen, Henighan Tom, Child Rewon, Ramesh Aditya, Ziegler Daniel M., Wu Jeffrey, Winter Clemens, Hesse Christopher, Chen Mark, Sigler Eric, Litwin Mateusz, Gray Scott, Chess Benjamin, Clark Jack, Berner Christopher, McCandlish Sam, Radford Alec, Sutskever Ilya, Amodei Dario, Language models are few-shot learners, Proc. of NeurIPS, (2020); Church Kenneth Ward, Hanks Patrick, Word association norms, mutual information, and lexicography, Proc. of ACL, (1989); Deng Shumin, Ma Yubo, Zhang Ningyu, Cao Yixin, Hooi Bryan, Information extraction in low-resource scenarios: Survey and perspective, (2023); Devlin Jacob, Chang Ming-Wei, Lee Kenton, Toutanova Kristina, BERT: Pre-training of deep bidirectional transformers for language understanding, Proc. of NAACL, (2019); Fabbri Alexander, Han Simeng, Li Haoyuan, Li Haoran, Ghazvininejad Marjan, Joty Shafiq, Radev Dragomir, Mehdad Yashar, Improving zero and few-shot abstractive summarization with intermediate fine-tuning and data augmentation, Proc. of NAACL, (2021); Fellbaum Christiane, WordNet: An Electronic Lexical Database, (1998); Gururaja Sireesh, Dutt Ritam, Liao Ting-long, Rose Carolyn, Linguistic representations for fewer-shot relation extraction across domains, Proc. of ACL, (2023); Hendrickx Iris, Kim Su Nam, Kozareva Zornitsa, Nakov Preslav, Seaghdha Diarmuid O, Pado Sebastian, Pennacchiotti Marco, Romano Lorenza, Szpakowicz Stan, SemEval-2010 task 8: Multi-way classification of semantic relations between pairs of nominals, Proceedings of the Workshop on Semantic Evaluations: Recent Achievements and Future Directions (SEW-2009), (2009); Hsu Ting-Wei, Chen Chung-Chi, Huang Hen-Hsen, Chen Hsin-Hsi, Semantics-preserved data augmentation for aspect-based sentiment analysis, Proc. of EMNLP, (2021); Hu Xuming, Zhang Chenwei, Ma Fukun, Liu Chenyao, Wen Lijie, Yu Philip S., Semi-supervised relation extraction via incremental meta self-training, Proc. of EMNLP Findings, (2021); Hu Xuming, Liu Aiwei, Tan Zeqi, Zhang Xin, Zhang Chenwei, King Irwin, Yu Philip S., GDA: Generative data augmentation techniques for relation extraction tasks, Proc. of ACL Findings, (2023); Jiao Xiaoqi, Yin Yichun, Shang Lifeng, Jiang Xin, Chen Xiao, Li Linlin, Wang Fang, Liu Qun, TinyBERT: Distilling BERT for natural language understanding, Proc. of EMNLP Findings, (2020); Ke Wenjun, Tian Zongkai, Liu Qi, Wang Peng, Gao Jinhua, Qi Rui, Towards incremental ner data augmentation via syntactic-aware insertion transformer, Proc. of IJCAI, (2023); Lewis Mike, Liu Yinhan, Goyal Naman, Ghazvininejad Marjan, Mohamed Abdelrahman, Levy Omer, Stoyanov Veselin, Zettlemoyer Luke, BART: Denoising sequence-to-sequence pre-training for natural language generation, translation, and comprehension, Proc. of ACL, (2020); Li Jiwei, Galley Michel, Brockett Chris, Gao Jianfeng, Dolan Bill, A diversity-promoting objective function for neural conversation models, Proc. of NAACL, (2016); Li Guozheng, Wang Peng, Ke Wenjun, Revisiting large language models as zero-shot relation extractors, Proc. of EMNLP Findings, (2023); Liu Fangchao, Lin Hongyu, Han Xianpei, Cao Boxi, Sun Le, Pre-training to match for unified low-shot relation extraction, Proc. of ACL, (2022); Lowell David, Howard Brian, Lipton Zachary C., Wallace Byron, Unsupervised data augmentation with naive augmentation and without unlabeled data, Proc. of EMNLP, (2021); Lu Keming, Hsu I-Hung, Zhou Wenxuan, Ma Mingyu Derek, Chen Muhao, Et al., Summarization as indirect supervision for relation extraction, EMNLP - Findings, (2022); Luan Yi, He Luheng, Ostendorf Mari, Hajishirzi Hannaneh, Multi-task identification of entities, relations, and coreference for scientific knowledge graph construction, Proc. of EMNLP, (2018); Mueller Jonas, Thyagarajan Aditya, Siamese recurrent architectures for learning sentence similarity, Proc. of AAAI, (2016); Open AI., Gpt-4 technical report, (2024); Pouran Ben Veyseh Amir, Dernoncourt Franck, Min Bonan, Nguyen Thien, Generating labeled data for relation extraction: A meta learning approach with joint GPT-2 training, Proc. of ACL Findings, (2023); Raffel Colin, Shazeer Noam, Roberts Adam, Lee Katherine, Narang Sharan, Matena Michael, Zhou Yanqi, Li Wei, Liu Peter J., Exploring the limits of transfer learning with a unified text-to-text transformer, J. Mach. Learn. Res, (2020); Reimers Nils, Gurevych Iryna, Sentence-BERT: Sentence embeddings using Siamese BERT-networks, Proc. of EMNLP, (2019); Sarhan Injy, Spruit Marco, Can we survive without labelled data in nlp? transfer learning for open information extraction, Applied Sciences, (2020); Sun Haitian, Verga Patrick, Dhingra Bhuwan, Salakhutdinov Ruslan, Cohen William W., Reasoning over virtual knowledge bases with open predicate relations, Proc. of ICML, (2021); Teru Komal, Semi-supervised relation extraction via data augmentation and consistency-training, Proc. of EACL, (2023); Tian Yuanhe, Song Yan, Xia Fei, Improving relation extraction through syntax-induced pre-training with dependency masking, Proc. of ACL Findings, (2022); Touvron Hugo, Lavril Thibaut, Izacard Gautier, Martinet Xavier, Lachaux Marie-Anne, Lacroix Timothee, Roziere Baptiste, Goyal Naman, Ham-bro Eric, Azhar Faisal, Rodriguez Aurelien, Joulin Armand, Grave Edouard, Lample Guillaume, Llama: Open and efficient foundation language models, (2023); Wan Zhen, Cheng Fei, Mao Zhuoyuan, Liu Qianying, Song Haiyue, Li Jiwei, Kurohashi Sadao, GPT-RE: In-context learning for relation extraction using large language models, Proc. of EMNLP, (2023); Wang Xiao, Zhou Weikang, Zu Can, Xia Han, Chen Tianze, Zhang Yuansen, Zheng Rui, Ye Junjie, Zhang Qi, Gui Tao, Et al., Instructuie: Multi-task instruction tuning for unified information extraction, (2023); Wei Jason, Zou Kai, EDA: Easy data augmentation techniques for boosting performance on text classification tasks, Proc. of EMNLP, (2019); Xiang Wei, Wang Bang, A survey of event extraction from text, IEEE Access, (2019); Xie Qizhe, Dai Zihang, Hovy Eduard H., Luong Thang, Le Quoc, Unsupervised data augmentation for consistency training, Proc. of NeurIPS, (2020); Xie Sang Michael, Raghunathan Aditi, Liang Percy, Ma Tengyu, An explanation of in-context learning as implicit bayesian inference, Proc. of ICLR, (2022); Xu Benfeng, Wang Quan, Lyu Yajuan, Dai Dai, Zhang Yongdong, Mao Zhendong, S2ynRE: Two-stage self-training with synthetic data for low-resource relation extraction, Proc. of ACL, (2023); Zhang Kaizhong, Shasha Dennis, Simple fast algorithms for the editing distance between trees and related problems, SIAM Journal on Computing, (1989); Zhang Yuhao, Zhong Victor, Chen Danqi, Angeli Gabor, Manning Christopher D., Position-aware attention and supervised data improve slot filling, Proc. of EMNLP, (2017); Zhao Jun, Zhan WenYu, Zhao Xin, Zhang Qi, Gui Tao, Wei Zhongyu, Wang Junzhe, Peng Minlong, Sun Mingming, RE-matching: A fine-grained semantic matching method for zero-shot relation extraction, Proc. of ACL, (2023)</t>
  </si>
  <si>
    <t>W. Ke; School of Computer Science and Engineering, Southeast University, China; email: kewenjun@seu.edu.cn</t>
  </si>
  <si>
    <t>Larson K.</t>
  </si>
  <si>
    <t>International Joint Conferences on Artificial Intelligence</t>
  </si>
  <si>
    <t>International Joint Conferences on Artifical Intelligence (IJCAI)</t>
  </si>
  <si>
    <t>33rd International Joint Conference on Artificial Intelligence, IJCAI 2024</t>
  </si>
  <si>
    <t>3 August 2024 through 9 August 2024</t>
  </si>
  <si>
    <t>Jeju</t>
  </si>
  <si>
    <t>202043.0</t>
  </si>
  <si>
    <t>978-195679204-1</t>
  </si>
  <si>
    <t>IJCAI Int. Joint Conf. Artif. Intell.</t>
  </si>
  <si>
    <t>2-s2.0-85204282209</t>
  </si>
  <si>
    <t>Zhou S.; Ge S.; Shen J.; Han J.</t>
  </si>
  <si>
    <t>Zhou, Sizhe (57939053500); Ge, Suyu (57214228092); Shen, Jiaming (57200213994); Han, Jiawei (24325399900)</t>
  </si>
  <si>
    <t>57939053500; 57214228092; 57200213994; 24325399900</t>
  </si>
  <si>
    <t>Corpus-Based Relation Extraction by¬†Identifying and¬†Refining Relation Patterns</t>
  </si>
  <si>
    <t>14172 LNAI</t>
  </si>
  <si>
    <t>20.0</t>
  </si>
  <si>
    <t>38.0</t>
  </si>
  <si>
    <t>10.1007/978-3-031-43421-1_2</t>
  </si>
  <si>
    <t>https://www.scopus.com/inward/record.uri?eid=2-s2.0-85174440242&amp;doi=10.1007%2f978-3-031-43421-1_2&amp;partnerID=40&amp;md5=cf2e2d3213e3ad68440b7ebd35a07619</t>
  </si>
  <si>
    <t>Shanghai Jiao Tong University, Shanghai, China; University of Illinois Urbana-Champaign, Urbana, United States; Google Research, New York, United States</t>
  </si>
  <si>
    <t>Zhou S., Shanghai Jiao Tong University, Shanghai, China; Ge S., University of Illinois Urbana-Champaign, Urbana, United States; Shen J., Google Research, New York, United States; Han J., University of Illinois Urbana-Champaign, Urbana, United States</t>
  </si>
  <si>
    <t>Automated relation extraction without extensive human-annotated data is a crucial yet challenging task in text mining. Existing studies typically use lexical patterns to label a small set of high-precision relation triples and then employ distributional methods to enhance detection recall. This precision-first approach works well for common relation types but struggles with unconventional and infrequent ones. In this work, we propose a recall-first approach that first leverages high-recall patterns (e.g., a per:siblings relation normally requires both the head and tail entities in the person type) to provide initial candidate relation triples with weak labels and then clusters these candidate relation triples in a latent spherical space to extract high-quality weak supervisions. Specifically, we present a novel framework, RClus, where each relation triple is represented by its head/tail entity type and the shortest dependency path between the entity mentions. RClus first applies high-recall patterns to narrow down each relation type‚Äôs candidate space. Then, it embeds candidate relation triples in a latent space and conducts spherical clustering to further filter out noisy candidates and identify high-quality weakly-labeled triples. Finally, RClus leverages the above-obtained triples to prompt-tune a pre-trained language model and utilizes it for improved extraction coverage. We conduct extensive experiments on three public datasets and demonstrate that RClus outperforms the weakly-supervised baselines by a large margin and achieves generally better performance than fully-supervised methods in low-resource settings. ¬© 2023, The Author(s), under exclusive license to Springer Nature Switzerland AG.</t>
  </si>
  <si>
    <t>Latent Space Clustering; Relation Extraction; Weak Supervision</t>
  </si>
  <si>
    <t>Data mining; Filtration; Large dataset; Natural language processing systems; Corpus-based; High quality; High-precision; Latent space clustering; Lexical patterns; Relation extraction; Space clustering; Text-mining; Weak labels; Weak supervision; Extraction</t>
  </si>
  <si>
    <t>INCAS, (HR001121C0165); Institute for Geospatial Understanding, (2118329); Molecule Maker Lab Institute; US DARPA, (FA8750-19-2-1004); National Science Foundation, NSF, (2019897, IIS 17-04532, IIS-17-41317, IIS-19-56151); National Science Foundation, NSF; Defense Advanced Research Projects Agency, DARPA</t>
  </si>
  <si>
    <t>Funding text 1: Acknowledgements. Research was supported in part by US DARPA KAIROS Program No. FA8750-19-2-1004 and INCAS Program No. HR001121C0165, National Science Foundation IIS-19-56151, IIS-17-41317, and IIS 17-04532, and the Molecule Maker Lab Institute: An AI Research Institutes program supported by NSF under Award No. 2019897, and the Institute for Geospatial Understanding through an Integrative Discovery Environment (I-GUIDE) by NSF under Award No. 2118329. Any opinions, findings, and conclusions or recommendations expressed herein are those of the authors and do not necessarily represent the views, either expressed or implied, of DARPA or the U.S. Government.; Funding text 2: Research was supported in part by US DARPA KAIROS Program No. FA8750-19-2-1004 and INCAS Program No. HR001121C0165, National Science Foundation IIS-19-56151, IIS-17-41317, and IIS 17-04532, and the Molecule Maker Lab Institute: An AI Research Institutes program supported by NSF under Award No. 2019897, and the Institute for Geospatial Understanding through an Integrative Discovery Environment (I-GUIDE) by NSF under Award No. 2118329. Any opinions, findings, and conclusions or recommendations expressed herein are those of the authors and do not necessarily represent the views, either expressed or implied, of DARPA or the U.S. Government.</t>
  </si>
  <si>
    <t>Agarap A.F., Deep learning using rectified linear units (relu), Corr Abs/1803, (2018); Banerjee A., Dhillon I.S., Ghosh J., Sra S., Clustering on the unit hypersphere using von Mises-Fisher distributions, J. Mach. Learn. Res., 6, pp. 1345-1382, (2005); Brown T., Et al., Language models are few-shot learners, Advances in Neural Information Processing Systems, Vol. 33, pp. 1877-1901, (2020); Chen Y.N., Hakkani-Tur D., Tur G., Deriving local relational surface forms from dependency-based entity embeddings for unsupervised spoken language understanding, 2014 IEEE Spoken Language Technology Workshop (SLT), pp. 242-247, (2014); Curran J., Murphy T., Scholz B., Minimising semantic drift with mutual exclusion bootstrapping, Proceedings of the 10Th Conference of the Pacific Association for Computational Linguistics, pp. 172-180, (2008); Dempster A.P., Laird N.M., Rubin D.B., Maximum likelihood from incomplete data via the EM algorithm, J. Royal Stat. Soc. Ser. B (Methodological), 39, 1, pp. 1-38, (1977); Ding N., Et al., Prompt-learning for fine-grained entity typing, Arxiv Abs/2108, (2021); Kuffner K., Zimmer R., Fundel R., Relex-relation extraction using dependency parse trees, Bioinformatics, 23, 3, pp. 365-371, (2007); Hinton G.E., Zemel R.S., Autoencoders, minimum description length and Helmholtz free energy, Proceedings of the 6Th International Conference on Neural Information Processing Systems, Pp. 3‚Äì10. NIPS‚Äô93, Morgan Kaufmann Publishers Inc., San Francisco, CA, USA, (1993); Hu S., Ding N., Wang H., Liu Z., Li J.Z., Sun M., Knowledgeable prompt-tuning: Incorporating knowledge into prompt verbalizer for text classification, Annual Meeting of the Association for Computational Linguistics, (2021); Lu Y., Bartolo M., Moore A., Riedel S., Stenetorp P., Fantastically ordered prompts and where to find them: Overcoming few-shot prompt order sensitivity, Corr Abs/2104, (2021); van der Maaten L., Hinton G., Visualizing data using t-SNE, J. Mach. Learn. Res., 9, 86, pp. 2579-2605, (2008); Open language learning for information extraction, Proceedings of the 2012 Joint Conference on Empirical Methods in Natural Language Processing and Computational Natural Language Learning, pp. 523-534, (2012); Meng Y., Et al., Advances in Neural Information Processing Systems, (2019); Meng Y., Shen J., Zhang C., Han J., Weakly-supervised neural text classification, Proceedings of the 27Th ACM International Conference on Information and Knowledge Management, Pp. 983‚Äì992. CIKM ‚Äô18, (2018); Nakashole N., Weikum G., Suchanek F., PATTY: A taxonomy of relational patterns with semantic types, Proceedings of the 2012 Joint Conference on Empirical Methods in Natural Language Processing and Computational Natural Language Learning, pp. 1135-1145, (2012); Nayak T., Majumder N., Goyal P., Poria S., Deep neural approaches to relation triplets extraction: A comprehensive survey, Cognitive Comput, 13, pp. 1215-1232, (2021); Ratner A., Bach S.H., Ehrenberg H., Fries J., Wu S., Re C., Snorkel: Rapid training data creation with weak supervision, Proc. VLDB Endowment, 11, 3, pp. 269-282, (2017); Ratner A., Sa C.D., Wu S., Selsam D., Re C., Data programming: Creating large training sets, quickly, Proceedings of the 30Th International Conference on Neural Information Processing Systems, Pp. 3574‚Äì3582. NIPS‚Äô16, Curran Associates Inc., Red Hook, NY, USA, (2016); Shin T., Razeghi Y., R.L.L., Wallace, E., Singh, S.: Eliciting knowledge from language models using automatically generated prompts, Arxiv Abs/2010, (2020); Simmons R.F., Answering English questions by computer: A survey, Commun. ACM, 8, 1, pp. 53-70, (1965); Stoica G., Platanios E.A., P'Oczos B., Re-TACRED: Addressing shortcomings of the TACRED dataset, AAAI Conference on Artificial Intelligence, (2021); Varma P., Re C., Snuba: Automating weak supervision to label training data, Proc. VLDB Endow., 12, 3, pp. 223-236, (2018); Wang C., Kalyanpur A., Fan J., Boguraev B.K., Gondek D.C., Relation extraction and scoring in deepqa, IBM J. Res. Dev., 56, 34, pp. 1-9, (2012); Wang H., Tian F., Gao B., Zhu C., Bian J., Liu T.Y., Solving verbal questions in IQ test by knowledge-powered word embedding, Conference on Empirical Methods in Natural Language Processing, (2015); Xie J., Girshick R., Farhadi A., Unsupervised deep embedding for clustering analysis, Proceedings of the 33Rd International Conference on International Conference on Machine Learning, 48, pp. 478-487, (2016); Xue F., Sun A., Zhang H., Chng E.S., GDPNet: Refining latent multi-view graph for relation extraction, AAAI Conference on Artificial Intelligence, (2020); Yu Y., Zuo S., Jiang H., Ren W., Zhao T., Zhang C., Fine-tuning pre-trained language model with weak supervision: A contrastive-regularized self-training approach, Arxiv Abs/2010, (2020); Zhou W., Et al., NERO: A neural rule grounding framework for label-efficient relation extraction, Proceedings of the Web Conference 2020, Pp. 2166‚Äì2176. WWW ‚Äô20, Association for Computing Machinery, New York, NY, USA, (2020); Zhuang L., Wayne L., Ya S., Jun Z., A robustly optimized BERT pre-training approach with post-training, Proceedings of the 20Th Chinese National Conference on Computational Linguistics, pp. 1218-1227, (2021)</t>
  </si>
  <si>
    <t>J. Han; University of Illinois Urbana-Champaign, Urbana, United States; email: hanj@illinois.edu</t>
  </si>
  <si>
    <t>Koutra D.; Plant C.; Gomez Rodriguez M.; Baralis E.; Bonchi F.</t>
  </si>
  <si>
    <t>European Conference on Machine Learning and Principles and Practice of Knowledge Discovery in Databases, ECML PKDD 2023</t>
  </si>
  <si>
    <t>18 September 2023 through 22 September 2023</t>
  </si>
  <si>
    <t>301649.0</t>
  </si>
  <si>
    <t>978-303143420-4</t>
  </si>
  <si>
    <t>2-s2.0-85174440242</t>
  </si>
  <si>
    <t>Fri√∞riksd√≥ttir S.R.; Einarsson H.</t>
  </si>
  <si>
    <t>Fri√∞riksd√≥ttir, Steinunn Rut (57216331288); Einarsson, Hafsteinn (56587935900)</t>
  </si>
  <si>
    <t>57216331288; 56587935900</t>
  </si>
  <si>
    <t>The Effect of Data Encoding on Relation Triplet Identification</t>
  </si>
  <si>
    <t>Proceedings of the 24th Nordic Conference on Computational Linguistics, NoDaLiDa 2023</t>
  </si>
  <si>
    <t>507.0</t>
  </si>
  <si>
    <t>https://www.scopus.com/inward/record.uri?eid=2-s2.0-85217085382&amp;partnerID=40&amp;md5=0ee48ad825d26dab4ce226048edd89f6</t>
  </si>
  <si>
    <t>Department of Computer Science, University of Iceland, Iceland</t>
  </si>
  <si>
    <t>Fri√∞riksd√≥ttir S.R., Department of Computer Science, University of Iceland, Iceland; Einarsson H., Department of Computer Science, University of Iceland, Iceland</t>
  </si>
  <si>
    <t>This paper presents a novel method for creating relation extraction data for low-resource languages. Relation extraction (RE) is a task in natural language processing that involves identifying and extracting meaningful relationships between entities in text. Despite the increasing need to extract relationships from unstructured text, the limited availability of annotated data in low-resource languages presents a significant challenge to the development of high-quality relation extraction models. Our method leverages existing methods for high-resource languages to create training data for low-resource languages. The proposed method is simple, efficient and has the potential to significantly improve the performance of relation extraction models for low-resource languages, making it a promising avenue for future research. ¬© 2023 Association for Computational Linguistics.</t>
  </si>
  <si>
    <t>Computational linguistics; Data assimilation; Data encoding; Extraction modeling; High quality; Language processing; Low resource languages; Natural languages; Novel methods; Relation extraction; Relationships between entities; Unstructured texts</t>
  </si>
  <si>
    <t>Strategic Research and Development Pro-gramme for Language Technology</t>
  </si>
  <si>
    <t>This research was conducted with funding from The Strategic Research and Development Pro-gramme for Language Technology. We thank the anonymous reviewers for providing helpful comments on this manuscript and Valdimar \u00C1g\u00FAst Eggertsson for helpful discussions.</t>
  </si>
  <si>
    <t>Cabot Pere-Lluis Huguet, Navigli Roberto, REBEL: Relation extraction by end-to-end language generation, Findings of the Association for Computational Linguistics: EMNLP 2021, pp. 2370-2381, (2021); Carlson Andrew, Betteridge Justin, Kisiel Bryan, Settles Burr, Hruschka Estevam, Mitchell Tom, Toward an architecture for never-ending language learning, Proceedings of the AAAI conference on artificial intelligence, 24, pp. 1306-1313, (2010); Dandapat Sandipan, Way Andy, Improved named entity recognition using machine translation-based cross-lingual information, Computaci√≥n y Sistemas, 20, 3, pp. 495-504, (2016); Fridriksdottir Steinunn Rut, Eggertsson Valdimar Agust, Johannesson Benedikt Geir, Danielsson Hjalti, Loftsson Hrafn, Einarsson Hafsteinn, Building an Icelandic Entity Linking Corpus, Proceedings of the workshop‚ÄôDataset Creation for Lower-Resourced Languages‚Äô, at the 13th International Conference on Language Resources and Evaluation (LREC 2022), (2022); Grundkiewicz Roman, Heafield Kenneth, Neural machine translation techniques for named entity transliteration, Proceedings of the Seventh Named Entities Workshop, pp. 89-94, (2018); Jain Alankar, Paranjape Bhargavi, Lipton Zachary C., Entity projection via machine translation for cross-lingual NER, Proceedings of the 2019 Conference on Empirical Methods in Natural Language Processing and the 9th International Joint Conference on Natural Language Processing (EMNLP-IJCNLP), pp. 1083-1092, (2019); Jiang Jing, Zhai ChengXiang, A systematic exploration of the feature space for relation extraction, Human Language Technologies 2007: The Conference of the North American Chapter of the Association for Computational Linguistics; Proceedings of the Main Conference, pp. 113-120, (2007); Kambhatla Nanda, Combining lexical, syntactic, and semantic features with maximum entropy models for information extraction, Proceedings of the ACL Interactive Poster and Demonstration Sessions, pp. 178-181, (2004); Liu ChunYang, Sun WenBo, Chao WenHan, Che Wanxiang, Convolution neural network for relation extraction, Advanced Data Mining and Applications: 9th International Conference, ADMA 2013, Hangzhou, China, December 14-16, 2013, Proceedings, Part II 9, pp. 231-242, (2013); Nag Arijit, Samanta Bidisha, Mukherjee Animesh, Ganguly Niloy, Chakrabarti Soumen, A data bootstrapping recipe for low-resource multilingual relation classification, Proceedings of the 25th Conference on Computational Natural Language Learning, pp. 575-587, (2021); Riedel Sebastian, Yao Limin, McCallum Andrew, Modeling relations and their mentions without labeled text, Machine Learning and Knowledge Discovery in Databases, pp. 148-163, (2010); Roth Dan, Yih Wen-tau, A linear programming formulation for global inference in natural language tasks, Proceedings of the Eighth Conference on Computational Natural Language Learning (CoNLL-2004) at HLT-NAACL 2004, pp. 1-8, (2004); dos Santos Cicero, Xiang Bing, Zhou Bowen, Classifying relations by ranking with convolutional neural networks, Proceedings of the 53rd Annual Meeting of the Association for Computational Linguistics and the 7th International Joint Conference on Natural Language Processing (Volume 1: Long Papers), pp. 626-634, (2015); Snaebjarnarson Vesteinn, Simonarson Haukur Barri, Ragnarsson Petur Orri, Ingolfsdottir Svanhvit Lilja, Jonsson Haukur, Thorsteinsson Vilhjalmur, Einarsson Hafsteinn, A warm start and a clean crawled corpus - a recipe for good language models, Proceedings of the Thirteenth Language Resources and Evaluation Conference, pp. 4356-4366, (2022); Snaebjarnarson Vesteinn, Einarsson Hafsteinn, Cross-Lingual QA as a Stepping Stone for Monolingual Open QA in Icelandic, Proceedings of the Workshop on Multilingual Information Access (MIA), pp. 29-36, (2022); Soderland Stephen, Fisher David, Aseltine Jonathan, Lehnert Wendy, Crystal inducing a conceptual dictionary, Proceedings of the 14th international joint conference on Artificial intelligence, 2, pp. 1314-1319, (1995); Taghizadeh Nasrin, Faili Heshaam, Cross-lingual transfer learning for relation extraction using universal dependencies, Computer Speech &amp; Language, 71, (2022); Taille Bruno, Guigue Vincent, Scoutheeten Geoffrey, Gallinari Patrick, Let‚Äôs Stop Incorrect Comparisons in End-to-end Relation Extraction!, Proceedings of the 2020 Conference on Empirical Methods in Natural Language Processing (EMNLP), pp. 3689-3701, (2020); Tran Chau, Bhosale Shruti, Cross James, Koehn Philipp, Edunov Sergey, Fan Angela, Facebook AI‚Äôs WMT21 news translation task submission, Proceedings of the Sixth Conference on Machine Translation, pp. 205-215, (2021); Xu Yan, Jia Ran, Mou Lili, Li Ge, Chen Yunchuan, Lu Yangyang, Jin Zhi, Improved relation classification by deep recurrent neural networks with data augmentation, Proceedings of COLING 2016, the 26th International Conference on Computational Linguistics: Technical Papers, pp. 1461-1470, (2016); Yan Yu, Sun Haolin, Liu Jie, A review and outlook for relation extraction, Proceedings of the 5th International Conference on Computer Science and Application Engineering, CSAE‚Äô21, (2021)</t>
  </si>
  <si>
    <t>Alumae T.; Fishel M.</t>
  </si>
  <si>
    <t>University of Tartu Library</t>
  </si>
  <si>
    <t>BankNordik; Dictus; Elekton; et al.; Malradid; Nationella Sprakbanken</t>
  </si>
  <si>
    <t>24th Nordic Conference on Computational Linguistics, NoDaLiDa 2023</t>
  </si>
  <si>
    <t>22 May 2023 through 24 May 2023</t>
  </si>
  <si>
    <t>Torshavn</t>
  </si>
  <si>
    <t>205927.0</t>
  </si>
  <si>
    <t>978-991621999-7</t>
  </si>
  <si>
    <t>Proc. Nord. Conf. Comput. Linguist., NoDaLiDa</t>
  </si>
  <si>
    <t>2-s2.0-85217085382</t>
  </si>
  <si>
    <t>Zhu Z.; Lin H.; Gu D.; Wang L.; Wu H.; Fang Y.</t>
  </si>
  <si>
    <t>Zhu, Zhen (58609171700); Lin, Huaiyuan (58627480400); Gu, Dongmei (58609694100); Wang, Liting (58609516900); Wu, Hong (58608666500); Fang, Yun (58627661600)</t>
  </si>
  <si>
    <t>58609171700; 58627480400; 58609694100; 58609516900; 58608666500; 58627661600</t>
  </si>
  <si>
    <t>MusREL: A Utility-Weighted Multi-Strategy Relation Extraction Model-Based Intelligent System for Online Education</t>
  </si>
  <si>
    <t>International Journal on Semantic Web and Information Systems</t>
  </si>
  <si>
    <t>10.4018/IJSWIS.329965</t>
  </si>
  <si>
    <t>https://www.scopus.com/inward/record.uri?eid=2-s2.0-85172915175&amp;doi=10.4018%2fIJSWIS.329965&amp;partnerID=40&amp;md5=d45161ce0078f37d020018d130656598</t>
  </si>
  <si>
    <t>Keyi College, Zhejiang Sci-Tech University, China &amp; AI Lab, NetEase Inc, China; Wenzhou Vocational College of Science and Technology, China; Hangzhou City University, China; Keyi College, Zhejiang Sci-tech University, China; AI Lab, NetEase Inc., China</t>
  </si>
  <si>
    <t>Zhu Z., Keyi College, Zhejiang Sci-Tech University, China &amp; AI Lab, NetEase Inc, China; Lin H., Wenzhou Vocational College of Science and Technology, China; Gu D., Hangzhou City University, China; Wang L., Keyi College, Zhejiang Sci-tech University, China; Wu H., Keyi College, Zhejiang Sci-tech University, China; Fang Y., AI Lab, NetEase Inc., China</t>
  </si>
  <si>
    <t>In order to enhance the utility of online educational digital resources, the authors propose a practical and efficient multi-strategy relation extraction (RE) model in online education scenarios. First, the effective relation discrimination model is used to make relation predictions for non-structured teaching resources and eliminate the noise data. Then, they extract relations from different path strategies using multiple low-computational resources and efficient relation extraction strategies and use their proposed multi-strategy weighting calculator to weigh the relation extraction strategies to derive the final target relations. To cope with the low-resource relation extraction scenario, the relation extraction results are complemented by using prompt learning with a big model paradigm. They also consider the model to serve the commercial scenario of online education, and they propose a global rate controller to adjust and adapt the rate and throughput requirements in different scenarios, so as to achieve the best balance of system stability, computation speed, and extraction performance. ¬© 2023 IGI Global. All rights reserved.</t>
  </si>
  <si>
    <t>Artificial Intelligence; Low-Cost Cloud Computing; Multiply Strategies; Online Learning System; Relation Extraction</t>
  </si>
  <si>
    <t>Costs; E-learning; Extraction; Learning systems; Monte Carlo methods; System stability; Cloud-computing; Digital resources; Extraction modeling; Low-cost cloud computing; Low-costs; Model-based OPC; Multiply strategy; On-line education; Online learning systems; Relation extraction; Intelligent systems</t>
  </si>
  <si>
    <t>NetEase Frontier Technology Research Project; Talent Fund of Keyi College of Zhejiang Sci-Tech University; Youdao Inc.; Zhejiang University City College; Zhejiang Sci-Tech University, ZSTU</t>
  </si>
  <si>
    <t>This research was funded by the Talent Fund of Keyi College of Zhejiang Sci-Tech University and by the NetEase Frontier Technology Research Project. This work was also supported by Youdao Inc., Zhejiang Sci-Tech University, and Zhejiang University City College.</t>
  </si>
  <si>
    <t>Al-Qerem A., Alauthman M., Almomani A., Gupta B. B., IoT transaction processing through cooperative concurrency control on fog‚Äìcloud computing environment, Soft Computing, 24, 8, pp. 5695-5711, (2020); Bengio Y., Courville A., Vincent P., Representation learning: A review and new perspectives, IEEE Transactions on Pattern Analysis and Machine Intelligence, 35, 8, pp. 1798-1828, (2013); Califf M. E., Mooney R. J., Relational learning of pattern-match rules for information extraction, Proceedings of the sixteenth national conference on artificial intelligence, 328, pp. 334-341, (1997); Chen J., Ji D., Tan C. L., Niu Z., Unsupervised feature selection for relation extraction, Companion Volume to the Proceedings of Second International Joint Conference on Natural Language Processing, pp. 262-267, (2005); Chung J., Caglar G., Cho K., Bengio Y., Empirical evaluation of gated recurrent neural networks on sequence modeling, NIPS 2014 Workshop on Deep Learning, pp. 1-9, (2014); Culotta A., Sorensen J., Dependency tree kernels for relation extraction, Proceedings of the 42nd Annual Meeting of the Association for Computational Linguistics, pp. 423-429, (2004); Diederik P. K., Ba J., Adam: A method for stochastic optimization, Proceedings of the 3rd International Conference on Learning Representations, 5, (2015); Dong L., Yang N., Wang W., Wei F., Liu X., Wang Y., Gao J., Zhou M., Hon H., Unified language model pre training for natural language understanding and generation, Advances in neural information processing systems 32: Proceedings of the annual conference on neural information processing systems, pp. 13042-13054, (2019); Elgendy I. A., Zhang W. Z., He H., Gupta B. B., Abd El-Latif A. A., Joint computation offloading and task caching for multi-user and multi-task MEC systems: Reinforcement learning-based algorithms, Wireless Networks, 27, 3, pp. 2023-2038, (2021); Fundel K., Kuffner R., Zimmer R., RelEx-relation extraction using dependency parse trees, Bioinformatics, 23, 3, pp. 365-371, (2006); Gardent C., Shimorina A., Narayan S., Perez-Beltrachini L., Creating training corpora for NLG micro-planners, Proceedings of the 55th Annual Meeting of the Association for Computational Linguistics, 1, pp. 179-188, (2017); Gaurav A., Hu B., Choi C., Almomani A., Evaluation and comparative analysis of semantic web-based strategies for enhancing educational system development, International Journal on Semantic Web and Information Systems, 18, 1, pp. 1-14, (2022); George G., Lal A. M., A personalized approach to course recommendation in higher education, International Journal on Semantic Web and Information Systems, 17, 2, pp. 100-114, (2021); Gupta B. B., Gaurav A., Panigrahi P. K., Analysis of the development of sustainable entrepreneurship practices through knowledge and smart innovative based education system, The International Entrepreneurship and Management Journal, 19, 2, pp. 923-940, (2023); Gupta B. B., Quamara M., An overview of Internet of Things (IoT): Architectural aspects, challenges, and protocols, Concurrency and Computation, 32, 21, (2020); Huffman S. B., Learning information extraction patterns from examples, Proceedings of IJCAI, pp. 246-260, (1995); Juarez-Varon D., Bellido-Garcia I., Gupta B. B., Analysis of stress, attention, interest, and engagement in onsite and online higher education: A neurotechnological study, Comunicar, 31, 76, pp. 21-33, (2023); Kar R., To study the impact of social network analysis on social media marketing using graph theory, International Journal of Software Science and Computational Intelligence, 14, 1, pp. 1-20, (2022); Katz D. M., Bommarito M., Arredondo P. D., Gpt-4 passes the bar exam, (2023); Kaur M., Singh D., Kumar V., Gupta B. B., Abd El-Latif A. A., Secure and energy efficient-based E-health care framework for green internet of things, IEEE Transactions on Green Communications and Networking, 5, 3, pp. 1223-1231, (2021); Kim J. T., Moldovan D. I., Acquisition of linguistic patterns for knowledge-based information extraction, TKDE, 7, 5, pp. 713-724, (1995); Kong B., Liu S., Wei F., Jia L., Wang G., Chinese relation extraction using extend Softword, IEEE Access: Practical Innovations, Open Solutions, 9, pp. 110299-110308, (2021); Lafferty J., McCallum A., Pereira F., Conditional random fields: Probabilistic models for segmenting and labeling sequence data, Proceedings of the International Conference on Machine Learning (ICML‚Äô01), pp. 282-289, (2001); Lee J., Seo S., Choi Y. S., Semantic relation classification via bidirectional LSTM networks with entity-aware attention using latent entity typing, Symmetry, 11, 6, (2019); Lewis M., Liu Y., Goyal N., Ghazvininejad M., Mohamed A., Levy O., Stoyanov V., Zettlemoyer L., Bart: Denoising sequence-to-sequence pre-training for natural language generation, translation, and comprehension, Proceedings of the 58th Annual Association for Computational Linguistics, pp. 7871-7880, (2020); Li P., Zhong H., Zhang J. Z., Spatial patterns and development characteristics of China‚Äôs postgraduate education: A geographic information system approach, International Journal on Semantic Web and Information Systems, 18, 1, pp. 1-21, (2022); Li Z., Ding N., Liu Z., Zheng H. T., Shen Y., Chinese relation extraction with multi-grained information and external linguistic knowledge, Proceedings of the 57th Annual Meeting of the Association for Computational Linguistics, pp. 4377-4386, (2019); Lin Y., Shen S., Liu Z., Luan H., Sun M., Neural relation extraction with selective attention over instances, Proc. ACL, pp. 2124-2133, (2016); Mintz M., Bills S., Snow R., Jurafsky D., Distant supervision for relation extraction without labeled data, Proceedings of the Joint Conference of the 47th Annual Meeting of the ACL and the 4th International Joint Conference on Natural Language Processing of the AFNLP, pp. 1003-1011, (2009); Nakashole N., Weikum G., Suchanek F., PATTY: A taxonomy of relational patterns with semantic types, Proceedings of EMNLP-CoNLL, pp. 1135-1145, (2012); Nayak T., Ng H. T., Effective modeling of encoder-decoder architecture for joint entity and relation extraction, The Thirty- Fourth AAAI Conference on Artificial Intelligence, pp. 8528-8535, (2020); Nebhi K., A rule-based relation extraction system using DBpedia and syntactic parsing, Proceedings of the 2013th International Conference on NLP &amp; DBpedia, 1064, (2013); Nedellec C., Learning language in logic-genic interaction extraction challenge, Proceedings of the 4th Learning Language in Logic Workshop, pp. 31-37, (2005); Och F. J., Gildea D., Khudanpur S., Sarkar A., Yamada K., Fraser A., Kumar S., Shen L., Smith D., Eng K., Jain V., Jin Z., Radev D., A smorgasbord of features for statistical machine translation, Proceedings of the Human Language Technology Conference of the North American Chapter of the Association for Computational Linguistics, pp. 161-168, (2004); Peters M., Neumann M., Iyyer M., Gardner M., Clark C., Lee K., Zettlemoyer L., Deep contextualized word representations, Proceedings of the Conference of the North American Chapter of the Association for Computational Linguistics: Human Language Technologies, 1, pp. 2227-2237, (2018); Raffel C., Shazeer N., Roberts A., Lee K., Narang S., Matena M., Zhou Y., Li W., Liu P., Exploring the limits of transfer learning with a unified text-to-text transformer, Journal of Machine Learning Research, 21, 1, pp. 5485-5551, (2020); Riedel S., Yao L., McCallum A., Modeling relations and their mentions without labeled text, Proceedings of the Joint European Conference on Machine Learning and Knowledge Discovery in Databases, pp. 148-163, (2010); Singla A., Gupta N., Aeron P., Jain A., Garg R., Sharma D., Gupta B. B., Arya V., Building the metaverse: Design considerations, socio-technical elements, and future research directions of metaverse, Journal of Global Information Management, 31, 2, pp. 1-28, (2022); Sun K., Zhang R., Mensah S., Mao Y., Liu X., Recurrent interaction network for jointly extracting entities and classifying relations, Proceedings of the 2020 Conference on Empirical Methods in Natural Language Processing, (EMNLP), pp. 3722-3732, (2020); Sun K., Zhang R., Mensah S., Mao Y., Liu X., Progressive multi-task learning with controlled information flow for joint entity and relation extraction, Proceedings of the AAAI Conference on Artificial Intelligence, 35, 15, pp. 13851-13859, (2021); Tian X., Jing L., He L., Liu F., StereoRel: Relational triple extraction from a stereoscopic perspective, Proceedings of the 59th Annual Meeting of the Association for Computational Linguistics and the 11th International Joint Conference on Natural Language Processing, 1, pp. 4851-4861, (2021); Vaswani A., Shazeer N., Parmar N., Uszkoreit J., Jones L., Gomez A. N., Kaiser L., Polosukhin I., Attention is all you need, Proceedings of NIPS, pp. 5998-6008, (2017); Wang L., Cao Z., Melo G., Liu Z., Relation classification via multi-level attention CNNs, Proceedings of the 54th Annual Meeting of the Association for Computational Linguistics, 1, pp. 1298-1307, (2016); Wang Y., Yu B., Zhang Y., Liu T., Zhu H., Sun L., TPLinker: Single-stage joint extraction of entities and relations through token pair linking, Proceedings of the 28th International Conference on Computational Linguistics, pp. 1572-1582, (2020); Wei Z., Su J., Wang Y., Tian Y., Chang Y., A novel cascade binary tagging framework for relational triple extraction, Proceedings of the 58th Annual Meeting of the Association for Computational Linguistics, pp. 1476-1488, (2020); Xu J., Wen J., Sun X., Su Q., A discourse-level named entity recognition and relation extraction dataset for Chinese literature text; Yang J., Ji B., Li S., Ma J., Peng L., Yu J., Dynamic multi-view fusion mechanism for Chinese relation extraction, Lecture notes in computer science: Vol. 13935. Advances in knowledge discovery and data mining. PAKDD 2023, (2023); Yu B., Zhang Z., Shu X., Liu T., Wang Y., Wang B., Li S., Joint extraction of entities and relations based on a novel decomposition strategy, ECAI, pp. 2282-2289, (2019); Yuan Y., Zhou X., Pan S., Zhu Q., Song Z., Guo L., A relation-specific attention network for joint entity and relation extraction, Proceedings of the Twenty-Ninth International Joint Conference on Artificial Intelligence, 4, pp. 4054-4060, (2020); Zeng D., Liu K., Chen Y., Zhao J., Distant supervision for relation extraction via piecewise convolutional neural networks, Proceedings of the 2015 Conference on Empirical Methods in Natural Language Processing, pp. 1753-1762, (2015); Zeng X., Zeng D., He S., Liu K., Zhao J., Extracting relational facts by an end-to-end neural model with copy mechanism, Proceedings of the 56th Annual Meeting of the Association for Computational Linguistics, 1, pp. 506-514, (2018); Zhang D., Wang D., Relation classification via recurrent neural network, Big Data Mining and Analytics, 1, 3, pp. 234-244, (2015); Zhang M., Zhou G., Aw A., Exploring syntactic structured features over parse trees for relation extraction using kernel methods, Information Processing &amp; Management, 44, 2, pp. 687-701, (2008); Zhao H., Luo Z., Feng C., Zheng A., Liu X., A context-based framework for modeling the role and function of online-resource citations in scientific literature, Proceedings of the 2019 Conference on Empirical Methods in Natural Language Processing and the 9th International Joint Conference on Natural Language Processing (EMNLP-IJCNLP), pp. 5206-5215, (2019); Zhou G., Zhang M., Ji D., Zhu Q., Tree kernel-based relation extraction with context-sensitive structured parse tree information, Proceedings of the 2007 Joint Conference on Empirical Methods in Natural Language Processing and Computational Natural Language Learning, pp. 728-736, (2007); Zhou P., Shi W., Tian J., Qi Z., Li B., Hao H., Xu B., Attention-based bidirectional long short-term memory networks for relation classification, Proceedings of the 54th Annual Meeting of the Association for Computational Linguistics, 2, pp. 207-212, (2016)</t>
  </si>
  <si>
    <t>IGI Global</t>
  </si>
  <si>
    <t>Int. J. Semant. Web Inf. Syst.</t>
  </si>
  <si>
    <t>2-s2.0-85172915175</t>
  </si>
  <si>
    <t>Lu K.; Hsu I.-H.; Zhou W.; Ma M.D.; Chen M.</t>
  </si>
  <si>
    <t>Lu, Keming (57215835816); Hsu, I-Hung (57211640991); Zhou, Wenxuan (57216971947); Ma, Mingyu Derek (57222069661); Chen, Muhao (57077271100)</t>
  </si>
  <si>
    <t>57215835816; 57211640991; 57216971947; 57222069661; 57077271100</t>
  </si>
  <si>
    <t>Summarization as Indirect Supervision for Relation Extraction</t>
  </si>
  <si>
    <t>6604.0</t>
  </si>
  <si>
    <t>6623.0</t>
  </si>
  <si>
    <t>19.0</t>
  </si>
  <si>
    <t>28.0</t>
  </si>
  <si>
    <t>https://www.scopus.com/inward/record.uri?eid=2-s2.0-85145485886&amp;partnerID=40&amp;md5=104da6cacfe4b0a34a0aff4657d28ea3</t>
  </si>
  <si>
    <t>University of Southern California, United States; University of California, Los Angeles, United States</t>
  </si>
  <si>
    <t>Lu K., University of Southern California, United States; Hsu I.-H., University of Southern California, United States; Zhou W., University of Southern California, United States; Ma M.D., University of California, Los Angeles, United States; Chen M., University of Southern California, United States</t>
  </si>
  <si>
    <t>Relation extraction (RE) models have been challenged by their reliance on training data with expensive annotations. Considering that summarization tasks aim at acquiring concise expressions of synoptical information from the longer context, these tasks naturally align with the objective of RE, i.e., extracting a kind of synoptical information that describes the relation of entity mentions. We present SURE, which converts RE into a summarization formulation. SURE leads to more precise and resource-efficient RE based on indirect supervision from summarization tasks. To achieve this goal, we develop sentence and relation conversion techniques that essentially bridge the formulation of summarization and RE tasks. We also incorporate constraint decoding techniques with Trie scoring to further enhance summarization-based RE with robust inference. Experiments on three RE datasets demonstrate the effectiveness of SURE in both full-dataset and low-resource settings, showing that summarization is a promising source of indirect supervision signals to improve RE models. ¬© 2022 Association for Computational Linguistics.</t>
  </si>
  <si>
    <t>Computational linguistics; Decoding techniques; Extraction modeling; Low-resource settings; Relation extraction; Resource-efficient; Robust inference; Training data; Extraction</t>
  </si>
  <si>
    <t>Alt Christoph, Gabryszak Aleksandra, Hennig Leonhard, Tacred revisited: A thorough evaluation of the tacred relation extraction task, Proceedings of the 58th Annual Meeting of the Association for Computational Linguistics, pp. 1558-1569, (2020); Aoe Jun-Ichi, Morimoto Katsushi, Sato Takashi, An efficient implementation of trie structures, Software: Practice and Experience, 22, 9, pp. 695-721, (1992); Soares Livio Baldini, FitzGerald Nicholas, Ling Jeffrey, Kwiatkowski Tom, Matching the blanks: Distributional similarity for relation learning, Proceedings of the 57th Annual Meeting of the Association for Computational Linguistics, pp. 2895-2905, (2019); Cao Jiarun, Ananiadou Sophia, GenerativeRE: Incorporating a novel copy mechanism and pretrained model for joint entity and relation extraction, Findings of the Association for Computational Linguistics: EMNLP 2021, pp. 2119-2126, (2021); De Cao Nicola, Izacard Gautier, Riedel Sebastian, Petroni Fabio, Autoregressive entity retrieval, International Conference on Learning Representations, (2021); Chen Jiaao, Chen Jianshu, Yu Zhou, Incorporating structured commonsense knowledge in story completion, Proceedings of the AAAI Conference on Artificial Intelligence, pp. 6244-6251, (2019); Chen Xiang, Zhang Ningyu, Xie Xin, Deng Shumin, Yao Yunzhi, Tan Chuanqi, Huang Fei, Si Luo, Chen Huajun, KnowPrompt: Knowledge-aware Prompt-tuning with Synergistic Optimization for Relation Extraction, International World Wide Web Conferences (WWW), (2022); Choi Eunsol, Levy Omer, Choi Yejin, Zettlemoyer Luke, Ultra-fine entity typing, Proceedings of the 56th Annual Meeting of the Association for Computational Linguistics (Volume 1: Long Papers), pp. 87-96, (2018); Cohan Arman, Dernoncourt Franck, Kim Doo Soon, Bui Trung, Kim Seokhwan, Chang Walter, Goharian Nazli, A discourse-aware attention model for abstractive summarization of long documents, Proceedings of the 2018 Conference of the North American Chapter of the Association for Computational Linguistics: Human Language Technologies, Volume 2 (Short Papers), pp. 615-621, (2018); Cohen Amir DN, Rosenman Shachar, Goldberg Yoav, Relation classification as two-way span-prediction, (2020); El-Kassas Wafaa S, Salama Cherif R, Rafea Ahmed A, Mohamed Hoda K, Automatic text summarization: A comprehensive survey, Expert Systems with Applications, 165, (2021); Han Xu, Zhao Weilin, Ding Ning, Liu Zhiyuan, Sun Maosong, Ptr: Prompt tuning with rules for text classification, (2021); Hao Yanchao, Zhang Yuanzhe, Liu Kang, He Shizhu, Liu Zhanyi, Wu Hua, Zhao Jun, An end-to-end model for question answering over knowledge base with cross-attention combining global knowledge, Proceedings of the 55th Annual Meeting of the Association for Computational Linguistics (Volume 1: Long Papers), pp. 221-231, (2017); He Hangfeng, Zhang Mingyuan, Ning Qiang, Roth Dan, Foreseeing the benefits of incidental supervision, Proceedings of the 2021 Conference on Empirical Methods in Natural Language Processing, pp. 1782-1800, (2021); Hendrickx Iris, Kim Su Nam, Kozareva Zornitsa, Nakov Preslav, Seaghdha Diarmuid O, Pado Sebastian, Pennacchiotti Marco, Romano Lorenza, Szpakowicz Stan, SemEval-2010 task 8: Multiway classification of semantic relations between pairs of nominals, Proceedings of the 5th International Workshop on Semantic Evaluation, pp. 33-38, (2010); Hermann Karl Moritz, Kocisky Tomas, Grefenstette Edward, Espeholt Lasse, Kay Will, Suleyman Mustafa, Blunsom Phil, Teaching machines to read and comprehend, Advances in neural information processing systems, (2015); Hsu I-Hung, Guo Xiao, Natarajan Premkumar, Peng Nanyun, Discourse-level relation extraction via graph pooling, The Thirty-Sixth AAAI Conference On Artificial Intelligence Workshop on Deep Learning on Graphs: Method and Applications (DLG-AAAI), (2022); Hsu I-Hung, Huang Kuan-Hao, Boschee Elizabeth, Miller Scott, Natarajan Prem, Chang Kai-Wei, Peng Nanyun, Degree: A data-efficient generative event extraction model, Proceedings of the 2022 Conference of the North American Chapter of the Association for Computational Linguistics (NAACL), (2022); Huang Kuan-Hao, Hsu I-Hung, Natarajan Premkumar, Chang Kai-Wei, Peng Nanyun, Multilingual generative language models for zero-shot cross-lingual event argument extraction, Proceedings of the 60th Annual Meeting of the Association for Computational Linguistics (ACL), (2022); Huang Kung-Hsiang, Tang Sam, Peng Nanyun, Document-level entity-based extraction as template generation, Proceedings of the 2021 Conference on Empirical Methods in Natural Language Processing, pp. 5257-5269, (2021); Huguet Cabot Pere-Lluis, Navigli Roberto, REBEL: Relation extraction by end-to-end language generation, Findings of the Association for Computational Linguistics: EMNLP 2021, pp. 2370-2381, (2021); Joshi Mandar, Chen Danqi, Liu Yinhan, Weld Daniel S., Zettlemoyer Luke, Levy Omer, SpanBERT: Improving pre-training by representing and predicting spans, Transactions of the Association for Computational Linguistics, 8, pp. 64-77, (2020); Levy Omer, Seo Minjoon, Choi Eunsol, Zettlemoyer Luke, Zero-shot relation extraction via reading comprehension, Proceedings of the 21st Conference on Computational Natural Language Learning (CoNLL 2017), pp. 333-342, (2017); Lewis Mike, Liu Yinhan, Goyal Naman, Ghazvininejad Marjan, Mohamed Abdelrahman, Levy Omer, Stoyanov Veselin, Zettlemoyer Luke, BART: Denoising sequence-to-sequence pre-training for natural language generation, translation, and comprehension, Proceedings of the 58th Annual Meeting of the Association for Computational Linguistics, pp. 7871-7880, (2020); Li Bangzheng, Yin Wenpeng, Chen Muhao, Ultra-fine entity typing with indirect supervision from natural language inference, Transactions of the Association for Computational Linguistics, (2022); Li Xiang Lisa, Liang Percy, Prefix-tuning: Optimizing continuous prompts for generation, Proceedings of the 59th Annual Meeting of the Association for Computational Linguistics and the 11th International Joint Conference on Natural Language Processing (Volume 1: Long Papers), pp. 4582-4597, (2021); Lin Chin-Yew, ROUGE: A package for automatic evaluation of summaries, Text Summarization Branches Out, pp. 74-81, (2004); Liu Shuman, Chen Hongshen, Ren Zhaochun, Feng Yang, Liu Qun, Yin Dawei, Knowledge diffusion for neural dialogue generation, Proceedings of the 56th Annual Meeting of the Association for Computational Linguistics (Volume 1: Long Papers), pp. 1489-1498, (2018); Lyu Shengfei, Chen Huanhuan, Relation classification with entity type restriction, Findings of the Association for Computational Linguistics: ACL-IJCNLP 2021, pp. 390-395, (2021); Mishra Anshuman, Patel Dhruvesh, Vijayakumar Aparna, Li Xiang Lorraine, Kapanipathi Pavan, Talamadupula Kartik, Looking beyond sentence-level natural language inference for question answering and text summarization, Proceedings of the 2021 Conference of the North American Chapter of the Association for Computational Linguistics: Human Language Technologies, pp. 1322-1336, (2021); Nallapati Ramesh, Zhou Bowen, dos Santos Cicero, Gulcehre Caglar, Xiang Bing, Abstractive text summarization using sequence-to-sequence RNNs and beyond, Proceedings of The 20th SIGNLL Conference on Computational Natural Language Learning, pp. 280-290, (2016); Narayan Shashi, Cohen Shay B., Lapata Mirella, Don't give me the details, just the summary! topic-aware convolutional neural networks for extreme summarization, Proceedings of the 2018 Conference on Empirical Methods in Natural Language Processing, pp. 1797-1807, (2018); Narayan Shashi, Zhao Yao, Maynez Joshua, Simoes Goncalo, Nikolaev Vitaly, McDonald Ryan, Planning with learned entity prompts for abstractive summarization, Transactions of the Association for Computational Linguistics, 9, pp. 1475-1492, (2021); Paolini Giovanni, Athiwaratkun Ben, Krone Jason, Ma Jie, Achille Alessandro, ANUBHAI RISHITA, dos Santos Cicero Nogueira, Xiang Bing, Soatto Stefano, Structured prediction as translation between augmented natural languages, International Conference on Learning Representations, (2020); Peng Hao, Gao Tianyu, Han Xu, Lin Yankai, Li Peng, Liu Zhiyuan, Sun Maosong, Zhou Jie, Learning from Context or Names? An Empirical Study on Neural Relation Extraction, Proceedings of the 2020 Conference on Empirical Methods in Natural Language Processing (EMNLP), pp. 3661-3672, (2020); Peters Matthew E., Neumann Mark, Logan Robert, Schwartz Roy, Joshi Vidur, Singh Sameer, Smith Noah A., Knowledge enhanced contextual word representations, Proceedings of the 2019 Conference on Empirical Methods in Natural Language Processing and the 9th International Joint Conference on Natural Language Processing (EMNLP-IJCNLP), pp. 43-54, (2019); Sainz Oscar, de Lacalle Oier Lopez, Labaka Gorka, Barrena Ander, Agirre Eneko, Label verbalization and entailment for effective zero and few-shot relation extraction, Proceedings of the 2021 Conference on Empirical Methods in Natural Language Processing, pp. 1199-1212, (2021); Stoica George, Platanios Emmanouil Antonios, Poczos Barnabas, Re-tacred: Addressing shortcomings of the tacred dataset, Proceedings of the Thirty-fifth AAAI Conference on Aritificial Intelligence, (2021); Wang Ruize, Tang Duyu, Duan Nan, Wei Zhongyu, Huang Xuan-Jing, Ji Jianshu, Cao Guihong, Jiang Daxin, Zhou Ming, K-adapter: Infusing knowledge into pre-trained models with adapters, Findings of the Association for Computational Linguistics: ACL-IJCNLP 2021, pp. 1405-1418, (2021); Wu Shanchan, He Yifan, Enriching pretrained language model with entity information for relation classification, Proceedings of the 28th ACM international conference on information and knowledge management, pp. 2361-2364, (2019); Wu Wei, Wang Fei, Yuan Arianna, Wu Fei, Li Jiwei, CorefQA: Coreference resolution as query-based span prediction, Proceedings of the 58th Annual Meeting of the Association for Computational Linguistics, pp. 6953-6963, (2020); Yamada Ikuya, Asai Akari, Shindo Hiroyuki, Takeda Hideaki, Matsumoto Yuji, LUKE: Deep contextualized entity representations with entity-aware self-attention, Proceedings of the 2020 Conference on Empirical Methods in Natural Language Processing (EMNLP), pp. 6442-6454, (2020); Yasunaga Michihiro, Ren Hongyu, Bosselut Antoine, Liang Percy, Leskovec Jure, QA-GNN: Reasoning with language models and knowledge graphs for question answering, Proceedings of the 2021 Conference of the North American Chapter of the Association for Computational Linguistics: Human Language Technologies, pp. 535-546, (2021); Ye Hongbin, Zhang Ningyu, Deng Shumin, Chen Mosha, Tan Chuanqi, Huang Fei, Chen Huajun, Contrastive triple extraction with generative transformer, (2020); Yin Wenpeng, Radev Dragomir, Xiong Caiming, DocNLI: A large-scale dataset for document-level natural language inference, Findings of the Association for Computational Linguistics: ACL-IJCNLP 2021, pp. 4913-4922, (2021); Yin Wenpeng, Rajani Nazneen Fatema, Radev Dragomir, Socher Richard, Xiong Caiming, Universal natural language processing with limited annotations: Try few-shot textual entailment as a start, (2020); Yuan Hongyi, Yuan Zheng, Yu Sheng, Generative biomedical entity linking via knowledge base-guided pre-training and synonyms-aware fine-tuning, Proceedings of the 2022 Conference of the North American Chapter of the Association for Computational Linguistics: Human Language Technologies, pp. 4038-4048, (2022); Zeng Daojian, Zhang Haoran, Liu Qianying, Copymtl: Copy mechanism for joint extraction of entities and relations with multi-task learning, Proceedings of the AAAI conference on artificial intelligence, 34, pp. 9507-9514, (2020); Zeng Xiangrong, Zeng Daojian, He Shizhu, Liu Kang, Zhao Jun, Extracting relational facts by an end-to-end neural model with copy mechanism, Proceedings of the 56th Annual Meeting of the Association for Computational Linguistics (Volume 1: Long Papers), pp. 506-514, (2018); Zhang Jingqing, Zhao Yao, Saleh Mohammad, Liu Peter, Pegasus: Pre-training with extracted gap-sentences for abstractive summarization, International Conference on Machine Learning, pp. 11328-11339, (2020); Zhang Yuhao, Zhong Victor, Chen Danqi, Angeli Gabor, Manning Christopher D., Position-aware attention and supervised data improve slot filling, Proceedings of the 2017 Conference on Empirical Methods in Natural Language Processing, pp. 35-45, (2017); Zhang Zhengyan, Han Xu, Liu Zhiyuan, Jiang Xin, Sun Maosong, Liu Qun, ERNIE: Enhanced language representation with informative entities, Proceedings of the 57th Annual Meeting of the Association for Computational Linguistics, pp. 1441-1451, (2019); Zhao Xueliang, Wu Wei, Xu Can, Tao Chongyang, Zhao Dongyan, Yan Rui, Knowledge-grounded dialogue generation with pre-trained language models, Proceedings of the 2020 Conference on Empirical Methods in Natural Language Processing (EMNLP), pp. 3377-3390, (2020); Zhong Zexuan, Chen Danqi, A frustratingly easy approach for entity and relation extraction, Proceedings of the 2021 Conference of the North American Chapter of the Association for Computational Linguistics: Human Language Technologies, pp. 50-61, (2021); Zhou Wenxuan, Chen Muhao, An improved baseline for sentence-level relation extraction, Proceedings of the Conference of the Asia-Pacific Chapter of the Association for Computational Linguistics (AACL), (2022); Zhou Wenxuan, Huang Kevin, Ma Tengyu, Huang Jing, Document-level relation extraction with adaptive thresholding and localized context pooling, Proceedings of the AAAI Conference on Artificial Intelligence, 35, pp. 14612-14620, (2021)</t>
  </si>
  <si>
    <t>2-s2.0-85145485886</t>
  </si>
  <si>
    <t>Theptakob N.; Seneewong Na Ayutthaya T.; Saetia C.; Chalothorn T.; Buabthong P.</t>
  </si>
  <si>
    <t>Theptakob, Nathanon (58628626400); Seneewong Na Ayutthaya, Thititorn (57209280649); Saetia, Chanatip (57204899037); Chalothorn, Tawunrat (56523303800); Buabthong, Pakpoom (57195431698)</t>
  </si>
  <si>
    <t>58628626400; 57209280649; 57204899037; 56523303800; 57195431698</t>
  </si>
  <si>
    <t>A Cross-Document Coreference Resolution Approach to Low-Resource Languages</t>
  </si>
  <si>
    <t>14118 LNAI</t>
  </si>
  <si>
    <t>422.0</t>
  </si>
  <si>
    <t>431.0</t>
  </si>
  <si>
    <t>10.1007/978-3-031-40286-9_34</t>
  </si>
  <si>
    <t>https://www.scopus.com/inward/record.uri?eid=2-s2.0-85173034493&amp;doi=10.1007%2f978-3-031-40286-9_34&amp;partnerID=40&amp;md5=628290bc59a106c13715816e904ac145</t>
  </si>
  <si>
    <t>Kasikorn Business-Technology Group, Nonthaburi, Thailand; Nakhon Ratchasima Rajabhat University, Nakhon Ratchasima, Thailand</t>
  </si>
  <si>
    <t>Theptakob N., Kasikorn Business-Technology Group, Nonthaburi, Thailand; Seneewong Na Ayutthaya T., Kasikorn Business-Technology Group, Nonthaburi, Thailand; Saetia C., Kasikorn Business-Technology Group, Nonthaburi, Thailand; Chalothorn T., Kasikorn Business-Technology Group, Nonthaburi, Thailand; Buabthong P., Kasikorn Business-Technology Group, Nonthaburi, Thailand, Nakhon Ratchasima Rajabhat University, Nakhon Ratchasima, Thailand</t>
  </si>
  <si>
    <t>Coreference resolution is an important area of research in natural language processing that deals with the task of identifying and grouping all the expressions in a text that refer to the same entity. This work presents a system to improve and develop a coreference resolution model for Thai language, based on the existing English clustering-based model. Specifically, we introduce a method to convert Thai text into ECB + -equivalent datasets, which can be used as benchmark for the Thai language. This paper follows an existing model trained for English coreference resolution which uses agglomerative clustering to segment clusters of coreference entities across document. The model trained and evaluated using our data achieves the best CoNLL F1 score of 72.87. Finally, we present a comparative study of the effect of manual and automatic span extractors on Thai language model performance. The results of our study indicate that our proposed pipeline, which utilizes the fine-tuned longformer model as the encoder, offers a viable alternative to more complex and resource-intensive methods. Our work also suggests that the use of existing NER and entity recognizer models can help automate span annotation prior to the subsequent conference clustering module. This study offers a potential framework for the construction of coreference resolution models in other low-resource languages. ¬© 2023, The Author(s), under exclusive license to Springer Nature Switzerland AG.</t>
  </si>
  <si>
    <t>Clustering; Coreference resolution; Cross-document relation extraction; Entity alignment; Knowledge graph construction</t>
  </si>
  <si>
    <t>Natural language processing systems; Clusterings; Coreference resolution; Cross documents; Cross-document relation extraction; Document relations; Entity alignment; Graph construction; Knowledge graph construction; Knowledge graphs; Relation extraction; Knowledge graph</t>
  </si>
  <si>
    <t>Wang T., Li H., Coreference resolution improves educational knowledge graph construction, ICKG, (2020); Sukthanker R., Poria S., Cambria E., Thirunavukarasu R., Anaphora and coreference resolution: A review, Inform. Fusion, 59, pp. 139-162, (2020); Deng Y., Recommender systems based on graph embedding techniques: A review, IEEE Access, (2022); Khongcharoen W., Saetia C., Chalothorn T., Buabthong P., Question answering over knowledge graphs for thai retail banking products, Isai-Nlp. IEEE, (2022); Cattan A., Eirew A., Stanovsky G., Joshi M., Dagan I., Cross-document coreference resolution over predicted mentions, ACL, (2021); Keshtkaran A., Yuhaniz S.S., Ibrahim S., An overview of cross-document coreference resolution, Iconda, (2017); Rahimian F., Girdzijauskas S., Haridi S., Parallel community detection for cross-document coreference, IEEE WI, (2014); Culotta A., Wick M., McCallum A., First-Order Probabilistic Models for Coreference Resolution, (2007); Baron A., Freedman M., Who is who and what is what: Experiments in cross-document co-reference, EMNLP, (2008); Syed Z.S., Finin T., Joshi A., Wikitology: Using Wikipedia as an Ontology, (2008); Xue Z., Li R., Dai Q., Jiang Z., Corefdre: Document-Level Relation Extraction with Coreference Resolution, (2022); Cybulska P.V.A., Using a Sledgehammer to Crack a Nut? Lexical Diversity and Event Coreference Resolution, (2014); Moosavi N.S., Strube M., Which coreference evaluation metric do you trust? a proposal for a link-based entity aware metric, In ACL, (2016); Kongwan A., Kamaruddin S.S., Ahmad F.K., anaphora resolution in Thai EDU segmentation, J. Comput. Sci., 18, pp. 306-315, (2022); Phatthiyaphaibun W., Chaovavanich K., Polpanumas C., Suriyawongkul A., Lowphansirikul L., Chormai P., PyThaiNLP: Thai natural language processing in python, Zenodo, (2016); Klie J.-C., Bugert M., Boullosa B., de Castilho R.E., Gurevych I., The Inception Platform: Machine-Assisted and Knowledge-Oriented Interactive Annotation, (2018); Conneau A., Khandelwal K., Goyal N., Chaudhary V., Wenzek G., Guzman F., Et Al: Unsupervised Cross-Lingual Representation Learning at Scale, (2019); Lowphansirikul L., Polpanumas C., Jantrakulchai N., Nutanong S., Wangchanberta: Pretraining Transformer-Based Thai Language Models, Arxiv, 2101, (2021); Buaphet W., Udomcharoenchaikit C., Limkonchotiwat P., Rutherford A., Nutanong S., Thai nested named entity recognition corpus, ACL, (2022); Wang C., Liu X., Chen Z., Hong H., Tang J., Song D., DeepStruct: Pretraining of language models for structure prediction, ACL, (2022); Liu Y., Ott M., Goyal N., Du J., Joshi M., Chen D., Et al., Roberta: A Robustly Optimized BERT Pretraining Approach. Arxiv, 1907, (2019)</t>
  </si>
  <si>
    <t>P. Buabthong; Nakhon Ratchasima Rajabhat University, Nakhon Ratchasima, Thailand; email: pakpoom.b@nrru.ac.th</t>
  </si>
  <si>
    <t>Jin Z.; Jiang Y.; Ma W.; Buchmann R.A.; Ghiran A.-M.; Bi Y.</t>
  </si>
  <si>
    <t>Knowledge Science, Engineering and Management - 16th International Conference, KSEM 2023, Proceedings</t>
  </si>
  <si>
    <t>16 August 2023 through 18 August 2023</t>
  </si>
  <si>
    <t>299379.0</t>
  </si>
  <si>
    <t>978-303140285-2</t>
  </si>
  <si>
    <t>2-s2.0-85173034493</t>
  </si>
  <si>
    <t>Chen Y.; Shi B.</t>
  </si>
  <si>
    <t>Chen, Yang (58432512700); Shi, Bowen (57211713242)</t>
  </si>
  <si>
    <t>58432512700; 57211713242</t>
  </si>
  <si>
    <t>DiffFSRE: Diffusion-Enhanced Prototypical Network for Few-Shot Relation Extraction</t>
  </si>
  <si>
    <t>Entropy</t>
  </si>
  <si>
    <t>10.3390/e26050352</t>
  </si>
  <si>
    <t>https://www.scopus.com/inward/record.uri?eid=2-s2.0-85193989620&amp;doi=10.3390%2fe26050352&amp;partnerID=40&amp;md5=49428d6a377b78dc6b15d91e4eb3d151</t>
  </si>
  <si>
    <t>State Key Lab of Software Development Environment, Beihang University, Beijing, 100191, China; School of Journalism, Communication University of China, Beijing, 100024, China</t>
  </si>
  <si>
    <t>Chen Y., State Key Lab of Software Development Environment, Beihang University, Beijing, 100191, China; Shi B., School of Journalism, Communication University of China, Beijing, 100024, China</t>
  </si>
  <si>
    <t>Supervised learning methods excel in traditional relation extraction tasks. However, the quality and scale of the training data heavily influence their performance. Few-shot relation extraction is gradually becoming a research hotspot whose objective is to learn and extract semantic relationships between entities with only a limited number of annotated samples. In recent years, numerous studies have employed prototypical networks for few-shot relation extraction. However, these methods often suffer from overfitting of the relation classes, making it challenging to generalize effectively to new relationships. Therefore, this paper seeks to utilize a diffusion model for data augmentation to address the overfitting issue of prototypical networks. We propose a diffusion model-enhanced prototypical network framework. Specifically, we design and train a controllable conditional relation generation diffusion model on the relation extraction dataset, which can generate the corresponding instance representation according to the relation description. Building upon the trained diffusion model, we further present a pseudo-sample-enhanced prototypical network, which is able to provide more accurate representations for prototype classes, thereby alleviating overfitting and better generalizing to unseen relation classes. Additionally, we introduce a pseudo-sample-aware attention mechanism to enhance the model‚Äôs adaptability to pseudo-sample data through a cross-entropy loss, further improving the model‚Äôs performance. A series of experiments are conducted to prove our method‚Äôs effectiveness. The results indicate that our proposed approach significantly outperforms existing methods, particularly in low-resource one-shot environments. Further ablation analyses underscore the necessity of each module in the model. As far as we know, this is the first research to employ a diffusion model for enhancing the prototypical network through data augmentation in few-shot relation extraction. ¬© 2024 by the authors.</t>
  </si>
  <si>
    <t>diffusion model; entropy; few-shot learning; prototypical networks; relation extraction</t>
  </si>
  <si>
    <t>Fundamental Research Funds for the Central Universities, (CUC23ZDTJ002); Fundamental Research Funds for the Central Universities</t>
  </si>
  <si>
    <t>This work was supported by the Fundamental Research Funds for the Central Universities (Grant No. CUC23ZDTJ002).</t>
  </si>
  <si>
    <t>Wang H., Qin K., Zakari R.Y., Lu G., Yin J., Deep neural network-based relation extraction: An overview, Neural Comput. Appl, 34, pp. 4781-4801, (2022); Xu J., Chen Y., Qin Y., Huang R., Zheng Q., A feature combination-based graph convolutional neural network model for relation extraction, Symmetry, 13, (2021); Chen Y., Shi B., Xu K., PTCAS: Prompt tuning with continuous answer search for relation extraction, Inf. Sci, 659, (2024); Mintz M., Bills S., Snow R., Jurafsky D., Distant supervision for relation extraction without labeled data, Proceedings of the Joint Conference of the 47th Annual Meeting of the ACL and the 4th International Joint Conference on Natural Language Processing of the AFNLP, pp. 1003-1011; Wang Y., Yao Q., Kwok J.T., Ni L.M., Generalizing from a few examples: A survey on few-shot learning, ACM Comput. Surv. (CSUR), 53, (2020); Parnami A., Lee M., Learning from few examples: A summary of approaches to few-shot learning, arXiv, (2022); Song Y., Wang T., Cai P., Mondal S.K., Sahoo J.P., A comprehensive survey of few-shot learning: Evolution, applications, challenges, and opportunities, ACM Comput. Surv, 55, (2023); Sung F., Yang Y., Zhang L., Xiang T., Torr P.H., Hospedales T.M., Learning to compare: Relation network for few-shot learning, Proceedings of the IEEE Conference on Computer Vision and Pattern Recognition, pp. 1199-1208; Garcia V., Bruna J., Few-shot learning with graph neural networks, Proceedings of the 6th International Conference on Learning Representations, ICLR 2018; Han X., Zhu H., Yu P., Wang Z., Yao Y., Liu Z., Sun M., FewRel: A Large-Scale Supervised Few-Shot Relation Classification Dataset with State-of-the-Art Evaluation, Proceedings of the 2018 Conference on Empirical Methods in Natural Language Processing, Association for Computational Linguistics; Qu M., Gao T., Xhonneux L.P., Tang J., Few-shot relation extraction via bayesian meta-learning on relation graphs, Proceedings of the International Conference on Machine Learning, PMLR, pp. 7867-7876; Wen W., Liu Y., Ouyang C., Lin Q., Chung T., Enhanced prototypical network for few-shot relation extraction, Inf. Process. Manag, 58, (2021); Santoro A., Bartunov S., Botvinick M., Wierstra D., Lillicrap T., Meta-learning with memory-augmented neural networks, Proceedings of the International Conference on Machine Learning, PMLR, pp. 1842-1850; Vinyals O., Blundell C., Lillicrap T., Kavukcuoglu K., Wierstra D., Matching networks for one shot learning, Proceedings of the Neural Information Processing Systems 29 (NIPS 2016); Snell J., Swersky K., Zemel R., Prototypical networks for few-shot learning, Proceedings of the Neural Information Processing Systems 30 (NIPS 2017); Gao T., Han X., Liu Z., Sun M., Hybrid attention-based prototypical networks for noisy few-shot relation classification, Proceedings of the AAAI Conference on Artificial Intelligence, 33, pp. 6407-6414; Song Y., Ermon S., Generative modeling by estimating gradients of the data distribution, Proceedings of the Neural Information Processing Systems 32 (NIPS 2019); Ho J., Jain A., Abbeel P., Denoising diffusion probabilistic models, Adv. Neural Inf. Process. Syst, 33, pp. 6840-6851, (2020); Nichol A.Q., Dhariwal P., Improved denoising diffusion probabilistic models, Proceedings of the International Conference on Machine Learning, PMLR, pp. 8162-8171; Li X., Thickstun J., Gulrajani I., Liang P.S., Hashimoto T.B., Diffusion-lm improves controllable text generation, Adv. Neural Inf. Process. Syst, 35, pp. 4328-4343, (2022); Shen Y., Song K., Tan X., Li D., Lu W., Zhuang Y., DiffusionNER: Boundary Diffusion for Named Entity Recognition, arXiv, (2023); Giannone G., Nielsen D., Winther O., Few-shot diffusion models, arXiv, (2022); Clark K., Jaini P., Text-to-Image Diffusion Models are Zero Shot Classifiers, Proceedings of the Neural Information Processing Systems 37 (NIPS 2024); Fan M., Bai Y., Sun M., Li P., Large margin prototypical network for few-shot relation classification with fine-grained features, Proceedings of the 28th ACM International Conference on Information and Knowledge Management, pp. 2353-2356; Ye Z.X., Ling Z.H., Multi-level matching and aggregation network for few-shot relation classification, arXiv, (2019); Vaswani A., Shazeer N., Parmar N., Uszkoreit J., Jones L., Gomez A.N., Kaiser L., Polosukhin I., Attention is all you need, Proceedings of the Neural Information Processing Systems 30 (NIPS 2017); Ding N., Wang X., Fu Y., Xu G., Wang R., Xie P., Shen Y., Huang F., Zheng H.T., Zhang R., Prototypical representation learning for relation extraction, arXiv, (2021); Soares L.B., FitzGerald N., Ling J., Kwiatkowski T., Matching the blanks: Distributional similarity for relation learning, arXiv, (2019); Liu Y., Hu J., Wan X., Chang T.H., A Simple yet Effective Relation Information Guided Approach for Few-Shot Relation Extraction, Proceedings of the Findings of the Association for Computational Linguistics, ACL 2022, pp. 757-763; Yu H., Zhang N., Deng S., Ye H., Zhang W., Chen H., Bridging text and knowledge with multi-prototype embedding for few-shot relational triple extraction, arXiv, (2020); Yang S., Zhang Y., Niu G., Zhao Q., Pu S., Entity concept-enhanced few-shot relation extraction, arXiv, (2021); Shalaby W., Zadrozny W., Jin H., Beyond word embeddings: Learning entity and concept representations from large scale knowledge bases, Inf. Retr. J, 22, pp. 525-542, (2019); He K., Huang Y., Mao R., Gong T., Li C., Cambria E., Virtual prompt pre-training for prototype-based few-shot relation extraction, Expert Syst. Appl, 213, (2023); Kenton J.D.M.W.C., Toutanova L.K., BERT: Pre-training of Deep Bidirectional Transformers for Language Understanding, Proceedings of the 2019 Conference of the North American Chapter of the Association for Computational Linguistics: Human Language Technologies, NAACL-HLT 2019, pp. 4171-4186; Ho J., Salimans T., Classifier-Free Diffusion Guidance, arXiv, (2022); Gao T., Han X., Zhu H., Liu Z., Li P., Sun M., Zhou J., FewRel 2.0: Towards more challenging few-shot relation classification, arXiv, (2019); Yang K., Zheng N., Dai X., He L., Huang S., Chen J., Enhance prototypical network with text descriptions for few-shot relation classification, Proceedings of the 29th ACM International Conference on Information &amp; Knowledge Management, pp. 2273-2276; Peng H., Gao T., Han X., Lin Y., Li P., Liu Z., Sun M., Zhou J., Learning from Context or Names? An Empirical Study on Neural Relation Extraction, Proceedings of the 2020 Conference on Empirical Methods in Natural Language Processing (EMNLP), pp. 3661-3672; Han J., Cheng B., Lu W., Exploring Task Difficulty for Few-Shot Relation Extraction, Proceedings of the 2021 Conference on Empirical Methods in Natural Language Processing, pp. 2605-2616; Li W., Qian T., Graph-based Model Generation for Few-Shot Relation Extraction, Proceedings of the 2022 Conference on Empirical Methods in Natural Language Processing, pp. 62-71; Zhang P., Lu W., Better Few-Shot Relation Extraction with Label Prompt Dropout, Proceedings of the 2022 Conference on Empirical Methods in Natural Language Processing, pp. 6996-7006; Song J., Meng C., Ermon S., Denoising diffusion implicit models, arXiv, (2020); Loshchilov I., Hutter F., Decoupled Weight Decay Regularization, Proceedings of the International Conference on Learning Representations</t>
  </si>
  <si>
    <t>B. Shi; School of Journalism, Communication University of China, Beijing, 100024, China; email: bowenshi@cuc.edu.cn</t>
  </si>
  <si>
    <t>2-s2.0-85193989620</t>
  </si>
  <si>
    <t>Li D.; Hogan W.; Shang J.</t>
  </si>
  <si>
    <t>Li, Dawei (58655678400); Hogan, William (57325679800); Shang, Jingbo (56355265600)</t>
  </si>
  <si>
    <t>58655678400; 57325679800; 56355265600</t>
  </si>
  <si>
    <t>READ: Improving Relation Extraction from an ADversarial Perspective</t>
  </si>
  <si>
    <t>Findings of the Association for Computational Linguistics: NAACL 2024 - Findings</t>
  </si>
  <si>
    <t>533.0</t>
  </si>
  <si>
    <t>https://www.scopus.com/inward/record.uri?eid=2-s2.0-85197903942&amp;partnerID=40&amp;md5=21a2c9c6befea68fa4a1135c5c8c5260</t>
  </si>
  <si>
    <t>University of California, San Diego, United States</t>
  </si>
  <si>
    <t>Li D., University of California, San Diego, United States; Hogan W., University of California, San Diego, United States; Shang J., University of California, San Diego, United States</t>
  </si>
  <si>
    <t>Recent works in relation extraction (RE) have achieved promising benchmark accuracy; however, our adversarial attack experiments show that these works excessively rely on entities, making their generalization capability questionable. To address this issue, we propose an adversarial training method specifically designed for RE. Our approach introduces both sequence- and token-level perturbations to the sample and uses a separate perturbation vocabulary to improve the search for entity and context perturbations. Furthermore, we introduce a probabilistic strategy for leaving clean tokens in the context during adversarial training. This strategy enables a larger attack budget for entities and coaxes the model to leverage relational patterns embedded in the context. Extensive experiments show that compared to various adversarial training methods, our method significantly improves both the accuracy and robustness of the model. Additionally, experiments on different data availability settings highlight the effectiveness of our method in low-resource scenarios. We also perform in-depth analyses of our proposed method and provide further hints. We will release our code at https://github.com/David-Li0406/READ. ¬© 2024 Association for Computational Linguistics.</t>
  </si>
  <si>
    <t>Computational linguistics; Extraction; Data availability; Generalization capability; In-depth analysis; Probabilistics strategy; Relation extraction; Training methods; Budget control</t>
  </si>
  <si>
    <t>Anil Rohan, Dai Andrew M, Firat Orhan, Johnson Melvin, Lepikhin Dmitry, Passos Alexandre, Shakeri Siamak, Taropa Emanuel, Bailey Paige, Chen Zhifeng, Et al., Palm 2 technical report, (2023); Brown Tom, Mann Benjamin, Ryder Nick, Subbiah Melanie, Kaplan Jared D, Dhariwal Prafulla, Neelakantan Arvind, Shyam Pranav, Sastry Girish, Askell Amanda, Et al., Language models are few-shot learners, Advances in neural information processing systems, 33, pp. 1877-1901, (2020); Carlini Nicholas, Wagner David, Towards evaluating the robustness of neural networks, 2017 ieee symposium on security and privacy (sp), pp. 39-57, (2017); Chen Tao, Shi Haochen, Liu Liyuan, Tang Siliang, Shao Jian, Chen Zhigang, Zhuang Yueting, Empower distantly supervised relation extraction with collaborative adversarial training, Proceedings of the AAAI Conference on Artificial Intelligence, 35, pp. 12675-12682, (2021); Cheng Yong, Jiang Lu, Macherey Wolfgang, Robust neural machine translation with doubly adversarial inputs, Proceedings of the 57th Annual Meeting of the Association for Computational Linguistics, pp. 4324-4333, (2019); Ebrahimi Javid, Rao Anyi, Lowd Daniel, Dou Dejing, Hotflip: White-box adversarial examples for text classification, Proceedings of the 56th Annual Meeting of the Association for Computational Linguistics (Volume 2: Short Papers), pp. 31-36, (2018); Gao Ji, Lanchantin Jack, Soffa Mary Lou, Qi Yanjun, Black-box generation of adversarial text sequences to evade deep learning classifiers, 2018 IEEE Security and Privacy Workshops (SPW), pp. 50-56, (2018); Gao Tianyu, Han Xu, Zhu Hao, Liu Zhiyuan, Li Peng, Sun Maosong, Zhou Jie, Fewrel 2.0: Towards more challenging few-shot relation classification, Proceedings of the 2019 Conference on Empirical Methods in Natural Language Processing and the 9th International Joint Conference on Natural Language Processing (EMNLP-IJCNLP), pp. 6250-6255, (2019); Garg Siddhant, Ramakrishnan Goutham, Bae: Bert-based adversarial examples for text classification, Proceedings of the 2020 Conference on Empirical Methods in Natural Language Processing (EMNLP), pp. 6174-6181, (2020); Goodfellow Ian J, Shlens Jonathon, Szegedy Christian, Explaining and harnessing adversarial examples, (2014); Han Wenjuan, Zhang Liwen, Jiang Yong, Tu Kewei, Adversarial attack and defense of structured prediction models, Proceedings of the 2020 Conference on Empirical Methods in Natural Language Processing (EMNLP), pp. 2327-2338, (2020); Han Xu, Dai Yi, Gao Tianyu, Lin Yankai, Liu Zhiyuan, Li Peng, Sun Maosong, Zhou Jie, Continual relation learning via episodic memory activation and reconsolidation, Proceedings of the 58th Annual Meeting of the Association for Computational Linguistics, pp. 6429-6440, (2020); Han Xu, Gao Tianyu, Lin Yankai, Peng Hao, Yang Yaoliang, Xiao Chaojun, Liu Zhiyuan, Li Peng, Zhou Jie, Sun Maosong, More data, more relations, more context and more openness: A review and outlook for relation extraction, Proceedings of the 1st Conference of the Asia-Pacific Chapter of the Association for Computational Linguistics and the 10th International Joint Conference on Natural Language Processing, pp. 745-758, (2020); Han Xu, Gao Tianyu, Yao Yuan, Ye Deming, Liu Zhiyuan, Sun Maosong, Opennre: An open and extensible toolkit for neural relation extraction, Proceedings of the 2019 Conference on Empirical Methods in Natural Language Processing and the 9th International Joint Conference on Natural Language Processing (EMNLP-IJCNLP): System Demonstrations, pp. 169-174, (2019); Hao Kailong, Yu Botao, Hu Wei, Knowing false negatives: An adversarial training method for distantly supervised relation extraction, Proceedings of the 2021 Conference on Empirical Methods in Natural Language Processing, pp. 9661-9672, (2021); Hendrickx Iris, Kim Su Nam, Kozareva Zornitsa, Nakov Preslav, Seaghdha Diarmuid O, Pado Sebastian, Pennacchiotti Marco, Romano Lorenza, Szpakowicz Stan, Semeval-2010 task 8: Multiway classification of semantic relations between pairs of nominals, (2019); Hogan William, An overview of distant supervision for relation extraction with a focus on denoising and pre-training methods, (2022); Hogan William, Li Jiacheng, Shang Jingbo, Fine-grained contrastive learning for relation extraction, Proceedings of the 2022 Conference on Empirical Methods in Natural Language Processing, pp. 1083-1095, (2022); Hogan William, Li Jiacheng, Shang Jingbo, Open-world semi-supervised generalized relation discovery aligned in a real-world setting, Proceedings of the 2023 Conference on Empirical Methods in Natural Language Processing, pp. 14227-14242, (2023); Hu Xuming, Liu Aiwei, Tan Zeqi, Zhang Xin, Zhang Chenwei, King Irwin, Yu Philip S, Gda: Generative data augmentation techniques for relation extraction tasks, (2023); Iyyer Mohit, Wieting John, Gimpel Kevin, Zettlemoyer Luke, Adversarial example generation with syntactically controlled paraphrase networks, Proceedings of the 2018 Conference of the North American Chapter of the Association for Computational Linguistics: Human Language Technologies, Volume 1 (Long Papers), pp. 1875-1885, (2018); Jin Di, Jin Zhijing, Zhou Joey Tianyi, Szolovits Peter, Is bert really robust? a strong baseline for natural language attack on text classification and entailment, Proceedings of the AAAI conference on artificial intelligence, 34, pp. 8018-8025, (2020); Kang Dongyeop, Khot Tushar, Sabharwal Ashish, Hovy Eduard, Adventure: Adversarial training for textual entailment with knowledge-guided examples, Proceedings of the 56th Annual Meeting of the Association for Computational Linguistics (Volume 1: Long Papers), pp. 2418-2428, (2018); Devlin Ming-Wei Jacob, Kenton Chang, Toutanova Lee Kristina, Bert: Pre-training of deep bidirectional transformers for language understanding, Proceedings of NAACL-HLT, pp. 4171-4186, (2019); Malfa Emanuele La, Kwiatkowska Marta, The king is naked: on the notion of robustness for natural language processing, Proceedings of the AAAI Conference on Artificial Intelligence, 36, pp. 11047-11057, (2022); Lei Yibin, Cao Yu, Li Dianqi, Zhou Tianyi, Fang Meng, Pechenizkiy Mykola, Phrase-level textual adversarial attack with label preservation, Findings of the Association for Computational Linguistics: NAACL 2022, pp. 1095-1112, (2022); Li Dawei, Li Yaxuan, Mekala Dheeraj, Li Shuyao, Wang Xueqi, Hogan William, Shang Jingbo, Et al., Dail: Data augmentation for in-context learning via self-paraphrase, (2023); Li Dawei, Tan Zhen, Chen Tianlong, Liu Huan, Contextualization distillation from large language model for knowledge graph completion, (2024); Li Jinfeng, Ji Shouling, Du Tianyu, Li Bo, Wang Ting, Textbugger: Generating adversarial text against real-world applications, (2018); Li Linyang, Ma Ruotian, Guo Qipeng, Xue Xiangyang, Qiu Xipeng, Bert-attack: Adversarial attack against bert using bert, Proceedings of the 2020 Conference on Empirical Methods in Natural Language Processing (EMNLP), pp. 6193-6202, (2020); Li Linyang, Qiu Xipeng, Token-aware virtual adversarial training in natural language understanding, Proceedings of the AAAI Conference on Artificial Intelligence, 35, pp. 8410-8418, (2021); Li Linyang, Song Demin, Qiu Xipeng, Text adversarial purification as defense against adversarial attacks, Proceedings of the 61st Annual Meeting of the Association for Computational Linguistics (Volume 1: Long Papers), pp. 338-350, (2023); Li Wanli, Qian Tieyun, Li Xuhui, Zou Lixin, Adversarial multi-teacher distillation for semi-supervised relation extraction, IEEE Transactions on Neural Networks and Learning Systems, (2023); Li Zongyi, Xu Jianhan, Zeng Jiehang, Li Linyang, Zheng Xiaoqing, Zhang Qi, Hsieh Cho-Jui, Searching for an effective defender: Benchmarking defense against adversarial word substitution, Conference on Empirical Methods in Natural Language Processing (EMNLP), (2021); Liu Yinhan, Ott Myle, Goyal Naman, Du Jingfei, Joshi Mandar, Chen Danqi, Levy Omer, Lewis Mike, Zettlemoyer Luke, Stoyanov Veselin, Roberta: A robustly optimized bert pretraining approach, (2019); Lu Chonggang, Zhang Richong, Sun Kai, Kim Jaein, Zhang Cunwang, Mao Yongyi, Anaphor assisted document-level relation extraction, Proceedings of the 2023 Conference on Empirical Methods in Natural Language Processing, pp. 15453-15464, (2023); Luan Yi, He Luheng, Ostendorf Mari, Hajishirzi Hannaneh, Multi-task identification of entities, relations, and coreference for scientific knowledge graph construction, Proceedings of the 2018 Conference on Empirical Methods in Natural Language Processing, pp. 3219-3232, (2018); Madry Aleksander, Makelov Aleksandar, Schmidt Ludwig, Tsipras Dimitris, Vladu Adrian, Towards deep learning models resistant to adversarial attacks, International Conference on Learning Representations, (2018); Mekala Dheeraj, Dong Chengyu, Shang Jingbo, Lops: Learning order inspired pseudo-label selection for weakly supervised text classification, Findings of the Association for Computational Linguistics: EMNLP 2022, pp. 4894-4908, (2022); Mintz Mike, Bills Steven, Snow Rion, Jurafsky Dan, Distant supervision for relation extraction without labeled data, Proceedings of the Joint Conference of the 47th Annual Meeting of the ACL and the 4th International Joint Conference on Natural Language Processing of the AFNLP, pp. 1003-1011, (2009); Miwa Makoto, Bansal Mohit, End-to-end relation extraction using lstms on sequences and tree structures, Proceedings of the 54th Annual Meeting of the Association for Computational Linguistics (Volume 1: Long Papers), pp. 1105-1116, (2016); Miyato Takeru, Dai Andrew M, Goodfellow Ian, Adversarial training methods for semi-supervised text classification, International Conference on Learning Representations, (2016); Miyato Takeru, Maeda Shin-ichi, Koyama Masanori, Ishii Shin, Virtual adversarial training: a regularization method for supervised and semi-supervised learning, IEEE transactions on pattern analysis and machine intelligence, 41, 8, pp. 1979-1993, (2018); Mooney R, Relational learning of pattern-match rules for information extraction, Proceedings of the sixteenth national conference on artificial intelligence, 328, (1999); Peng Hao, Gao Tianyu, Han Xu, Lin Yankai, Li Peng, Liu Zhiyuan, Sun Maosong, Zhou Jie, Learning from context or names? an empirical study on neural relation extraction, Proceedings of the 2020 Conference on Empirical Methods in Natural Language Processing (EMNLP), pp. 3661-3672, (2020); Peng Nanyun, Poon Hoifung, Quirk Chris, Toutanova Kristina, Yih Wen-tau, Cross-sentence n-ary relation extraction with graph lstms, Transactions of the Association for Computational Linguistics, 5, pp. 101-115, (2017); Qin Pengda, Xu Weiran, Wang William Yang, Dsgan: Generative adversarial training for distant supervision relation extraction, Proceedings of the 56th Annual Meeting of the Association for Computational Linguistics (Volume 1: Long Papers), pp. 496-505, (2018); Qin Yujia, Lin Yankai, Takanobu Ryuichi, Liu Zhiyuan, Li Peng, Ji Heng, Huang Minlie, Sun Maosong, Zhou Jie, Erica: Improving entity and relation understanding for pre-trained language models via contrastive learning, Proceedings of the 59th Annual Meeting of the Association for Computational Linguistics and the 11th International Joint Conference on Natural Language Processing (Volume 1: Long Papers), pp. 3350-3363, (2021); Quirk Chris, Poon Hoifung, Distant supervision for relation extraction beyond the sentence boundary, Proceedings of the 15th Conference of the European Chapter of the Association for Computational Linguistics: Volume 1, Long Papers, pp. 1171-1182, (2017); Ren Shuhuai, Deng Yihe, He Kun, Che Wanxiang, Generating natural language adversarial examples through probability weighted word saliency, Proceedings of the 57th annual meeting of the association for computational linguistics, pp. 1085-1097, (2019); Riedel Sebastian, Yao Limin, McCallum Andrew, Modeling relations and their mentions without labeled text, Machine Learning and Knowledge Discovery in Databases: European Conference, ECML PKDD 2010, pp. 148-163, (2010); Shi Peng, Lin Jimmy, Simple bert models for relation extraction and semantic role labeling, (2019); Soares Livio Baldini, Fitzgerald Nicholas, Ling Jeffrey, Kwiatkowski Tom, Matching the blanks: Distributional similarity for relation learning, Proceedings of the 57th Annual Meeting of the Association for Computational Linguistics, pp. 2895-2905, (2019); Stoica George, Platanios Emmanouil Antonios, Poczos Barnabas, Re-tacred: Addressing shortcomings of the tacred dataset, Proceedings of the AAAI Conference on Artificial Intelligence, 35, pp. 13843-13850, (2021); Sun Haitian, Verga Patrick, Dhingra Bhuwan, Salakhutdinov Ruslan, Cohen William W, Reasoning over virtual knowledge bases with open predicate relations, International Conference on Machine Learning, pp. 9966-9977, (2021); Tan Qingyu, Xu Lu, Bing Lidong, Ng Hwee Tou, Aljunied Sharifah Mahani, Revisiting docredaddressing the false negative problem in relation extraction, Proceedings of the 2022 Conference on Empirical Methods in Natural Language Processing, pp. 8472-8487, (2022); Tan Zhen, Beigi Alimohammad, Wang Song, Guo Ruocheng, Bhattacharjee Amrita, Jiang Bohan, Karami Mansooreh, Li Jundong, Cheng Lu, Liu Huan, Large language models for data annotation: A survey, (2024); Teru Komal, Semi-supervised relation extraction via data augmentation and consistency-training, Proceedings of the 17th Conference of the European Chapter of the Association for Computational Linguistics, pp. 1104-1116, (2023); Tong Yongqi, Wang Yifan, Li Dawei, Wang Sizhe, Lin Zi, Han Simeng, Shang Jingbo, Eliminating reasoning via inferring with planning: A new framework to guide llms' non-linear thinking, (2023); Touvron Hugo, Martin Louis, Stone Kevin, Albert Peter, Almahairi Amjad, Babaei Yasmine, Bashlykov Nikolay, Batra Soumya, Bhargava Prajjwal, Bhosale Shruti, Et al., Llama 2: Open foundation and fine-tuned chat models, (2023); Wang Xiaosen, Hao Jin, Yang Yichen, He Kun, Natural language adversarial defense through synonym encoding, Uncertainty in Artificial Intelligence, pp. 823-833, (2021); Wang Xuezhi, Wei Jason, Schuurmans Dale, Le Quoc V, Chi Ed H, Narang Sharan, Chowdhery Aakanksha, Zhou Denny, Self-consistency improves chain of thought reasoning in language models, The Eleventh International Conference on Learning Representations, (2022); Wang Yiwei, Chen Muhao, Zhou Wenxuan, Cai Yujun, Liang Yuxuan, Liu Dayiheng, Yang Baosong, Liu Juncheng, Hooi Bryan, Should we rely on entity mentions for relation extraction? debiasing relation extraction with counterfactual analysis, Proceedings of the 2022 Conference of the North American Chapter of the Association for Computational Linguistics: Human Language Technologies, pp. 3071-3081, (2022); Wei Jason, Wang Xuezhi, Schuurmans Dale, Bosma Maarten, Xia Fei, Chi Ed, Le Quoc V, Zhou Denny, Et al., Chain-of-thought prompting elicits reasoning in large language models, Advances in Neural Information Processing Systems, 35, pp. 24824-24837, (2022); Wu Yi, Bamman David, Russell Stuart, Adversarial training for relation extraction, Proceedings of the 2017 Conference on Empirical Methods in Natural Language Processing, pp. 1778-1783, (2017); Xu Jianhan, Li Linyang, Zhang Jiping, Zheng Xiaoqing, Chang Kai-Wei, Hsieh Cho-Jui, Huang Xuan-Jing, Weight perturbation as defense against adversarial word substitutions, Findings of the Association for Computational Linguistics: EMNLP 2022, pp. 7054-7063, (2022); Xu Jianhan, Zhang Cenyuan, Zheng Xiaoqing, Li Linyang, Hsieh Cho-Jui, Chang Kai-Wei, Huang Xuan-Jing, Towards adversarially robust text classifiers by learning to reweight clean examples, Findings of the Association for Computational Linguistics: ACL 2022, pp. 1694-1707, (2022); Yang Yichen, Wang Xiaosen, He Kun, Robust textual embedding against word-level adversarial attacks, Uncertainty in Artificial Intelligence, pp. 2214-2224, (2022); Yoo Jin Yong, Qi Yanjun, Towards improving adversarial training of nlp models, Findings of the Association for Computational Linguistics: EMNLP 2021, pp. 945-956, (2021); Zang Yuan, Qi Fanchao, Yang Chenghao, Liu Zhiyuan, Zhang Meng, Liu Qun, Sun Maosong, Word-level textual adversarial attacking as combinatorial optimization, Proceedings of the 58th Annual Meeting of the Association for Computational Linguistics, pp. 6066-6080, (2020); Zhang Chiyuan, Bengio Samy, Hardt Moritz, Recht Benjamin, Vinyals Oriol, Understanding deep learning (still) requires rethinking generalization, Communications of the ACM, 64, 3, pp. 107-115, (2021); Zhang Dongxu, Wang Dong, Relation classification via recurrent neural network, (2015); Zhang Mi, Qian Tieyun, Zhang Ting, Miao Xin, Towards model robustness: Generating contextual counterfactuals for entities in relation extraction, Proceedings of the ACM Web Conference 2023, pp. 1832-1842, (2023); Zhang Ningyu, Deng Shumin, Sun Zhanlin, Chen Jiaoyan, Zhang Wei, Chen Huajun, Relation adversarial network for low resource knowledge graph completion, Proceedings of the web conference 2020, pp. 1-12, (2020); Zhang Susan, Roller Stephen, Goyal Naman, Artetxe Mikel, Chen Moya, Chen Shuohui, Dewan Christopher, Diab Mona, Li Xian, Lin Xi Victoria, Et al., Opt: Open pre-trained transformer language models, (2022); Zhu Chen, Cheng Yu, Gan Zhe, Sun Siqi, Gold-stein Tom, Liu Jingjing, Freelb: Enhanced adversarial training for natural language understanding, International Conference on Learning Representations, (2019)</t>
  </si>
  <si>
    <t>J. Shang; University of California, San Diego, United States; email: jshang@ucsd.edu</t>
  </si>
  <si>
    <t>Duh K.; Gomez H.; Bethard S.</t>
  </si>
  <si>
    <t>Baidu; CapitalOne; et al.; Grammarly; Megagon Labs; Otter.ai</t>
  </si>
  <si>
    <t>2024 Findings of the Association for Computational Linguistics: NAACL 2024</t>
  </si>
  <si>
    <t>Mexico City</t>
  </si>
  <si>
    <t>200405.0</t>
  </si>
  <si>
    <t>979-889176119-3</t>
  </si>
  <si>
    <t>Find. Assoc. Comput. Linguist.: NAACL - Findings</t>
  </si>
  <si>
    <t>2-s2.0-85197903942</t>
  </si>
  <si>
    <t>Wang M.; Zheng J.; Cai F.; Shao T.; Chen H.</t>
  </si>
  <si>
    <t>Wang, Mengru (57911081600); Zheng, Jianming (58094934800); Cai, Fei (55520520900); Shao, Taihua (57201615567); Chen, Honghui (9043552700)</t>
  </si>
  <si>
    <t>57911081600; 58094934800; 55520520900; 57201615567; 9043552700</t>
  </si>
  <si>
    <t>DRK: Discriminative Rule-based Knowledge for Relieving Prediction Confusions in Few-shot Relation Extraction</t>
  </si>
  <si>
    <t>2129.0</t>
  </si>
  <si>
    <t>2140.0</t>
  </si>
  <si>
    <t>https://www.scopus.com/inward/record.uri?eid=2-s2.0-85163789171&amp;partnerID=40&amp;md5=68ca8b6889179bb0ebe8972cccdcace2</t>
  </si>
  <si>
    <t>Science and Technology on Information Systems Engineering Laboratory, National University of Defense Technology, China</t>
  </si>
  <si>
    <t>Wang M., Science and Technology on Information Systems Engineering Laboratory, National University of Defense Technology, China; Zheng J., Science and Technology on Information Systems Engineering Laboratory, National University of Defense Technology, China; Cai F., Science and Technology on Information Systems Engineering Laboratory, National University of Defense Technology, China; Shao T., Science and Technology on Information Systems Engineering Laboratory, National University of Defense Technology, China; Chen H., Science and Technology on Information Systems Engineering Laboratory, National University of Defense Technology, China</t>
  </si>
  <si>
    <t>Few-shot relation extraction aims to identify the relation type between entities in a given text in the low-resource scenario. Albeit much progress, existing meta-learning methods still fall into prediction confusions owing to the limited inference ability over shallow text features. To relieve these confusions, this paper proposes a discriminative rule-based knowledge (DRK) method. Specifically, DRK adopts a logic-aware inference module to ease the word-overlap confusion, which introduces a logic rule to constrain the inference process, thereby avoiding the adverse effect of shallow text features. Also, DRK employs a discrimination finding module to alleviate the entity-type confusion, which explores distinguishable text features via a hierarchical contrastive learning. We conduct extensive experiments on four types of meta tasks and the results show promising improvements from DRK (6.0% accuracy gains on average). Besides, error analyses reveal the word-overlap and entity-type errors are the main courses of mispredictions in few-shot relation extraction. ¬© 2022 Proceedings - International Conference on Computational Linguistics, COLING. All rights reserved.</t>
  </si>
  <si>
    <t>Computational linguistics; Learning systems; Adverse effect; Entity-types; Inference process; Learning methods; Logic rules; Metalearning; Relation extraction; Rule-based knowledge; Text feature; Type errors; Extraction</t>
  </si>
  <si>
    <t>Brody Sam, Wu Sichao, Benton Adrian, Towards realistic few-shot relation extraction, Proceedings of the 2021 Conference on Empirical Methods in Natural Language Processing, (2021); Chen Mingyang, Zhang Wen, Zhang Wei, Chen Qiang, Chen Huajun, Meta relational learning for few-shot link prediction in knowledge graphs, Proceedings of the 2019 Conference on Empirical Methods in Natural Language Processing and the 9th International Joint Conference on Natural Language Processing, (2019); Chia Yew Ken, Bing Lidong, Poria Soujanya, Si Luo, Relationprompt: Leveraging prompts to generate synthetic data for zero-shot relation triplet extraction, Findings of the Association for Computational Linguistics, pp. 45-57; Finn Chelsea, Abbeel Pieter, Levine Sergey, Model-agnostic meta-learning for fast adaptation of deep networks, Proceedings of the 34th International Conference on Machine Learning, 70, (2017); Gao Tianyu, Han Xu, Liu Zhiyuan, Sun Maosong, Hybrid attention-based prototypical networks for noisy few-shot relation classification, The Thirty-Third AAAI Conference on Artificial Intelligence, (2019); Gao Tianyu, Han Xu, Zhu Hao, Liu Zhiyuan, Li Peng, Sun Maosong, Zhou Jie, Fewrel 2.0: Towards more challenging few-shot relation classification, Proceedings of the 2019 Conference on Empirical Methods in Natural Language Processing and the 9th International Joint Conference on Natural Language Processing, (2019); Han Xu, Zhao Weilin, Ding Ning, Liu Zhiyuan, Sun Maosong, PTR: prompt tuning with rules for text classification, CoRR, (2021); Han Xu, Zhu Hao, Yu Pengfei, Wang Ziyun, Yao Yuan, Liu Zhiyuan, Sun Maosong, Fewrel: A large-scale supervised few-shot relation classification dataset with state-of-the-art evaluation, Proceedings of the 2018 Conference on Empirical Methods in Natural Language Processing, (2018); Han Yi, Qiao Linbo, Zheng Jianming, Kan Zhigang, Feng Linhui, Gao Yifu, Tang Yu, Zhai Qi, Li Dong-sheng, Liao Xiangke, Multi-view interaction learning for few-shot relation classification, The 30th ACM International Conference on Information and Knowledge Management, (2021); Hao Junheng, Chen Muhao, Yu Wenchao, Sun Yizhou, Wang Wei, Universal representation learning of knowledge bases by jointly embedding instances and ontological concepts, Proceedings of the 25th ACM SIGKDD International Conference on Knowledge Discovery &amp; Data Mining, pp. 1709-1719, (2019); He Keqing, Zhang Jinchao, Yan Yuanmeng, Xu Weiran, Niu Cheng, Zhou Jie, Contrastive zero-shot learning for cross-domain slot filling with adversarial attack, Proceedings of the 28th International Conference on Computational Linguistics, (2020); Huang Weizhi, He Ming, Wang Yongle, A survey on meta-learning based few-shot classification, Machine Learning and Intelligent Communications - 6th EAI International Conference, 438, pp. 243-253, (2021); Lester Brian, Al-Rfou Rami, Constant Noah, The power of scale for parameter-efficient prompt tuning, Proceedings of the 2021 Conference on Empirical Methods in Natural Language Processing, (2021); Li Luoqiu, Chen Xiang, Ye Hongbin, Bi Zhen, Deng Shumin, Zhang Ningyu, Chen Huajun, On robustness and bias analysis of bert-based relation extraction, Knowledge Graph and Semantic Computing: Knowledge Graph Empowers New Infrastructure Construction - 6th China Conference, (2021); Liao Jinzhi, Zhao Xiang, Zheng Jianming, Li Xinyi, Cai Fei, Tang Jiuyang, PTAU: prompt tuning for attributing unanswerable questions, The 45th International ACM SIGIR Conference on Research and Development in Information Retrieval, (2022); Liu Weijie, Zhou Peng, Zhao Zhe, Wang Zhiruo, Ju Qi, Deng Haotang, Wang Ping, K-BERT: enabling language representation with knowledge graph, The Thirty-Fourth AAAI Conference on Artificial Intelligence, (2020); Mishra Nikhil, Rohaninejad Mostafa, Chen Xi, Abbeel Pieter, A simple neural attentive meta-learner, 6th International Conference on Learning Representations; Mishra Nikhil, Rohaninejad Mostafa, Chen Xi, Abbeel Pieter, A simple neural attentive meta-learner, 6th International Conference on Learning Representations, (2018); Nichol Alex, Achiam Joshua, Schulman John, On first-order meta-learning algorithms, CoRR, (2018); Qu Meng, Gao Tianyu, Xhonneux Louis-Pascal A. C., Tang Jian, Few-shot relation extraction via bayesian meta-learning on relation graphs, Proceedings of the 37th International Conference on Machine Learning, 119, pp. 7867-7876, (2020); Roy Arpita, Pan Shimei, Incorporating medical knowledge in BERT for clinical relation extraction, Proceedings of the 2021 Conference on Empirical Methods in Natural Language Processing, (2021); Sainz Oscar, de Lacalle Oier Lopez, Labaka Gorka, Barrena Ander, Agirre Eneko, Label verbalization and entailment for effective zero and few-shot relation extraction, Proceedings of the 2021 Conference on Empirical Methods in Natural Language Processing, (2021); Satorras Victor Garcia, Estrach Joan Bruna, Few-shot learning with graph neural networks, 6th International Conference on Learning Representations; Snell Jake, Swersky Kevin, Zemel Richard S., Prototypical networks for few-shot learning, Advances in Neural Information Processing Systems 30: Annual Conference on Neural Information Processing Systems, pp. 4077-4087, (2017); Soares Livio Baldini, FitzGerald Nicholas, Ling Jeffrey, Kwiatkowski Tom, Matching the blanks: Distributional similarity for relation learning, Proceedings of the 57th Conference of the Association for Computational Linguistics, (2019); Sun Shengli, Sun Qingfeng, Zhou Kevin, Lv Tengchao, Hierarchical attention prototypical networks for few-shot text classification, Proceedings of the 2019 Conference on Empirical Methods in Natural Language Processing and the 9th International Joint Conference on Natural Language Processing, (2019); Utama Prasetya Ajie, Moosavi Nafise Sadat, Sanh Victor, Gurevych Iryna, Avoiding inference heuristics in few-shot prompt-based finetuning, Proceedings of the 2021 Conference on Empirical Methods in Natural Language Processing, (2021); Wang Hailin, Lu Guoming, Yin Jin, Qin Ke, Relation extraction: A brief survey on deep neural network based methods, The 4th International Conference on Software Engineering and Information Management, (2021); Wang Yingyao, Bao Junwei, Liu Guangyi, Wu Youzheng, He Xiaodong, Zhou Bowen, Zhao Tiejun, Learning to decouple relations: Few-shot relation classification with entity-guided attention and confusion-aware training, Proceedings of the28thInternationalConferenceonComputational Linguistics, (2020); Yang Bishan, Yih Wen-tau, He Xiaodong, Gao Jianfeng, Deng Li, Embedding entities and relations for learning and inference in knowledge bases, 3rd International Conference on Learning Representations, (2015); Yang Kaijia, Zheng Nantao, Dai Xinyu, He Liang, Huang Shujian, Chen Jiajun, Enhance prototypical network with text descriptions for few-shot relation classification, The 29th ACM International Conference on Information and Knowledge Management, (2020); Yang Shan, Zhang Yongfei, Niu Guanglin, Zhao Qinghua, Pu Shiliang, Entity concept-enhanced few-shot relation extraction, Proceedings of the 59th Annual Meeting of the Association for Computational Linguistics and the 11th International Joint Conference on Natural Language Processing, pp. 987-991, (2021); Zhang Jiawen, Zhu Jiaqi, Yang Yi, Shi Wandong, Zhang Congcong, Wang Hongan, Knowledge-enhanced domain adaptation in few-shot relation classification, The 27th ACM SIGKDD Conference on Knowledge Discovery and Data Mining, (2021); Zheng Jianming, Cai Fei, Chen Honghui, Incorporating scenario knowledge into A unified fine-tuning architecture for event representation, Proceedings of the 43rd International ACM SIGIR conference on research and development in Information Retrieval, (2020); Zheng Jianming, Cai Fei, Chen Wanyu, Lei Wengqiang, Chen Honghui, Taxonomy-aware learning for few-shot event detection, The Web Conference 2021, pp. 3546-3557, (2021); Zheng Jianming, Cai Fei, Ling Yanxiang, Chen Honghui, Heterogeneous graph neural networks to predict what happen next, Proceedings of the 28th International Conference on Computational Linguistics, (2020)</t>
  </si>
  <si>
    <t>J. Zheng; Science and Technology on Information Systems Engineering Laboratory, National University of Defense Technology, China; email: zhengjianming12@nudt.edu.cn</t>
  </si>
  <si>
    <t>2-s2.0-85163789171</t>
  </si>
  <si>
    <t>Hsu C.; Zan C.; Ding L.; Wang L.; Wang X.; Liu W.; Lin F.; Hu W.</t>
  </si>
  <si>
    <t>Hsu, Chiaming (58290673300); Zan, Changtong (57223191070); Ding, Liang (57219499270); Wang, Longyue (55597573100); Wang, Xiaoting (58398614900); Liu, Weifeng (36739405100); Lin, Fu (7402776913); Hu, Wenbin (56413438700)</t>
  </si>
  <si>
    <t>58290673300; 57223191070; 57219499270; 55597573100; 58398614900; 36739405100; 7402776913; 56413438700</t>
  </si>
  <si>
    <t>Prompt-Learning for Cross-Lingual Relation Extraction</t>
  </si>
  <si>
    <t>Proceedings of the International Joint Conference on Neural Networks</t>
  </si>
  <si>
    <t>2023-June</t>
  </si>
  <si>
    <t>10.1109/IJCNN54540.2023.10192002</t>
  </si>
  <si>
    <t>https://www.scopus.com/inward/record.uri?eid=2-s2.0-85169612086&amp;doi=10.1109%2fIJCNN54540.2023.10192002&amp;partnerID=40&amp;md5=37e09203ba06ee4635114317cab80302</t>
  </si>
  <si>
    <t>Wuhan University, China; China University of Petroleum (East China), China; JD Explore Academy at JD.com, China; Tencent AI Lab, United States; JD.com., China</t>
  </si>
  <si>
    <t>Hsu C., Wuhan University, China; Zan C., China University of Petroleum (East China), China; Ding L., JD Explore Academy at JD.com, China; Wang L., Tencent AI Lab, United States; Wang X., JD.com., China; Liu W., China University of Petroleum (East China), China; Lin F., Wuhan University, China; Hu W., Wuhan University, China</t>
  </si>
  <si>
    <t>Relation Extraction (RE) is a crucial task in Information Extraction, which entails predicting relationships between entities within a given sentence. However, extending pre-trained RE models to other languages is challenging, particularly in real-world scenarios where Cross-Lingual Relation Extraction (XRE) is required. Despite recent advancements in Prompt-Learning, which involves transferring knowledge from Multilingual Pre-trained Language Models (PLMs) to diverse downstream tasks, there is limited research on the effective use of multilingual PLMs with prompts to improve XRE. In this paper, we present a novel XRE algorithm based on Prompt-Tuning, referred to as Prompt-Xre. To evaluate its effectiveness, we design and implement several prompt templates, including hard, soft, and hybrid prompts, and empirically test their performance on competitive multilingual PLMs, specifically mBART. Our extensive experiments, conducted on the low-resource ACE05 benchmark across multiple languages, demonstrate that our Prompt-Xre algorithm significantly outperforms both vanilla multilingual PLMs and other existing models, achieving state-of-the-art performance in XRE. To further show the generalization of our Prompt-XRE on larger data scales, we construct and release a new XRE dataset-WMTI7-EnZh XRE, containing 0.9M English-Chinese pairs extracted from WMT 2017 parallel corpus. Experiments on WMTI7-EnZh XRE also show the effectiveness of our Prompt-XRE against other competitive baselines. The code and newly constructed dataset are freely available at httus://2ithub.com/HSU-CHIA-MING/Promut-XRE. ¬© 2023 IEEE.</t>
  </si>
  <si>
    <t>Cross-Lingual Relation Extraction; Large Language Model; Prompt Learning; Zero-Shot Learning</t>
  </si>
  <si>
    <t>Benchmarking; Computational linguistics; Learning systems; Cross-lingual; Cross-lingual relation extraction; Down-stream; Extraction modeling; Language model; Large language model; Prompt learning; Real-world scenario; Relation extraction; Relationships between entities; Zero-shot learning</t>
  </si>
  <si>
    <t>Artificial Intelligence Innovation Project of Wuhan Science and Technology Bureau, (2022010702040070); National Natural Science Foundation of China, NSFC, (61976162, 82174230); Science and Technology Program of Hubei Province, (2019AEA170)</t>
  </si>
  <si>
    <t>This work was supported in part by the Natural Science Foundation of China (Nos. 61976162, 82174230), Artificial Intelligence Innovation Project of Wuhan Science and Technology Bureau (No.2022010702040070), Science and Technology Major Project of Hubei Province (Next Generation AI Technologies) (No. 2019AEA170).</t>
  </si>
  <si>
    <t>Zhou K., Zhao W.X., Bian S., Zhou Y., Yu J., Improving conversational recommender systems via knowledge graph based semantic fusion, KDD, (2020); Wang B., Ding L., Zhong Q., Li X., Tao D., A contrastive cross-channel data augmentation framework for aspect-based sentiment analysis, COLING, (2022); Yasunaga M., Ren H., Bosselut A., Liang P., Leskovec J., Qa-gnn: Reasoning with language models and knowledge graphs for question answering, (2021); Ding L., Wang L., Et al., Progressive multi-granularity training for non-autoregressive translation, Findings of ACL, (2021); Doddington G., Mitchell A., Et al., The automatic content extraction (ACE) program-tasks, data, and evaluation, LREC, (2004); Wang W., Zheng V.W., Yu H., Miao C., A survey of zero-shot learning: Settings, methods, and applications, ACM TIST, (2019); Miwa M., Bansal M., End-to-end relation extraction using LSTMs on sequences and tree structures, ACL, (2016); Ahmad W.U., Peng N., Chang K.-W., Gate: Graph attention transformer encoder for cross-lingual relation and event extraction, AAAI, (2021); Liu Y., Gu J., Goyal N., Li X., Edunov S., Ghazvininejad M., Lewis M., Zettlemoyer L., Multilingual denoising pre-training for neural machine translation, TACL, (2020); Yan H., Gui T., Dai J., Guo Q., Zhang Z., Qiu X., A unified generative framework for various ner subtasks, (2021); Brown T., Mann B., Ryder N., Subbiah M., Kaplan J.D., Dhariwal P., Neelakantan A., Shyam P., Sastry G., Askell A., Et al., Language models are few-shot learners, NeurIPS, (2020); Zhang N., Li L., Chen X., Deng S., Bi Z., Tan C., Huang F., Chen H., Differentiable prompt makes pre-trained language models better few-shot learners, (2021); Walker C., Strassel S., Medero J., Maeda K., Ace 2005 multilingual training corpus, Progress of Theoretical Physics Supplement, (2006); Broscheit S., Gashteovski K., Achenbach M., Openie for slot filling at tac kbp 2017-system description, TAC, (2017); Zhong Q., Ding L., Et al., Can chatgpt understand too a comparative study on chatgpt and fine-tuned bert, (2023); Lu Q., Qiu B., Ding L., Xie L., Tao D., Error analysis prompting enables human-like translation evaluation in large language models: A case study on chatgpt, (2023); Peng K., Ding L., Et al., Towards making the most of chatgpt for machine translation, (2023); Hu S., Ding N., Wang H., Liu Z., Li J., Sun M., Knowledgeable prompt-tuning: Incorporating knowledge into prompt verbalizer for text classification, (2021); Gao T., Fisch A., Chen D., Making pre-trained language models better few-shot learners, (2020); Shin T., Razeghi Y., Logan R.L., Wallace E., Singh S., Autoprompt: Eliciting knowledge from language models with automatically generated prompts, (2020); Li X.L., Liang P., Prefix-tuning: Optimizing continuous prompts for generation, (2021); Liu Y., Gu J., Goyal N., Li X., Edunov S., Ghazvininejad M., Lewis M., Zettlemoyer L., Multilingual Denoising Pre-training for Neural Machine Translation, TACL, (2020); Liu X., Wang L., Et al., Understanding and improving encoder layer fusion in sequence-to-sequence learning, ICLR, (2021); Lewis M., Liu Y., Et al., Bart: Denoising sequence-to-sequence pretraining for natural language generation, translation, and comprehension, (2019); Hassan H., Aue A., Et al., Achieving human parity on automatic Chinese to english news translation, (2018); Ding L., Wang L., Tao D., Self-attention with cross-lingual position representation, ACL, (2020); Ding L., Wang L., Wu D., Tao D., Tu Z., Context-aware crossattention for non-autoregressive translation, COLING, (2020); Ding L., Wang L., Et al., Understanding and improving lexical choice in non-autoregressive translation, ICLR, (2021); Ding L., Wu D., Tao D., Improving neural machine translation by bidirectional training, EMNLP, (2021); Ding L., Et al., Redistributing low-frequency words: Making the most of monolingual data in non-autoregressive translation, ACL, (2022); White A.S., Reisinger D., Sakaguchi K., Vieira T., Zhang S., Rudinger R., Rawlins K., Van Durme B., Universal decompositional semantics on universal dependencies, EMNLP, (2016); Subburathinam A., Lu D., Ji H., Et al., Cross-lingual structure transfer for relation and event extraction, EMNLP, (2019); Liu J., Chen Y., Liu K., Zhao J., Neural cross-lingual event detection with minimal parallel resources, EMNLP, (2019); Devlin J., Chang M.-W., Lee K., Toutanova K., BERT: Pre-training of deep bidirectional transformers for language understanding, NAACL, (2019); Ni J., Florian R., Neural cross-lingual relation extraction based on bilingual word embedding mapping, EMNLP, (2019); Vaswani A., Shazeer N., Et al., Attention is all you need, NeurIPS, (2017); Shaw P., Uszkoreit J., Vaswani A., Self-attention with relative position representations, AACL, (2018); Soares L.B., Fitzgerald N., Ling J., Kwiatkowski T., Matching the blanks: Distributional similarity for relation learning, (2019); Zhong Q., Ding L., Et al., Bag of tricks for effective language model pretraining and downstream adaptation: A case study on glue, (2023); Zhong Q., Et al., Toward efficient language model pretraining and downstream adaptation via self-evolution: A case study on superglue, (2022); Yenicelik D., Et al., How does BERT capture semantics a closer look at polysemous words, BlackboxNLP Workshop, (2020); Wu D., Ding L., Lu F., Xie J., Slotrefine: A fast non-autoregressive model for joint intent detection and slot filling, EMNLP, (2020); Wu D., Et al., Bridging the gap between clean data training and realworld inference for spoken language understanding, (2021); Cao Y., Ding L., Tian Z., Fang M., Towards efficiently diversifying dialogue generation via embedding augmentation, ICASSP, (2021); Zan C., Ding L., Shen L., Cao Y., Liu W., Tao D., Bridging crosslingual gaps during leveraging the multilingual sequence-to-sequence pretraining for text generation, (2022); Zhang Z., Ding L., Et al., Bliss: Robust sequence-to-sequence learning via self-supervised input representation, (2022); Zhong Q., Et al., Improving sharpness-aware minimization with fisher mask for better generalization on language models, Findings of EMNLP, (2022); Zhong Q., Ding L., Et al., E2s2: Encoding-enhanced sequence-tosequence pretraining for language understanding and generation, (2022); Rao J., Wang F., Ding L., Qi S., Zhan Y., Liu W., Tao D., Where does the performance improvement come from-a reproducibility concern about image-text retrieval, SIGIR, (2022); Rao J., Ding L., Qi S., Fang M., Liu Y., Shen L., Tao D., Dynamic contrastive distillation for image-text retrieval, TMM, (2023); Zhong Q., Ding L., Liu J., Du B., Jin H., Tao D., Knowledge graph augmented network towards multiview representation learning for aspect-based sentiment analysis, TKDE, (2023); Zan C., Peng K., Et al., Vega-mt: The jd explore academy translation system for wmt22, (2022); Zan C., Ding L., Et al., On the complementarity between pre-training and random-initialization for resource-rich machine translation, COLING, (2022); Dodge J., Ilharco G., Schwartz R., Farhadi A., Hajishirzi H., Smith N., Fine-tuning pretrained language models: Weight initializations, data orders, and early stopping, (2020); Liu P., Yuan W., Fu J., Jiang Z., Hayashi H., Neubig G., Pre-train, prompt, and predict: A systematic survey of prompting methods in natural language processing, (2021); Zhong Q., Ding L., Et al., Panda: Prompt transfer meets knowledge distillation for efficient model adaptation, (2022); Schick T., Schutze H., Exploiting cloze questions for few shot text classification and natural language inference, (2020); Reynolds L., McDonell K., Prompt programming for large language models: Beyond the few-shot paradigm, Extended Abstracts of the 2021 CHI Conference on Human Factors in Computing Systems, (2021); Levy O., Seo M., Choi E., Zettlemoyer L., Zero-shot relation extraction via reading comprehension, (2017); Obamuyide A., Vlachos A., Zero-shot relation classification as textual entailment, FEVER, (2018)</t>
  </si>
  <si>
    <t>F. Lin; Wuhan University, China; email: linfu@whu.edu.cn; W. Hu; Wuhan University, China; email: hwb@whu.edu.cn; L. Ding; JD Explore Academy at JD.com, China; email: dingliang1@jd.com</t>
  </si>
  <si>
    <t>Business Events Australia; Destination Goldcoast; et al.; International Neural Network Society (INNS); The University of Queensland Australia; Tourism and Events Queensland</t>
  </si>
  <si>
    <t>2023 International Joint Conference on Neural Networks, IJCNN 2023</t>
  </si>
  <si>
    <t>18 June 2023 through 23 June 2023</t>
  </si>
  <si>
    <t>Gold Coast</t>
  </si>
  <si>
    <t>191330.0</t>
  </si>
  <si>
    <t>978-166548867-9</t>
  </si>
  <si>
    <t>85OFA</t>
  </si>
  <si>
    <t>Proc Int Jt Conf Neural Networks</t>
  </si>
  <si>
    <t>2-s2.0-85169612086</t>
  </si>
  <si>
    <t>Wang Z.; Yang J.; Li T.; Chai L.; Liu J.; Mo Y.; Bai J.; Li Z.</t>
  </si>
  <si>
    <t>Wang, Zixiang (59293797500); Yang, Jian (57218299934); Li, Tongliang (57222531333); Chai, Linzheng (57713785500); Liu, Jiaheng (57215774329); Mo, Ying (58073212100); Bai, Jiaqi (57221155919); Li, Zhoujun (56024684400)</t>
  </si>
  <si>
    <t>59293797500; 57218299934; 57222531333; 57713785500; 57215774329; 58073212100; 57221155919; 56024684400</t>
  </si>
  <si>
    <t>Multilingual Entity and Relation Extraction from Unified to Language-specific Training</t>
  </si>
  <si>
    <t>105.0</t>
  </si>
  <si>
    <t>10.1145/3637494.3637512</t>
  </si>
  <si>
    <t>https://www.scopus.com/inward/record.uri?eid=2-s2.0-85185532664&amp;doi=10.1145%2f3637494.3637512&amp;partnerID=40&amp;md5=df9774b6411cb08ee985caf5efb33643</t>
  </si>
  <si>
    <t>Beihang University, Beijing, Beijing, China</t>
  </si>
  <si>
    <t>Wang Z., Beihang University, Beijing, Beijing, China; Yang J., Beihang University, Beijing, Beijing, China; Li T., Beihang University, Beijing, Beijing, China; Chai L., Beihang University, Beijing, Beijing, China; Liu J., Beihang University, Beijing, Beijing, China; Mo Y., Beihang University, Beijing, Beijing, China; Bai J., Beihang University, Beijing, Beijing, China; Li Z., Beihang University, Beijing, Beijing, China</t>
  </si>
  <si>
    <t>Entity and relation extraction is a key task in information extraction, where the output can be used for downstream NLP tasks. Existing approaches for entity and relation extraction task mainly focus on the English corpora and ignore other languages. Thus, it is critical to improve performance in a multilingual setting. Meanwhile, multilingual training is usually used to boost cross-lingual performance by transferring knowledge from languages (e.g., high-resource) to other (e.g., low-resource) languages. However, language interference usually exists in multilingual tasks as the model parameters are shared among all languages. In this paper, we propose a two-stage multilingual training method and a joint model called Multilingual Entity and Relation Extraction framework (mERE) to mitigate language interference across languages. Specifically, we randomly concatenate sentences in different languages to train a Language-universal Aggregator (LA), which narrows the distance of embedding representations by obtaining the unified language representation. Then, we separate parameters to mitigate interference via tuning a Language-specific Switcher (LS), which includes several independent submodules to refine the language-specific feature representation. After that, to enhance the relational triple extraction, the sentence representations concatenated with the relation feature are used to recognize the entities. Extensive experimental results show that our method outperforms both the monolingual and multilingual baseline methods. Besides, we also perform detailed analysis to show that mERE is lightweight but effective on relational triple extraction and mERE is easy to transfer to other backbone models of multi-field tasks, which further demonstrates the effectiveness of our method.  ¬© 2023 ACM.</t>
  </si>
  <si>
    <t>Information extraction; Joint extraction; Multilingual entity and relation extraction; Relational triple extraction</t>
  </si>
  <si>
    <t>Cross-lingual; Down-stream; Entity extractions; Improve performance; Information extraction; Joint extraction; Multilingual entity and relation extraction; Multilingual trainings; Relation extraction; Relational triple extraction; Information retrieval</t>
  </si>
  <si>
    <t>2022 Tencent Big Travel Rhino-Bird Special Research Program; National Natural Science Foundation of China, NSFC, (61672081, 62276017, U1636211); National Natural Science Foundation of China, NSFC; State Key Laboratory of Software Development Environment, SKLSDE, (SKLSDE-2021ZX-18); State Key Laboratory of Software Development Environment, SKLSDE</t>
  </si>
  <si>
    <t>This work was supported in part by the National Natural Science Foundation of China (Grant Nos. 62276017, U1636211, 61672081), the 2022 Tencent Big Travel Rhino-Bird Special Research Program, and the Fund of the State Key Laboratory of Software Development Environment (Grant No. SKLSDE-2021ZX-18).</t>
  </si>
  <si>
    <t>Aharoni R., Johnson M., Firat O., Massively Multilingual Neural Machine Translation, Proc. of NAACL., (2019); Conneau A., Khandelwal K., Goyal N., Chaudhary V., Wenzek G., Guzman F., Grave E., Ott M., Zettlemoyer L., Stoyanov V., Unsupervised Cross-lingual Representation Learning at Scale, Proc. of ACL., (2020); Devlin J., Chang M.-W., Lee K., Toutanova K., BERT: Pre-training of Deep Bidirectional Transformers for Language Understanding, Proc. of NAACL., (2019); Fan A., Bhosale S., Schwenk H., Ma Z., El-Kishky A., Goyal S., Baines M., Celebi O., Wenzek G., Chaudhary V., Goyal N., Birch T., Liptchinsky V., Edunov S., Auli M., Joulin A., Beyond English-Centric Multilingual Machine Translation, J. Mach. Learn. Res., (2021); Firat O., Cho K., Bengio Y., Multi-Way, Multilingual Neural Machine Translation with a Shared Attention Mechanism, Proc. of NAACL., (2016); Gong H., Li X., Genzel D., Adaptive Sparse Transformer for Multilingual Translation, CoRR, (2021); Guo H., Liu J., Huang H., Yang J., Li Z., Zhang D., Wei F., LVP-M3: Language-aware Visual Prompt for Multilingual Multimodal Machine Translation, EMNLP, (2022); Huang Z., Xu W., Yu K., Bidirectional LSTM-CRF Models for Sequence Tagging, CoRR, (2015); Johnson M., Schuster M., Le Q.V., Krikun M., Wu Y., Chen Z., Thorat N., Viegas F.B., Wattenberg M., Corrado G., Hughes M., Dean J., Google‚Äôs Multilingual Neural Machine Translation System: Enabling Zero-Shot Translation, Trans. Assoc. Comput. Linguistics, (2017); Joshi M., Chen D., Liu Y., Weld D.S., Zettlemoyer L., Levy O., SpanBERT: Improving Pre-training by Representing and Predicting Spans, Trans. Assoc. Comput. Linguistics (2020, (2020); Koksal A., Ozgur A., The RELX Dataset and Matching the Multilingual Blanks for Cross-Lingual Relation Classification, Proc. of EMNLP Findings, (2020); Lai T., Cheng L., Wang D., Ye H., Zhang W., 2022, Appl. Intell., (2022); Levy O., Seo M., Choi E., Zettlemoyer L., Zero-Shot Relation Extraction via Reading Comprehension, Proc. of CoNLL., (2017); Li J., Wang R., Zhang N., Zhang W., Yang F., Chen H., Logic-guided Semantic Representation Learning for Zero-Shot Relation Classification, Proc. of COLING., (2020); Lin Q., Mao R., Liu J., Xu F., Cambria E., Fusing topology contexts and logical rules in language models for knowledge graph completion, Inf. Fusion (2023), (2023); Lin Z., Pan X., Wang M., Qiu X., Feng J., Zhou H., Li L., Pre-training Multilingual Neural Machine Translation by Leveraging Alignment Information, Proc. of EMNLP., (2020); Liu J., Yu T., Peng H., Sun M., Li P., Cross-lingual cross-modal consolidation for effective multilingual video corpus moment retrieval, Proc. of AACL., (2022); Philip J., Berard A., Galle M., Besacier L., Monolingual Adapters for Zero-Shot Neural Machine Translation, Proc. of EMNLP., (2020); Seganti A., Firlag K., Skowronska H., Satlawa M., Andruszkiewicz P., Multilingual Entity and Relation Extraction Dataset and Model, Proc. of EACL., (2021); Socher R., Huval B., Manning C.D., Ng A.Y., Semantic Compositionality through Recursive Matrix-Vector Spaces, Proc. of EMNLP., (2012); Tan Z., Shen Y., Zhang S., Lu W., Zhuang Y., A Sequence-to-Set Network for Nested Named Entity Recognition, Proc. of IJCAI., (2021); Vazquez R., Raganato A., Tiedemann J., Creutz M., Multilingual NMT with a Language-Independent Attention Bridge, Proc. of RepL4NLP., (2019); Wang J., Shou L., Chen K., Chen G., Pyramid: A Layered Model for Nested Named Entity Recognition, Proc. of ACL., (2020); Wang Z., Lipton Z.C., Tsvetkov Y., On Negative Interference in Multilingual Models: Findings and A Meta-Learning Treatment, Proc. of EMNLP., (2020); Yang J., Ma S., Dong L., Huang S., Huang H., Yin Y., Zhang D., Yang L., Li Z., Wei F., GanLM: Encoder-Decoder Pre-training with an Auxiliary Discriminator, CoRR, (2022); Yang J., Ma S., Huang H., Zhang D., Dong L., Huang S., Muzio A., Singhal S., Hassan H., Song X., Wei F., Multilingual Machine Translation Systems from Microsoft for WMT21 Shared Task, WMT@EMNLP, (2021); Yang J., Ma S., Zhang D., Wu S., Li Z., Zhou M., Alternating Language Modeling for Cross-Lingual Pre-Training, Proc. of AAAI., (2020); Yang J., Yin Y., Ma S., Zhang D., Li Z., Wei F., High-resource Language-specific Training for Multilingual Neural Machine Translation, Proc. of IJCAI., (2022); Yang J., Yin Y., Ma S., Zhang D., Wu S., Guo H., Li Z., Wei F., UM4: Unified Multilingual Multiple Teacher-Student Model for Zero-Resource Neural Machine Translation, Proc. of IJCAI., (2022); Zhang B., Williams P., Titov I., Sennrich R., Improving Massively Multilingual Neural Machine Translation and Zero-Shot Translation, Proc. of ACL., (2020)</t>
  </si>
  <si>
    <t>2023 International Conference on Electronics, Computers and Communication Technology, CECCT 2023</t>
  </si>
  <si>
    <t>17 November 2023 through 19 November 2023</t>
  </si>
  <si>
    <t>Guilin</t>
  </si>
  <si>
    <t>197101.0</t>
  </si>
  <si>
    <t>979-840070762-9</t>
  </si>
  <si>
    <t>2-s2.0-85185532664</t>
  </si>
  <si>
    <t>Gong W.; Zhou Q.</t>
  </si>
  <si>
    <t>Gong, Wanyuan (59223240400); Zhou, Qifeng (55722099600)</t>
  </si>
  <si>
    <t>59223240400; 55722099600</t>
  </si>
  <si>
    <t>Contrastive learning-based few-shot relation extraction with open-book datastore</t>
  </si>
  <si>
    <t>Applied Soft Computing</t>
  </si>
  <si>
    <t>10.1016/j.asoc.2024.112302</t>
  </si>
  <si>
    <t>https://www.scopus.com/inward/record.uri?eid=2-s2.0-85206812566&amp;doi=10.1016%2fj.asoc.2024.112302&amp;partnerID=40&amp;md5=8e39f8cc28fbea1fe5dbb5afac98affa</t>
  </si>
  <si>
    <t>School of Aerospace Engineering, Automation Department, Xiamen University, Xiamen, 361005, China; Xiamen Key Laboratory of Big Data Intelligent Analysis and Decision-making, Xiamen, 361005, China</t>
  </si>
  <si>
    <t>Gong W., School of Aerospace Engineering, Automation Department, Xiamen University, Xiamen, 361005, China, Xiamen Key Laboratory of Big Data Intelligent Analysis and Decision-making, Xiamen, 361005, China; Zhou Q., School of Aerospace Engineering, Automation Department, Xiamen University, Xiamen, 361005, China, Xiamen Key Laboratory of Big Data Intelligent Analysis and Decision-making, Xiamen, 361005, China</t>
  </si>
  <si>
    <t>Few-shot relation extraction (FSRE) aims to identify relations with the aid of few instances. In real-world application scenarios, users often encounter new entities or relations, and there is insufficient labeled data to train the model, making FSRE particularly important. However, limited by the quality of instances in real-world settings, FSRE struggles to discern the subtle semantic differences among instances and corresponding relations. This leads to the critical problem of effectively learning these semantic differences of similar instances and similar relations effectively. In this paper, we propose a novel Few-Shot Contrastive Learning (FSCL) framework to alleviate the semantics challenges of similar instances and relations. To learn the semantic information in low-resource environments, FSCL jointly utilizes contrastive learning with an open-book datastore, while updating the instance representations in the open-book datastore asynchronously. To further enhance the robustness and reduce the impact of semantic bias caused by contrastive learning, we explore six data augmentation strategies on three public datasets to capture more meaningful semantic distinctions among instances as well as their relations. By conducting data augmentation experiments, we find that dropout noise is an effective strategy for data augmentation that can significantly highlight semantic differences between similar instances when learning similar relational representations. This helps the model obtain more potent and meaningful representations. Experiments on five public datasets demonstrate the effectiveness of the proposed method. Our codes are available on https://github.com/JohnnyGWY/FSCL. ¬© 2024 Elsevier B.V.</t>
  </si>
  <si>
    <t>Contrastive learning; Few-shot learning; Relation extraction</t>
  </si>
  <si>
    <t>Adversarial machine learning; Federated learning; Zero-shot learning; Application scenario; Data augmentation; Few-shot learning; Labeled data; Model-making; Public dataset; Real world setting; Real-world; Relation extraction; Semantic difference; Contrastive Learning</t>
  </si>
  <si>
    <t>Xiamen University, XMU; National Natural Science Foundation of China, NSFC, (62171391); National Natural Science Foundation of China, NSFC</t>
  </si>
  <si>
    <t>This work was supported in part by the National Natural Science Foundation of China (Grants No. 62171391). Shaorong Fang and Tianfu Wu from Information and Network Center of Xiamen University are acknowledged for the help with the GPU computing.</t>
  </si>
  <si>
    <t>Fan Y., Xie X., Cai Y., Chen J., Ma X., Li X., Zhang R., Guo J., Et al., Pre-training methods in information retrieval, Found. Trends Inf. Retr., 16, 3, pp. 178-317, (2022); He K., Yao L., Zhang J., Li Y., Li C., Construction of genealogical knowledge graphs from obituaries: Multitask neural network extraction system, J. Med. Int. Res., 23, 8, (2021); Lan Y., Jiang J., Modeling transitions of focal entities for conversational knowledge base question answering, pp. 3288-3297, (2021); Chen X., Li L., Zhang N., Tan C., Huang F., Si L., Chen H., Relation Extraction as Open-book Examination: Retrieval-enhanced Prompt Tuning, pp. 2443-2448, (2022); He K., Huang Y., Mao R., Gong T., Li C., Cambria E., Virtual prompt pre-training for prototype-based few-shot relation extraction, Expert Syst. Appl., 213, (2023); Liu P., Yuan W., Fu J., Jiang Z., Hayashi H., Neubig G., Pre-train, prompt, and predict: A systematic survey of prompting methods in natural language processing, ACM Comput. Surv., 55, 9, pp. 1-35, (2023); Wang S., Zhang B., Xu Y., Wu Y., Xiao B., RCL: Relation contrastive learning for zero-shot relation extraction, Findings of the Association for Computational Linguistics: NAACL 2022, pp. 2456-2468, (2022); Zhang B., Xu Y., Li J., Wang S., Ren B., Gao S., SMDM: Tackling zero-shot relation extraction with semantic max-divergence metric learning, Appl. Intell., 53, 6, pp. 6569-6584, (2023); He K., Fan H., Wu Y., Xie S., Girshick R., Momentum contrast for unsupervised visual representation learning, pp. 9729-9738, (2020); Qu M., Gao T., Xhonneux L.-P., Tang J., Few-shot relation extraction via bayesian meta-learning on relation graphs, International Conference on Machine Learning, pp. 7867-7876, (2020); Xue F., Sun A., Zhang H., Chng E.S., Gdpnet: Refining latent multi-view graph for relation extraction, 35, pp. 14194-14202; Li W., Qian T., Graph-based Model Generation for Few-Shot Relation Extraction, pp. 62-71, (2022); Zhang J., Zhu J., Yang Y., Shi W., Zhang C., Wang H., Knowledge-enhanced domain adaptation in few-shot relation classification, pp. 2183-2191, (2021); Han X., Zhu H., Yu P., Wang Z., Yao Y., Liu Z., Sun M., Fewrel: A large-scale supervised few-shot relation classification dataset with state-of-the-art evaluation, (2018); Gao T., Han X., Zhu H., Liu Z., Li P., Sun M., Zhou J., FewRel 2.0: Towards more challenging few-shot relation classification, (2019); Wu S., He Y., Enriching pre-trained language model with entity information for relation classification, pp. 2361-2364, (2019); Chen X., Zhang N., Xie X., Deng S., Yao Y., Tan C., Huang F., Si L., Chen H., Knowprompt: Knowledge-aware prompt-tuning with synergistic optimization for relation extraction, pp. 2778-2788, (2022); Joshi M., Chen D., Liu Y., Weld D.S., Zettlemoyer L., Levy O., Spanbert: Improving pre-training by representing and predicting spans, Trans. Assoc. Comput. Linguist., 8, pp. 64-77, (2020); Peters M.E., Neumann M., Logan IV R.L., Schwartz R., Joshi V., Singh S., Smith N.A., Knowledge enhanced contextual word representations, (2019); Yamada I., Asai A., Shindo H., Takeda H., Matsumoto Y., Luke: deep contextualized entity representations with entity-aware self-attention, (2020); Wei J., Wang X., Schuurmans D., Bosma M., Xia F., Chi E., Le Q.V., Zhou D., Et al., Chain-of-thought prompting elicits reasoning in large language models, Adv. Neural Inf. Process. Syst., 35, pp. 24824-24837, (2022); Fan C., Wei W., Qu X., Lu Z., Xie W., Cheng Y., Chen D., Enhancing Low-Resource Relation Representations through Multi-View Decoupling, 38, pp. 17968-17976; Han X., Zhao W., Ding N., Liu Z., Sun M., Ptr: Prompt tuning with rules for text classification, AI Open, 3, pp. 182-192, (2022); Lee D.-H., Kadakia A., Tan K., Agarwal M., Feng X., Shibuya T., Mitani R., Sekiya T., Pujara J., Ren X., Good examples make a faster learner: Simple demonstration-based learning for low-resource NER, (2021); Liu J., Shen D., Zhang Y., Dolan B., Carin L., Chen W., What makes good in-context examples for GPT-3?, (2021); Guu K., Lee K., Tung Z., Pasupat P., Chang M., Retrieval augmented language model pre-training, International Conference on Machine Learning, pp. 3929-3938, (2020); Izacard G., Lewis P., Lomeli M., Hosseini L., Petroni F., Schick T., Dwivedi-Yu J., Joulin A., Riedel S., Grave E., Few-shot learning with retrieval augmented language models, (2022); Kim T., Yoo K.M., Lee S.-G., Self-guided contrastive learning for BERT sentence representations, (2021); Carlsson F., Gyllensten A.C., Gogoulou E., Hellqvist E.Y., Sahlgren M., Semantic re-tuning with contrastive tension, (2020); Giorgi J., Nitski O., Wang B., Bader G., Declutr: Deep contrastive learning for unsupervised textual representations, (2020); Wu Z., Wang S., Gu J., Khabsa M., Sun F., Ma H., Clear: Contrastive learning for sentence representation, (2020); Hinton G.E., Srivastava N., Krizhevsky A., Sutskever I., Salakhutdinov R.R., Improving neural networks by preventing co-adaptation of feature detectors, (2012); Kurakin A., Goodfellow I.J., Bengio S., Adversarial examples in the physical world, Artificial Intelligence Safety and Security, pp. 99-112, (2018); Shen D., Zheng M., Shen Y., Qu Y., Chen W., A simple but tough-to-beat data augmentation approach for natural language understanding and generation, (2020); Gao T., Yao X., Chen D., Simcse: Simple contrastive learning of sentence embeddings, (2021); Rozsa A., Rudd E.M., Boult T.E., Adversarial diversity and hard positive generation, pp. 25-32, (2016); Hendrickx I., Kim S.N., Kozareva Z., Nakov P., Seaghdha D.O., Pado S., Pennacchiotti M., Romano L., Szpakowicz S., Semeval-2010 task 8: Multi-way classification of semantic relations between pairs of nominals, (2019); Yu D., Sun K., Cardie C., Yu D., Dialogue-based relation extraction, (2020); Zhang Y., Zhong V., Chen D., Angeli G., Manning C.D., Position-aware attention and supervised data improve slot filling, (2017); Alt C., Gabryszak A., Hennig L., TACRED revisited: A thorough evaluation of the TACRED relation extraction task, (2020); Stoica G., Platanios E.A., Poczos B., Re-tacred: Addressing shortcomings of the tacred dataset, 35, pp. 13843-13850; Soares L.B., FitzGerald N., Ling J., Kwiatkowski T., Matching the blanks: Distributional similarity for relation learning, (2019); Bai X., Chen Y., Song L., Zhang Y., Semantic representation for dialogue modeling, (2021); Li B., Ye W., Zhang J., Zhang S., Reviewing labels: Label graph network with top-k prediction set for relation extraction, 37, pp. 13051-13058; He P., Liu X., Gao J., Chen W., Deberta: Decoding-enhanced bert with disentangled attention, (2020); Wang F., Liu H., Understanding the behaviour of contrastive loss, pp. 2495-2504, (2021)</t>
  </si>
  <si>
    <t>Q. Zhou; School of Aerospace Engineering, Automation Department, Xiamen University, Xiamen, 361005, China; email: zhouqf@xmu.edu.cn</t>
  </si>
  <si>
    <t>Appl. Soft Comput.</t>
  </si>
  <si>
    <t>2-s2.0-85206812566</t>
  </si>
  <si>
    <t>Zhao J.; Li L.; Ning W.; Hao J.; Fei Y.; Huang J.</t>
  </si>
  <si>
    <t>Zhao, Jie (59548861900); Li, Lishuang (8985775300); Ning, Wanting (58884182300); Hao, Jing (58165519800); Fei, Yuxiao (59548888000); Huang, Jiayi (58900644700)</t>
  </si>
  <si>
    <t>59548861900; 8985775300; 58884182300; 58165519800; 59548888000; 58900644700</t>
  </si>
  <si>
    <t>Multiple Optimization with Retrieval-Augmented Generation and Fine-Grained Denoising for Biomedical Event Causal Relation Extraction</t>
  </si>
  <si>
    <t>Proceedings - 2024 IEEE International Conference on Bioinformatics and Biomedicine, BIBM 2024</t>
  </si>
  <si>
    <t>4040.0</t>
  </si>
  <si>
    <t>4043.0</t>
  </si>
  <si>
    <t>10.1109/BIBM62325.2024.10822677</t>
  </si>
  <si>
    <t>https://www.scopus.com/inward/record.uri?eid=2-s2.0-85217282853&amp;doi=10.1109%2fBIBM62325.2024.10822677&amp;partnerID=40&amp;md5=f27f6198c4592f176ed62ddcb3fb87f7</t>
  </si>
  <si>
    <t>Dalian University of Technology, School of Computer Science and Technology, Dalian, China</t>
  </si>
  <si>
    <t>Zhao J., Dalian University of Technology, School of Computer Science and Technology, Dalian, China; Li L., Dalian University of Technology, School of Computer Science and Technology, Dalian, China; Ning W., Dalian University of Technology, School of Computer Science and Technology, Dalian, China; Hao J., Dalian University of Technology, School of Computer Science and Technology, Dalian, China; Fei Y., Dalian University of Technology, School of Computer Science and Technology, Dalian, China; Huang J., Dalian University of Technology, School of Computer Science and Technology, Dalian, China</t>
  </si>
  <si>
    <t>Biomedical Event Causal Relation Extraction (BECRE) aims to identify event causal relations in biomedical literature. Current methods emphasize sample data optimization. First, although data augmentation tackles the low-resource issue, it only augments data from the lexical level. Second, integrating external knowledge enriches data diversity, yet fails to select targeted knowledge. Third, fine-grained sample denoising is often overlooked. To resolve the aforementioned issues, we introduce Multiple Optimization with Retrieval-Augmented Generation and Fine-Grained Denoising (MoRAG-FD) framework. It augments data from multiple perspectives, which mainly include Retrieval-Augmented Generation for semantic enrichment and targeted selection of external knowledge. Additionally, we accomplish fine-grained data denoising by assigning near-zero weights to entity pairs without syntactic dependencies in events, rather than simply filtering them based on word index distance. Experimental results show our framework outperforms current methods on Hahn-Powell's dataset and BioCause dataset. ¬© 2024 IEEE.</t>
  </si>
  <si>
    <t>biomedical event causal relation extraction; fine-grained data denoising; retrieval-augmented generation; targeted selection of external knowledge</t>
  </si>
  <si>
    <t>Data integration; Semantics; Spatio-temporal data; Biomedical event causal relation extraction; Causal relation extractions; Data de-noising; De-noising; External knowledge; Fine grained; Fine-grained data denoising; Multiple optimizations; Retrieval-augmented generation; Targeted selection of external knowledge; Data assimilation</t>
  </si>
  <si>
    <t>National Natural Science Foundation of China, NSFC, (62076048)</t>
  </si>
  <si>
    <t>This work is supported by grant from the National Natural Science Foundation of China (No.62076048).</t>
  </si>
  <si>
    <t>Hahn-Powell G., Bell D., Valenzuela-Escarcega M.A., Surdeanu M., This before that: Causal precedence in the biomedical domain, Proceedings of the 15th Workshop on Biomedical Natural Language Processing, pp. 146-155, (2016); Akkasi A., Moens M.-F., Causal relationship extraction from biomedical text using deep neural models: A comprehensive survey, Journal of biomedical informatics, 119, (2021); Liang Z., Noriega-Atala E., Morrison C., Surdeanu M., Low resource causal event detection from biomedical literature, Proceedings of the 21st Workshop on Biomedical Language Processing, pp. 252-263, (2022); Zhang B., Li L., Song D., Zhao Y., Biomedical event causal relation extraction based on a knowledge-guided hierarchical graph network, Soft Computing, 27, 22, pp. 17369-17386, (2023); Hao J., Li L., Qin X., Biomedical causal relation extraction via data augmentation and multi-source knowledge fusion, 2023 IEEE International Conference on Bioinformatics and Biomedicine (BIBM). IEEE, pp. 1112-1117, (2023); Xiong G., Jin Q., Lu Z., Zhang A., Benchmarking retrievalaugmented generation for medicine, (2024); Jin Q., Kim W., Chen Q., Comeau D.C., Yeganova L.E.A., Medcpt: Contrastive pre-trained transformers with large-scale pubmed search logs for zero-shot biomedical information retrieval, Bioinformatics, 39, 11, (2023); Bai J., Bai S., Chu Y., Cui Z., Dang K.E.A., Qwen technical report, (2023); Li W., Peng Y., Zhang M., Ding L., Hu H.E.A., Deep model fusion: A survey, (2023); Mihaila C., Ohta T., Pyysalo S., Ananiadou S., Biocause: Annotating and analysing causality in the biomedical domain, BMC bioinformatics, 14, pp. 1-18, (2013)</t>
  </si>
  <si>
    <t>L. Li; Dalian University of Technology, School of Computer Science and Technology, Dalian, China; email: lilishuang314@163.com</t>
  </si>
  <si>
    <t>Cannataro M.; Zheng H.; Gao L.; Cheng J.; de Miranda J.L.; Zumpano E.; Hu X.; Cho Y.-R.; Park T.</t>
  </si>
  <si>
    <t>Air Portugal; Centro de Recursos Naturais e Ambiente (CERENA); IEEE; IST Tecnico Lisboa; NSF; Politecnico de Portalegre</t>
  </si>
  <si>
    <t>2024 IEEE International Conference on Bioinformatics and Biomedicine, BIBM 2024</t>
  </si>
  <si>
    <t>3 December 2024 through 6 December 2024</t>
  </si>
  <si>
    <t>Lisbon</t>
  </si>
  <si>
    <t>205987.0</t>
  </si>
  <si>
    <t>979-835038622-6</t>
  </si>
  <si>
    <t>Proc. - IEEE Int. Conf. Bioinform. Biomed., BIBM</t>
  </si>
  <si>
    <t>2-s2.0-85217282853</t>
  </si>
  <si>
    <t>10.1007/978-981-99-6207-5_12</t>
  </si>
  <si>
    <t>Zhang Z.; Yang Y.; Chen B.</t>
  </si>
  <si>
    <t>Zhang, Zirui (58162269500); Yang, Yiyu (58251063100); Chen, Benhui (35179094700)</t>
  </si>
  <si>
    <t>58162269500; 58251063100; 35179094700</t>
  </si>
  <si>
    <t>A prompt tuning method based on relation graphs for few-shot relation extraction</t>
  </si>
  <si>
    <t>Neural Networks</t>
  </si>
  <si>
    <t>10.1016/j.neunet.2025.107214</t>
  </si>
  <si>
    <t>https://www.scopus.com/inward/record.uri?eid=2-s2.0-85216698989&amp;doi=10.1016%2fj.neunet.2025.107214&amp;partnerID=40&amp;md5=928604dc0b7d0511bed4bc566cf318d8</t>
  </si>
  <si>
    <t>Nanjing University of Aeronautics and Astronautics, Jiangsu, Nanjing, 210016, China; Dali University, Yunnan, Dali, 671000, China; Lijiang Normal College, Yunnan, Lijiang, 674100, China</t>
  </si>
  <si>
    <t>Zhang Z., Nanjing University of Aeronautics and Astronautics, Jiangsu, Nanjing, 210016, China; Yang Y., Dali University, Yunnan, Dali, 671000, China; Chen B., Dali University, Yunnan, Dali, 671000, China, Lijiang Normal College, Yunnan, Lijiang, 674100, China</t>
  </si>
  <si>
    <t>Prompt-tuning has recently proven effective in addressing few-shot tasks. However, task resources remain severely limited in the specific domain of few-shot relation extraction. Despite its successes, prompt-tuning faces challenges distinguishing between similar relations, resulting in occasional prediction errors. Therefore, it is critical to extract maximum information from these scarce resources. This paper introduces the integration of global relation graphs and local relation subgraphs into the prompt-tuning framework to tackle this issue and fully exploit the available resources for differentiating between various relations. A global relation graph is initially constructed to enhance feature representations of samples across different relations based on label consistency. Subsequently, this global relation graph is partitioned to create local relation subgraphs for each relation type, optimizing the feature representations of samples within the same relation. This dual approach effectively utilizes the limited supervised information and improves tuning efficiency. Additionally, recognizing the substantial semantic knowledge embedded in relation labels, this study integrates such knowledge into the prompt-tuning process. Extensive experiments conducted on four low-resource datasets validate the efficacy of the proposed method, demonstrating significant performance improvements. Notably, the model also exhibits robust performance in discerning similar relations. ¬© 2025 Elsevier Ltd</t>
  </si>
  <si>
    <t>Few-shot; Knowledge graph; Prompt tuning; Relation extraction; Relation graph</t>
  </si>
  <si>
    <t>Feature representation; Few-shot; Knowledge graphs; Prediction errors; Prompt tuning; Relation extraction; Relation graph; Scarce resources; Subgraphs; Tuning method; aged; article; controlled study; human; pharmacokinetics; prediction error; Knowledge graph</t>
  </si>
  <si>
    <t>Alt C., Gabryszak A., Hennig L., TACRED revisited: A thorough evaluation of the TACRED relation extraction task, (2020); Ben-David E., Oved N., Reichart R., Pada: A prompt-based autoregressive approach for adaptation to unseen domains, (2021); Brown T., Mann B., Ryder N., Subbiah M., Kaplan J.D., Dhariwal P., Et al., Language models are few-shot learners, Advances in Neural Information Processing Systems, 33, pp. 1877-1901, (2020); Chen X., Xie X., Zhang N., Yan J., Deng S., Tan C., Et al., AdaPrompt: Adaptive prompt-based finetuning for relation extraction, (2021); Chen X., Zhang N., Xie X., Deng S., Yao Y., Tan C., Et al., (2022); Devlin J., Chang M.W., Lee K., Toutanova K., Bert: Pre-training of deep bidirectional transformers for language understanding, (2018); Feng J., Wei Q., Cui J., Prototypical networks relation classification model based on entity convolution, Computer Speech and Language, 77, (2023); Gao T., Fisch A., Chen D., Making pre-trained language models better few-shot learners, (2020); Gao T., Han X., Liu Z., Sun M., 33, (2019); Han X., Zhao W., Ding N., Liu Z., Sun M., Ptr: Prompt tuning with rules for text classification, AI Open, 3, pp. 182-192, (2022); Han X., Zhu H., Yu P., Wang Z., Yao Y., Liu Z., Et al., FewRel: A large-scale supervised few-shot relation classification dataset with state-of-the-art evaluation, (2018); He K., Huang Y., Mao R., Gong T., Li C., Cambria E., Virtual prompt pre-training for prototype-based few-shot relation extraction, Expert Systems with Applications, 213, (2023); He H., Niu H., Feng J., Wang Q., Wei Q., A prototype network enhanced relation semantic representation for few-shot relation extraction, Human-Centric Intelligent Systems, 3, 1, pp. 1-12, (2023); Hendrickx I., Kim S.N., Kozareva Z., Nakov P., Seaghdha D.O., Pado S., Et al., Semeval-2010 task 8: Multi-way classification of semantic relations between pairs of nominals, (2019); Joshi M., Chen D., Liu Y., Weld D.S., Zettlemoyer L., Levy O., Spanbert: Improving pre-training by representing and predicting spans, Transactions of the Association for Computational Linguistics, 8, pp. 64-77, (2020); Lester B., Al-Rfou R., Constant N., The power of scale for parameter-efficient prompt tuning, (2021); Lewis M., Liu Y., Goyal N., Ghazvininejad M., Mohamed A., Levy O., Et al., Bart: Denoising sequence-to-sequence pre-training for natural language generation, translation, and comprehension, (2019); Li X., Liu C., Yu J., Xu T., Zhao M., Liu H., Et al., Prototypical attention network for few-shot relation classification with entity-aware embedding module, Applied Intelligence: The International Journal of Artificial Intelligence, Neural Networks, and Complex Problem-Solving Technologies, 53, 9, pp. 10978-10994, (2023); Liu Y., Ott M., Goyal N., Du J., Joshi M., Chen D., Et al., Roberta: A robustly optimized bert pretraining approach, (2019); Liu P., Yuan W., Fu J., Jiang Z., Hayashi H., Neubig G., Pre-train, prompt, and predict: A systematic survey of prompting methods in natural language processing, ACM Computing Surveys, 55, 9, pp. 1-35, (2023); Lu Y., Bartolo M., Moore A., Riedel S., Stenetorp P., Fantastically ordered prompts and where to find them: Overcoming few-shot prompt order sensitivity, (2021); Paolini G., Athiwaratkun B., Krone J., Ma J., Achille A., Anubhai R., Et al., Structured prediction as translation between augmented natural languages, (2021); Peters M.E., Neumann M., Logan R.L., Schwartz R., Joshi V., Singh S., Et al., Knowledge enhanced contextual word representations, (2019); Raffel C., Shazeer N., Roberts A., Lee K., Narang S., Matena M., Et al., Exploring the limits of transfer learning with a unified text-to-text transformer, Journal of Machine Learning Research, 21, 1, pp. 5485-5551, (2020); Reynolds L., (2021); Scao T.L., Rush A.M., How many data points is a prompt worth?, (2021); Schick T., Schutze H., Exploiting cloze questions for few shot text classification and natural language inference, (2020); Schick T., Schutze H., It's not just size that matters: Small language models are also few-shot learners, (2020); Snell J., Swersky K., Zemel R., Prototypical networks for few-shot learning, Advances in Neural Information Processing Systems, 30, (2017); Soares L.B., Fitzgerald N., Ling J., Kwiatkowski T., Matching the blanks: distributional similarity for relation learning, (2019); Stoica G., Platanios E.A., 35, (2021); Sui D., Zeng X., Chen Y., Liu K., Zhao J., Joint entity and relation extraction with set prediction networks, IEEE Transactions on Neural Networks and Learning Systems, (2023); Xu X., Chen X., Zhang N., Xie X., Chen X., Chen H., Towards realistic low-resource relation extraction: A benchmark with empirical baseline study, (2022); Xue F., Sun A., Zhang H., Chng E., 35, (2021); Yamada I., Asai A., Shindo H., Takeda H., Matsumoto Y., Luke: deep contextualized entity representations with entity-aware self-attention, (2020); Ye H., Zhang N., Deng S., Chen X., Chen H., Xiong F., Et al., (2022); Zhang Y., Zhong V., Chen D., Angeli G., Manning C., (2017); Zhenzhen L., Zhang Y., Nie J.Y., Li D., (2022); Zhou W., Chen M., An improved baseline for sentence-level relation extraction, (2021)</t>
  </si>
  <si>
    <t>Z. Zhang; Nanjing University of Aeronautics and Astronautics, Nanjing, Jiangsu, 210016, China; email: zhangzirui@nuaa.edu.cn</t>
  </si>
  <si>
    <t>NNETE</t>
  </si>
  <si>
    <t>Neural Netw.</t>
  </si>
  <si>
    <t>2-s2.0-85216698989</t>
  </si>
  <si>
    <t>Das S.S.S.; Zhang R.H.; Shi P.; Yin W.; Zhang R.</t>
  </si>
  <si>
    <t>Das, Sarkar Snigdha Sarathi (57219636271); Zhang, Ranran Haoran (59158218400); Shi, Peng (57211717851); Yin, Wenpeng (55418415800); Zhang, Rui (58993856000)</t>
  </si>
  <si>
    <t>57219636271; 59158218400; 57211717851; 55418415800; 58993856000</t>
  </si>
  <si>
    <t>Unified Low-Resource Sequence Labeling by Sample-Aware Dynamic Sparse Finetuning</t>
  </si>
  <si>
    <t>6998.0</t>
  </si>
  <si>
    <t>7010.0</t>
  </si>
  <si>
    <t>10.18653/v1/2023.emnlp-main.433</t>
  </si>
  <si>
    <t>https://www.scopus.com/inward/record.uri?eid=2-s2.0-85184828173&amp;doi=10.18653%2fv1%2f2023.emnlp-main.433&amp;partnerID=40&amp;md5=3499ad36c303c20f69ea80a82064897e</t>
  </si>
  <si>
    <t>Pennsylvania State University, United States; University of Waterloo, Canada</t>
  </si>
  <si>
    <t>Das S.S.S., Pennsylvania State University, United States; Zhang R.H., Pennsylvania State University, United States; Shi P., University of Waterloo, Canada; Yin W., Pennsylvania State University, United States; Zhang R., Pennsylvania State University, United States</t>
  </si>
  <si>
    <t>Unified Sequence Labeling articulates different sequence labeling tasks such as Named Entity Recognition, Relation Extraction, Semantic Role Labeling, etc. in a generalized sequence-to-sequence format. Unfortunately, this requires formatting different tasks into specialized augmented formats which are unfamiliar to the base pretrained language model (PLMs). This necessitates model fine-tuning and significantly bounds its usefulness in data-limited settings where fine-tuning large models cannot properly generalize to the target format. To address this challenge and leverage PLM knowledge effectively, we propose FISH-DIP, a sample-aware dynamic sparse finetuning strategy. It selectively finetunes a fraction of parameters informed by highly regressing examples during the fine-tuning process. By leveraging the dynamism of sparsity, our approach mitigates the impact of well-learned samples and prioritizes underperforming instances for improvement in generalization. Across five tasks of sequence labeling, we demonstrate that FISH-DIP can smoothly optimize the model in low-resource settings, offering up to 40% performance improvements over full fine-tuning depending on target evaluation settings. Also, compared to in-context learning and other parameter-efficient fine-tuning (PEFT) approaches, FISH-DIP performs comparably or better, notably in extreme low-resource settings. The source code of FISH-DIP will be available at: https://github.com/psunlpgroup/FISH-DIP. ¬© 2023 Association for Computational Linguistics.</t>
  </si>
  <si>
    <t>Computational linguistics; Knowledge management; Semantics; Fine tuning; Generalisation; Language model; Large models; Low-resource settings; Model knowledge; Named entity recognition; Relation extraction; Semantic role labeling; Sequence Labeling; Fish</t>
  </si>
  <si>
    <t>Cisco Systems</t>
  </si>
  <si>
    <t>We would like to thank Cisco Systems for their generous support through the Cisco Research Award for supporting this work. We would also like to thank Nan Zhang, Yusen Zhang, and Vipul Gupta for their valuable feedback and suggestions.</t>
  </si>
  <si>
    <t>Athiwaratkun Ben, dos Santos Cicero Nogueira, Krone Jason, Xiang Bing, Augmented natural language for generative sequence labeling, (2020); Bao Yujia, Wu Menghua, Chang Shiyu, Barzilay Regina, Few-shot text classification with distributional signatures, (2019); Brown Tom, Mann Benjamin, Ryder Nick, Subbiah Melanie, Kaplan Jared D, Dhariwal Prafulla, Neelakantan Arvind, Shyam Pranav, Sastry Girish, Askell Amanda, Et al., Language models are few-shot learners, Advances in neural information processing systems, 33, pp. 1877-1901, (2020); Carreras Xavier, Marquez Lluis, Introduction to the conll-2005 shared task: Semantic role labeling, Proceedings of the ninth conference on computational natural language learning (CoNLL-2005), pp. 152-164, (2005); Chen Jiawei, Lu Yaojie, Lin Hongyu, Lou Jie, Jia Wei, Dai Dai, Wu Hua, Cao Boxi, Han Xianpei, Sun Le, Learning in-context learning for named entity recognition, (2023); Chen Wenhu, Large language models are few (1)-shot table reasoners, (2022); Cui Leyang, Wu Yu, Liu Jian, Yang Sen, Zhang Yue, Template-based named entity recognition using bart, (2021); Snigdha Sarathi Das Sarkar, Katiyar Arzoo, Passonneau Rebecca J, Zhang Rui, Container: Few-shot named entity recognition via contrastive learning, (2021); Dettmers Tim, Pagnoni Artidoro, Holtzman Ari, Zettlemoyer Luke, Qlora: Efficient finetuning of quantized llms, (2023); Dong Qingxiu, Li Lei, Dai Damai, Zheng Ce, Wu Zhiyong, Chang Baobao, Sun Xu, Xu Jingjing, Sui Zhifang, A survey for in-context learning, (2022); Eric Mihail, Goel Rahul, Paul Shachi, Kumar Adarsh, Sethi Abhishek, Ku Peter, Goyal Anuj Kumar, Agarwal San-chit, Gao Shuyang, Hakkani-Tur Dilek, Multiwoz 2.1: A consolidated multi-domain dialogue dataset with state corrections and state tracking baselines, (2019); Gao Tianyu, Han Xu, Zhu Hao, Liu Zhiyuan, Li Peng, Sun Maosong, Zhou Jie, Fewrel 2.0: Towards more challenging few-shot relation classification, (2019); Geng Ruiying, Li Binhua, Li Yongbin, Zhu Xiaodan, Jian Ping, Sun Jian, Induction networks for few-shot text classification, (2019); Han Jiale, Cheng Bo, Lu Wei, Exploring task difficulty for few-shot relation extraction, (2021); Han Xu, Zhu Hao, Yu Pengfei, Wang Ziyun, Yao Yuan, Liu Zhiyuan, Sun Maosong, Fewrel: A large-scale supervised few-shot relation classification dataset with state-of-the-art evaluation, (2018); Houlsby Neil, Giurgiu Andrei, Jastrzebski Stanislaw, Morrone Bruna, De Laroussilhe Quentin, Gesmundo Andrea, Attariyan Mona, Gelly Sylvain, Parameter-efficient transfer learning for nlp, International Conference on Machine Learning, pp. 2790-2799, (2019); Hu Edward J, Shen Yelong, Wallis Phillip, Allen-Zhu Zeyuan, Li Yuanzhi, Wang Shean, Wang Lu, Chen Weizhu, Lora: Low-rank adaptation of large language models, (2021); Hu Yushi, Lee Chia-Hsuan, Xie Tianbao, Yu Tao, Smith Noah A, Ostendorf Mari, In-context learning for few-shot dialogue state tracking, (2022); Huang Yucheng, He Kai, Wang Yige, Zhang Xianli, Gong Tieliang, Mao Rui, Li Chen, Copner: Contrastive learning with prompt guiding for few-shot named entity recognition, Proceedings of the 29th International conference on computational linguistics, pp. 2515-2527, (2022); Ji Bin, Li Shasha, Gan Shaoduo, Yu Jie, Ma Jun, Liu Huijun, Few-shot named entity recognition with entity-level prototypical network enhanced by dispersedly distributed prototypes, (2022); Mahabadi Rabeeh Karimi, Henderson James, Ruder Sebastian, Compacter: Efficient low-rank hypercomplex adapter layers, Advances in Neural Information Processing Systems, 34, pp. 1022-1035, (2021); Lee Chia-Hsuan, Cheng Hao, Ostendorf Mari, Dialogue state tracking with a language model using schema-driven prompting, (2021); Li Bo, Fang Gexiang, Yang Yang, Wang Quansen, Ye Wei, Zhao Wen, Zhang Shikun, Evaluating chatgpt's information extraction capabilities: An assessment of performance, explainability, calibration, and faithfulness, (2023); Li Xiang Lisa, Liang Percy, Prefix-tuning: Optimizing continuous prompts for generation, (2021); Liu Haokun, Tam Derek, Muqeeth Mohammed, Mohta Jay, Huang Tenghao, Bansal Mohit, Raffel Colin A, Few-shot parameter-efficient fine-tuning is better and cheaper than in-context learning, Advances in Neural Information Processing Systems, 35, pp. 1950-1965, (2022); Liu Tianyu, Jiang Yuchen, Monath Nicholas, Cotterell Ryan, Sachan Mrinmaya, Autoregressive structured prediction with language models, (2022); Lu Yaojie, Liu Qing, Dai Dai, Xiao Xinyan, Lin Hongyu, Han Xianpei, Sun Le, Wu Hua, Unified structure generation for universal information extraction, (2022); Ma Jie, Ballesteros Miguel, Doss Srikanth, Anubhai Rishita, Mallya Sunil, Al-Onaizan Yaser, Roth Dan, Label semantics for few shot named entity recognition, (2022); Ming Hong, Yang Jiaoyun, Jiang Lili, Pan Yan, An Ning, Few-shot nested named entity recognition, (2022); Needleman Saul B, Wunsch Christian D, A general method applicable to the search for similarities in the amino acid sequence of two proteins, Journal of molecular biology, 48, 3, pp. 443-453, (1970); Paolini Giovanni, Athiwaratkun Ben, Krone Jason, Ma Jie, Achille Alessandro, Anubhai Rishita, dos Santos Cicero Nogueira, Xiang Bing, Soatto Stefano, Structured prediction as translation between augmented natural languages, (2021); Qu Meng, Gao Tianyu, Xhonneux Louis-Pascal, Tang Jian, Few-shot relation extraction via bayesian meta-learning on relation graphs, International conference on machine learning, pp. 7867-7876, (2020); Roth Dan, Yih Wen-tau, A linear programming formulation for global inference in natural language tasks, (2004); Sang Erik F, De Meulder Fien, Introduction to the conll-2003 shared task: Language-independent named entity recognition, (2003); Shin Jamin, Yu Hangyeol, Moon Hyeongdon, Madotto Andrea, Park Juneyoung, Dialogue summaries as dialogue states (ds2), template-guided summarization for few-shot dialogue state tracking, (2022); Singh Sidak Pal, Alistarh Dan, Woodfisher: Efficient second-order approximation for neural network compression, Advances in Neural Information Processing Systems, 33, pp. 18098-18109, (2020); Snell Jake, Swersky Kevin, Zemel Richard, Prototypical networks for few-shot learning, Advances in neural information processing systems, (2017); Soares Livio Baldini, FitzGerald Nicholas, Ling Jeffrey, Kwiatkowski Tom, Matching the blanks: Distributional similarity for relation learning, (2019); Sung Yi-Lin, Nair Varun, Raffel Colin A, Training neural networks with fixed sparse masks, Advances in Neural Information Processing Systems, 34, pp. 24193-24205, (2021); Theis Lucas, Korshunova Iryna, Tejani Alykhan, Huszar Ferenc, Faster gaze prediction with dense networks and fisher pruning, (2018); Tong Meihan, Wang Shuai, Xu Bin, Cao Yixin, Liu Minghui, Hou Lei, Li Juanzi, Learning from miscellaneous other-class words for few-shot named entity recognition, (2021); Vinyals Oriol, Blundell Charles, Lillicrap Timothy, Wierstra Daan, Et al., Matching networks for one shot learning, Advances in neural information processing systems, (2016); Wadden David, Wennberg Ulme, Luan Yi, Hajishirzi Hannaneh, Entity, relation, and event extraction with contextualized span representations, (2019); Walker Christopher, Strassel Stephanie, Medero Julie, Maeda Kazuaki, Ace 2005 multilingual training corpus, Linguistic Data Consortium, Philadelphia, 57, (2006); Weischedel Ralph, Palmer Martha, Marcus Mitchell, Hovy Eduard, Pradhan Sameer, Ramshaw Lance, Xue Nianwen, Taylor Ann, Kaufman Jeff, Franchini Michelle, Et al., Ontonotes release 5.0 ldc2013t19, (2013); Wu Chien-Sheng, Hoi Steven, Xiong Caiming, Improving limited labeled dialogue state tracking with self-supervision, (2020); Yang Yi, Katiyar Arzoo, Simple and effective few-shot named entity recognition with structured nearest neighbor learning, (2020)</t>
  </si>
  <si>
    <t>2-s2.0-85184828173</t>
  </si>
  <si>
    <t>Ma L.; Chen J.; Huang J.; Yao Y.; Zhong N.</t>
  </si>
  <si>
    <t>Ma, Lianfang (57208737514); Chen, Jianhui (36623396600); Huang, Jiajin (8961539200); Yao, Yiyu (57989974600); Zhong, Ning (7102138219)</t>
  </si>
  <si>
    <t>57208737514; 36623396600; 8961539200; 57989974600; 7102138219</t>
  </si>
  <si>
    <t>Event Causal Relation Extraction in Brain Connectomics: A Model Utilizing Weighted Joint Constrained Learning</t>
  </si>
  <si>
    <t>IEEE Transactions on Emerging Topics in Computational Intelligence</t>
  </si>
  <si>
    <t>10.1109/TETCI.2024.3462173</t>
  </si>
  <si>
    <t>https://www.scopus.com/inward/record.uri?eid=2-s2.0-85206975368&amp;doi=10.1109%2fTETCI.2024.3462173&amp;partnerID=40&amp;md5=2a5c03aa52b05a6cf590b95212f5b4d3</t>
  </si>
  <si>
    <t>Beijing University of Technology, School of Information Science and Technology, Beijing, 100124, China; Beijing International Collaboration Base on Brain Informatics and Wisdom Services, Beijing, 100124, China; Ministry of Education, Beijing International Collaboration Base on Brain Informatics and Wisdom Services, Engineering Research Center of Intelligent Perception and Autonomous Control, Ministry of Education, Engineering Research Center of Digital Community, Beijing, 100124, China; University of Regina, Department of Computer Science, Regina, S4S 0A2, SK, Canada; Maebashi Institute of Technology, Faculty of Engineering, Gunma, Maebashi, 371-0816, Japan</t>
  </si>
  <si>
    <t>Ma L., Beijing University of Technology, School of Information Science and Technology, Beijing, 100124, China, Beijing International Collaboration Base on Brain Informatics and Wisdom Services, Beijing, 100124, China; Chen J., Beijing University of Technology, School of Information Science and Technology, Beijing, 100124, China, Ministry of Education, Beijing International Collaboration Base on Brain Informatics and Wisdom Services, Engineering Research Center of Intelligent Perception and Autonomous Control, Ministry of Education, Engineering Research Center of Digital Community, Beijing, 100124, China; Huang J., Beijing University of Technology, School of Information Science and Technology, Beijing, 100124, China, Beijing International Collaboration Base on Brain Informatics and Wisdom Services, Beijing, 100124, China; Yao Y., University of Regina, Department of Computer Science, Regina, S4S 0A2, SK, Canada; Zhong N., Beijing International Collaboration Base on Brain Informatics and Wisdom Services, Beijing, 100124, China, Maebashi Institute of Technology, Faculty of Engineering, Gunma, Maebashi, 371-0816, Japan</t>
  </si>
  <si>
    <t>Brain science research has entered the era of connectomics, characterized by a significant increase in published articles investigating brain structure and functional connections. Automatically and accurately extracting scientific evidence from these articles has become an urgent concern. Unlike early brain mechanism studies at the functional area level, brain connectomics studies feature more intricate experimental designs and yield complex findings. Traditional neuroimaging text mining techniques, operating at the term level, are insufficient for effectively extracting scientific evidence from brain connectomics articles. This paper addresses a key challenge in event-level neuroimaging text mining, i.e., event causal relation extraction in brain connectomics. We introduce a novel model named Brain Connectomics Event Relation Miner (BCERM), leveraging weighted joint constrained learning. By integrating a bidirectional long short-term memory (BiLSTM) network with a multi-layer perceptron (MLP), we develop a lightweight model for jointly extracting multiple event causal relations from brain connectomics articles. Given the scarcity of annotated brain connectomics corpora, we propose a weighted joint constrained learning framework. This framework integrates double consistency constraints, encompassing common sense and domain constraints, and combines them with adaptive weight learning to enhance the model's few-shot learning capability. Experimental evaluations on a real brain connectomics article dataset demonstrate that our method achieves an F-score of 70%, outperforming state-of-the-art event relation extraction methods in the low-resource environment.  ¬© 2017 IEEE.</t>
  </si>
  <si>
    <t>Brain connectomics; constrained learning; event causal relation extraction; neuroimaging text mining</t>
  </si>
  <si>
    <t>Adversarial machine learning; Contrastive Learning; Federated learning; Functional neuroimaging; Long short-term memory; Multilayer neural networks; Brain connectomic; Brain science; Causal relation extractions; Connectomics; Constrained learning; Event causal relation extraction; Neuroimaging text mining; Science research; Scientific evidence; Text-mining; Zero-shot learning</t>
  </si>
  <si>
    <t>Natural Science Foundation of Beijing Municipality, (4222022); Natural Science Foundation of Beijing Municipality</t>
  </si>
  <si>
    <t>Received 5 May 2024; revised 6 August 2024; accepted 24 August 2024. This work was supported in part by Beijing Natural Science Foundation under Grant 4222022. (Lianfang Ma and Jianhui Chen contributed equally to this work.) (Corresponding authors: Ning Zhong; Yiyu Yao.) Lianfang Ma and Jiajin Huang are with the School of Information Science and Technology, Beijing University of Technology, Beijing 100124, China, and also with Beijing International Collaboration Base on Brain Informatics and Wisdom Services, Beijing 100124, China.</t>
  </si>
  <si>
    <t>Bullmore E., Sporns O., Complex brain networks: Graph theoretical analysis of structural and functional systems, Nat. Rev. Neurosci., 10, 3, pp. 186-198, (2009); Haslbeck F.B., Et al., Creative music therapy to promote brain function and brain structure in preterm infants: A randomized controlled pilot study, NeuroImage: Clin., 25, (2020); Li M., Wang Y., Yang C., Lu Z., Chen J., Automatic diagnosis of depression based on facial expression information and deep convolutional neural network, IEEE Trans. Comput. Social Syst., 11, 5, pp. 5728-5739, (2024); Zhu Q., Yang J., Wang S., Zhang D., Zhang Z., Multi-modal noneuclidean brain network analysis with community detection and convolutional autoencoder, IEEE Trans. Emerg. Top. Comput. Intell., 7, 2, pp. 436-446, (2023); Beam E., Et al., A data-driven framework for mapping domains of human neurobiology, Nat. Neurosci., 24, pp. 1733-1744, (2021); Kuai H., Et al., Multi-source brain computing with systematic fusion for smart health, Inf. Fusion, 75, pp. 150-167, (2021); Kuai H., Tao X., Zhong N., Thinking space generation using contextenhanced knowledge fusion for systematic brain computing, Web Intell., 21, 4, pp. 345-361, (2023); Yarkoni T., Et al., Large-scale automated synthesis of human functional neuroimaging data, Nat. Methods, 8, pp. 665-670, (2011); Abacha B.A., Herrera De Seco A.G., Wang K., Long L.R., Antani S., Demner-Fushman D., Named entity recognition in functional neuroimaging literature, Proc. IEEE Int. Conf. Bioinf. Biomed., pp. 2218-2220, (2017); Zhu H., Et al., Species classification for neuroscience literature based on span of interest using sequence-to-sequence learning model, Front. Hum. Neurosci., 14, (2020); Bellace M., Et al., An fMRI study of the activation of the hippocampus by emotional memory, Int. J. Neurosci., 123, 2, pp. 121-127, (2013); Sun C., Et al., Mutual information-based brain network analysis in poststroke patients with different levels of depression, Front. Hum. Neurosci., 12, (2018); Riedel M.C., Et al., Automated, efficient, and accelerated knowledge modeling of the cognitive neuroimaging literature using the athena toolkit, Front. Neurosci., 13, (2019); Lin S., Et al., AT-NeuroEAE: A joint extraction model of events with attributes for research sharing-oriented neuroimaging provenance construction, Front. Neurosci., 15, (2022); Zhuang L., Fei H., Hu P., Knowledge-enhanced event relation extraction via event ontology prompt, Inf. Fusion, 100, (2023); Akkasi A., Moens M.-F., Causal relationship extraction from biomedical text using deep neural models: A comprehensive survey, J. Biomed. Informat., 119, (2021); Zhang B., Et al., Biomedical event causal relation extraction based on a knowledge-guided hierarchical graph network, Soft Comput., 27, 22, pp. 17369-17386, (2023); Weichwald S., Peters J., Causality in cognitive neuroscience: Concepts, challenges, and distributional robustness, J. Cogn. Neurosci., 33, pp. 226-247, (2020); Siddiqi S.H., Et al., Causal mapping of human brain function, Nature Rev. Neurosci., 23, pp. 361-375, (2022); Zhou X., Et al., Extracting biomedical relation from cross-sentence text using syntactic dependency graph attention network, J. Biomed. Inform., 144, (2023); VanSchaik J.T., Et al., Using transfer learning-based causality extraction to mine latent factors for Sjogren's syndrome from biomedical literature, Heliyon, 9, 9, (2023); Alhazmi F.H., Beaton D., Abdi H., Semantically defined subdomains of functional neuroimaging literature and their corresponding brain regions, Hum. Brain Mapping, 39, pp. 2764-2776, (2018); Lyu S., Cheng J., Wu X., Cui L., Chen H., Miao C., Auxiliary learning for relation extraction, IEEE Trans. Emerg. Top. Comput. Intell., 6, 1, pp. 182-191, (2022); Lyu S., Zhou X., Wu X., Chen Q., Chen H., Self-attention over tree for relation extraction with data-efficiency and computational efficiency, IEEE Trans. Emerg. Top. Comput. Intell., 8, 2, pp. 1253-1263, (2024); Zhang N., Et al., Attention-based capsule networks with dynamic routing for relation extraction, Proc. Conf. Empirical Methods Natural Lang. Process., pp. 986-992, (2018); Zhang S., Huang L., Ning Q., Extracting temporal event relation with syntactic-guided temporal graph transformer, Proc. Findings Assoc. Comput. Linguistics: NAACL, pp. 379-390, (2022); Fan C., Et al., Towards event-level causal relation identification, Proc. 45th Int. ACM SIGIR Conf. Res. Develop. Inf. Retrieval, pp. 1828-1833, (2022); Man H., Et al., Selecting optimal context sentences for event-event relation extraction, Proc. AAAI Conf. Artif. Intell., pp. 11058-11066, (2022); El-Allaly E.D., Et al., An attentive joint model with transformer-based weighted graph convolutional network for extracting adverse drug event relation, J. Biomed. Inform., 125, (2022); Liang Z., Et al., Low resource causal event detection from biomedical literature, Proc. Workshop Biomed. Natural Lang. Process., pp. 252-263, (2022); Feng H., Et al., Joint constrained learning with boundary-adjusting for emotion-cause pair extraction, Proc. 61st Annu. Meeting Assoc. Comput. Linguistics (Volume 1: Long Papers), pp. 1118-1131, (2023); Zhong H., Et al., Developing a brain informatics provenance model, Proc. Brain Health Inform., pp. 439-449, (2013); Yan J., Et al., Neuroimaging-itm: A text mining pipeline combining deep adversarial learning with interaction based topicmodeling for enabling the fair neuroimaging study, Neuroinformatics, 20, pp. 701-726, (2022); Whitesell J.D., Et al., Regional, layer, and cell-type-specific connectivity of the mouse default mode network, Neuron, 109, 3, pp. 545-559, (2021); Yao Y., The Dao of three-way decision and three-world thinking, Int. J. Approx. Reasoning, 162, (2023); Yao Y., Tri-level thinking: Models of three-way decision, Int. J. Mach. Learn. Cybern., 11, pp. 947-959, (2020); Lee J., Et al., BioBERT: A pre-trained biomedical language representation model for biomedical text mining, Bioinformatics, 36, 4, pp. 1234-1240, (2020); Wang H., Et al., Joint constrained learning for event-event relation extraction, Proc. Conf. Empirical Methods Natural Lang. Process., pp. 696-706, (2020); Chen Z., Et al., GradNorm: Gradient normalization for adaptive loss balancing in deep multitask networks, Proc. 35th Int. Conf. Mach. Learn., pp. 793-802, (2018); Maumet C., Et al., Sharing brain mapping statistical results with the neuroimaging data model, Sci. Data, 3, 1, (2016); Turner J.A., Laird A.R., The cognitive paradigm ontology: Design and application, Neuroinformatics, 10, 1, pp. 57-66, (2012); Bada M., Et al., An overview of the craft concept annotation guidelines, Proc. 4th Linguistic Annotation Workshop, pp. 207-211, (2010); Yang X., Et al., Europe PMC annotated full-text corpus for gene/proteins, diseases and organisms, Sci. Data, 10, 1, (2023); Zhou P., Et al., Attention-based bidirectional long short-term memory networks for relation classification, Proc. 54th Annu. Meeting Assoc. Comput. Linguistics, pp. 207-212, (2016); Liu C., Et al., Convolution neural network for relation extraction, Proc. Adv. Data Mining Appl. 9th Int. Conf., pp. 231-242, (2013); Zhang N., Et al., Long-tail relation extraction via knowledge graph embeddings and graph convolution networks, Proc. North Amer. Chapter Assoc. Comput. Linguistics, pp. 3016-3025, (2019); Devlin J., Et al., BERT: Pre-training of deep bidirectional transformers for language understanding, Proc. 2019 Conf. North Amer. Chapter Assoc. Comput. Linguistics: Hum. Lang. Technol., pp. 4171-4186, (2019); Zhu Y., Et al., Aligning books and movies: Towards story-like visual explanations by watching movies and reading books, Proc. IEEE Int. Conf. Comput. Vis., pp. 19-27, (2015); Huang Y., Jia W., Exploring sentence community for document-level event extraction, Proc. Findings Assoc. Comput. Linguistics: EMNLP, pp. 340-351, (2021)</t>
  </si>
  <si>
    <t>2471285X</t>
  </si>
  <si>
    <t>IEEE Trans. Emerging Topics Comp. Intell.</t>
  </si>
  <si>
    <t>2-s2.0-85206975368</t>
  </si>
  <si>
    <t>Moscato V.; Napolano G.; Postiglione M.; Sperl√¨ G.</t>
  </si>
  <si>
    <t>Moscato, Vincenzo (8300789300); Napolano, Giuseppe (59167169300); Postiglione, Marco (57219928964); Sperl√¨, Giancarlo (55510822500)</t>
  </si>
  <si>
    <t>8300789300; 59167169300; 57219928964; 55510822500</t>
  </si>
  <si>
    <t>Multi-task learning for few-shot biomedical relation extraction</t>
  </si>
  <si>
    <t>Artificial Intelligence Review</t>
  </si>
  <si>
    <t>13743.0</t>
  </si>
  <si>
    <t>13763.0</t>
  </si>
  <si>
    <t>10.1007/s10462-023-10484-6</t>
  </si>
  <si>
    <t>https://www.scopus.com/inward/record.uri?eid=2-s2.0-85153070355&amp;doi=10.1007%2fs10462-023-10484-6&amp;partnerID=40&amp;md5=d3ba37dfe6da8fd6e01bbb902e893bc3</t>
  </si>
  <si>
    <t>Department of Electrical and Information Technology, University of Naples Federico II, Via Claudio 21, Naples, 80125, Italy; CINI Consorzio Interuniversitario Nazionale per l‚ÄôInformatica, Rome, Italy</t>
  </si>
  <si>
    <t>Moscato V., Department of Electrical and Information Technology, University of Naples Federico II, Via Claudio 21, Naples, 80125, Italy, CINI Consorzio Interuniversitario Nazionale per l‚ÄôInformatica, Rome, Italy; Napolano G., Department of Electrical and Information Technology, University of Naples Federico II, Via Claudio 21, Naples, 80125, Italy; Postiglione M., Department of Electrical and Information Technology, University of Naples Federico II, Via Claudio 21, Naples, 80125, Italy; Sperl√¨ G., Department of Electrical and Information Technology, University of Naples Federico II, Via Claudio 21, Naples, 80125, Italy, CINI Consorzio Interuniversitario Nazionale per l‚ÄôInformatica, Rome, Italy</t>
  </si>
  <si>
    <t>Artificial intelligence (AI) has advanced rapidly, but it has limited impact on biomedical text understanding due to a lack of annotated datasets (a.k.a. few-shot learning). Multi-task learning, which uses data from multiple datasets and tasks with related syntax and semantics, has potential to address this issue. However, the effectiveness of this approach heavily relies on the quality of the available data and its transferability between tasks. In this paper, we propose a framework, built upon a state-of-the-art multi-task method (i.e. MT-DNN), that leverages different publicly available biomedical datasets to enhance relation extraction performance. Our model employs a transformer-based architecture with shared encoding layers across multiple tasks, and task-specific classification layers to generate task-specific representations. To further improve performance, we utilize a knowledge distillation technique. In our experiments, we assess the impact of incorporating biomedical datasets in a multi-task learning setting and demonstrate that it consistently outperforms state-of-the-art few-shot learning methods in cases of limited data. This results in significant improvement across most datasets and few-shot scenarios, particularly in terms of recall scores. ¬© 2023, The Author(s).</t>
  </si>
  <si>
    <t>Biomedical NLP; Data-centric AI; Deep learning; Low-resource learning; Transformers</t>
  </si>
  <si>
    <t>Deep learning; Distillation; Extraction; Learning systems; Biomedical NLP; Data centric; Data-centric artificial intelligence; Deep learning; Low-resource learning; Multiple tasks; Multitask learning; Relation extraction; State of the art; Transformer; Semantics</t>
  </si>
  <si>
    <t>PNRR MUR, (PE0000013-FAIR)</t>
  </si>
  <si>
    <t xml:space="preserve">We acknowledge financial support from the PNRR MUR project PE0000013-FAIR. </t>
  </si>
  <si>
    <t>Afradi A., Ebrahimabadi A., Comparison of artificial neural networks (ANN), support vector machine (SVM) and gene expression programming (gep) approaches for predicting tbm penetration rate, SN Appl Sci, 2, pp. 1-16, (2020); Afradi A., Ebrahimabadi A., Prediction of TBM penetration rate using the imperialist competitive algorithm (ICA) and quantum fuzzy logic, Innov Infrastruct Solut, 6, 2, (2021); Afradi A., Ebrahimabadi A., Hallajian T., Prediction of tunnel boring machine penetration rate using ant colony optimization, bee colony optimization and the particle swarm optimization, case study: Sabzkooh water conveyance tunnel, Mining Miner Depos, 14, 2, pp. 75-84, (2020); Afradi A., Ebrahimabadi A., Hallajian T., Prediction of TBM penetration rate using fuzzy logic, particle swarm optimization and harmony search algorithm, Geotech Geol Eng, 8, pp. 1-24, (2021); Alimova I., Tutubalina E., Multiple features for clinical relation extraction: a machine learning approach, J Biomed Inform, 103, (2020); Alonso H.M., Plank B., When is multitask learning effective? Semantic sequence prediction under varying data conditions, Proceedings of the 15Th Conference of the European Chapter of the Association for Computational Linguistics, EACL 2017, Valencia, Spain, April 3‚Äì7, 2017, 1, pp. 44-53, (2017); Alsentzer E., Murphy J., Boag W., Weng W.-H., Jindi D., Naumann T., McDermott M., Publicly available clinical BERT embeddings, Proceedings of the 2Nd Clinical Natural Language Processing Workshop, pp. 72-78, (2019); Ben Abacha A., Zweigenbaum P., Automatic extraction of semantic relations between medical entities: a rule based approach, J Biomed Semant, 2, 5, pp. 1-11, (2011); Caruana R., Multitask learning, Learning to learn, pp. 95-133, (1998); Chen M., Lan G., Du F., Lobanov V.S., Joint learning with pre-trained transformer on named entity recognition and relation extraction tasks for clinical analytics, Proceedings of the 3Rd Clinical Natural Language Processing Workshop, Clinicalnlp@Emnlp 2020, Online, November 19, 2020, pp. 234-242, (2020); Gharehchopogh F.S., Khalifehlou Z., Study on information extraction methods from text mining and natural language processing perspectives, AWER Proc Inf Technol Comput Sci, 1, pp. 1321-1327, (2012); Gurulingappa H., Rajput A.M., Roberts A., Fluck J., Hofmann-Apitius M., Toldo L., Development of a benchmark corpus to support the automatic extraction of drug-related adverse effects from medical case reports, J Biomed Inform, 45, 5, pp. 885-892, (2012); Herrero-Zazo M., Segura-Bedmar I., Martinez P., Declerck T., The DDI corpus: an annotated corpus with pharmacological substances and drug‚Äìdrug interactions, J Biomed Inform, 46, 5, pp. 914-920, (2013); Hong L., Lin J., Li S., Wan F., Yang H., Jiang T., Zhao D., Zeng J., A novel machine learning framework for automated biomedical relation extraction from large-scale literature repositories, Nat Mach Intell, 2, 6, pp. 347-355, (2020); Hosseinalipour A., Gharehchopogh F.S., Masdari M., Khademi A., Toward text psychology analysis using social spider optimization algorithm, Concurr Comput, 33, 17, (2021); Hosseinalipour A., Gharehchopogh F.S., Masdari M., Khademi A., A novel binary farmland fertility algorithm for feature selection in analysis of the text psychology, Appl Intell, 51, 7, pp. 4824-4859, (2021); Huang M., Zhu X., Li M., A hybrid method for relation extraction from biomedical literature, Int J Med Inf, 75, 6, pp. 443-455, (2006); Khataei Maragheh H., Gharehchopogh F.S., Majidzadeh K., Sangar A.B., A new hybrid based on long short-term memory network with spotted hyena optimization algorithm for multi-label text classification, Mathematics, 10, 3, (2022); Kim M., Baek S.H., Song M., Relation extraction for biological pathway construction using node2vec, BMC Bioinform, 19, 8, pp. 75-84, (2018); Koch G., Zemel R., Salakhutdinov R., Et al., Siamese neural networks for one-shot image recognition, ICML Deep Learning Workshop, 2, (2015); Kringelum J., Kjaerulff S.K., Brunak S., Lund O., Oprea T.I., Taboureau O., Chemprot-3.0: a global chemical biology diseases mapping, Database J Biol Databases Curation, (2016); Lee J., Yoon W., Kim S., Kim D., Kim S., So C.H., Kang J., Biobert: a pre-trained biomedical language representation model for biomedical text mining, Bioinformatics, 36, 4, pp. 1234-1240, (2020); Lee C., Hwang Y., Jang M., Fine-grained named entity recognition and relation extraction for question answering, SIGIR 2007: Proceedings of the 30Th Annual International ACM SIGIR Conference on Research and Development in Information Retrieval, Amsterdam, the Netherlands, July 23‚Äì27, 2007, pp. 799-800, (2007); Lewis P., Ott M., Du J., Stoyanov V., Pretrained language models for biomedical and clinical tasks: Understanding and extending the state-of-the-art, Proceedings of the 3Rd Clinical Natural Language Processing Workshop, pp. 146-157, (2020); Li F., Zhang M., Fu G., Ji D., A neural joint model for entity and relation extraction from biomedical text, BMC Bioinform, 18, 1, pp. 198-119811, (2017); Li Q., Yang Z., Luo L., Wang L., Zhang Y., Lin H., Wang J., Yang L., Xu K., Zhang Y., A multi-task learning based approach to biomedical entity relation extraction, IEEE International Conference on Bioinformatics and Biomedicine, BIBM 2018, Madrid, Spain, December 3‚Äì6, 2018, pp. 680-682, (2018); Li C., Li S., Wang H., Gu F., Ball A.D., Attention-based deep meta-transfer learning for few-shot fine-grained fault diagnosis, Knowl-Based Syst, (2023); Liu X., He P., Chen W., Gao J., Improving multi-task deep neural networks via knowledge distillation for natural language understanding, (2019); Liu X., He P., Chen W., Gao J., Multi-task deep neural networks for natural language understanding, Association for Computational Linguistics, (2019); Liu X., He P., Chen W., Gao J., Multi-task deep neural networks for natural language understanding, Proceedings of the 57Th Annual Meeting of the Association for Computational Linguistics, pp. 4487-4496, (2019); Mahalleh E.R., Gharehchopogh F.S., An automatic text summarization based on valuable sentences selection, Int J Inf Technol, 14, 6, pp. 2963-2969, (2022); Marchesin S., Silvello G., TBGA: a large-scale gene-disease association dataset for biomedical relation extraction, BMC Bioinform, 23, 1, (2022); Nebhi K., A rule-based relation extraction system using dbpedia and syntactic parsing, Proceedings of the NLP &amp; Dbpedia Workshop Co-Located with the 12Th International Semantic Web Conference (ISWC 2013), Sydney, Australia, October 22, 2013, 1064, (2013); Peng Y., Yan S., Lu Z., Transfer learning in biomedical natural language processing: An evaluation of BERT and elmo on ten benchmarking datasets, Proceedings of the 18Th Bionlp Workshop and Shared Task, Bionlp@Acl 2019, Florence, Italy, August 1, 2019, pp. 58-65, (2019); Peng Y., Chen Q., Lu Z., An empirical study of multi-task learning on BERT for biomedical text mining, Proceedings of the 19Th Sigbiomed Workshop on Biomedical Language Processing, pp. 205-214, (2020); Pyysalo S., Ginter F., Heimonen J., Bjorne J., Boberg J., Jarvinen J., Salakoski T., Bioinfer: a corpus for information extraction in the biomedical domain, BMC Bioinform, 8, (2006); Reimers N., Gurevych I., Sentence-bert: Sentence embeddings using siamese bert-networks, Proceedings of the 2019 Conference on Empirical Methods in Natural Language Processing and the 9Th International Joint Conference on Natural Language Processing, EMNLP-IJCNLP 2019, Hong Kong, China, November 3-7, 2019, pp. 3980-3990, (2019); Schick T., Schutze H., Exploiting cloze-questions for few-shot text classification and natural language inference, Proceedings of the 16Th Conference of the European Chapter of the Association for Computational Linguistics: Main Volume, EACL 2021, Online, April 19 - 23, 2021, pp. 255-269, (2021); Snell J., Swersky K., Zemel R.S., Prototypical networks for few-shot learning, Advances in Neural Information Processing Systems 30: Annual Conference on Neural Information Processing Systems 2017, December 4‚Äì9, 2017, pp. 4077-4087, (2017); Standley T., Zamir A., Chen D., Guibas L.J., Malik J., Savarese S., Which tasks should be learned together in multi-task learning?, Proceedings of the 37Th International Conference on Machine Learning, ICML 2020, 13-18 July 2020, Virtual Event, 119, pp. 9120-9132, (2020); Sung F., Yang Y., Zhang L., Xiang T., Torr P.H.S., Hospedales T.M., Learning to compare: Relation network for few-shot learning, 2018 IEEE Conference on Computer Vision and Pattern Recognition, CVPR 2018, Salt Lake City, UT, USA, June 18‚Äì22, 2018, pp. 1199-1208, (2018); Tang H., Li Z., Peng Z., Tang J., Blockmix: Meta regularization and self-calibrated inference for metric-based meta-learning, MM ‚Äô20: The 28Th ACM International Conference on Multimedia, Virtual Event/Seattle, WA, USA, October 12‚Äì16, 2020, pp. 610-618, (2020); Uzuner O., South B.R., Shen S., DuVall S.L., 2010 i2b2/va challenge on concepts, assertions, and relations in clinical text, J Am Med Inform Assoc, 18, 5, pp. 552-556, (2011); Wang Q., Mao Z., Wang B., Guo L., Knowledge graph embedding: a survey of approaches and applications, IEEE Trans Knowl Data Eng, 29, 12, pp. 2724-2743, (2017); Worsham J., Kalita J., Multi-task learning for natural language processing in the 2020s: Where are we going?, Pattern Recognit. Lett., 136, pp. 120-126, (2020); Zhang Y., Lin H., Yang Z., Wang J., Zhang S., Sun Y., Yang L., A hybrid model based on neural networks for biomedical relation extraction, J Biomed Inform, 81, pp. 83-92, (2018)</t>
  </si>
  <si>
    <t>M. Postiglione; Department of Electrical and Information Technology, University of Naples Federico II, Naples, Via Claudio 21, 80125, Italy; email: marco.postiglione@unina.it</t>
  </si>
  <si>
    <t>Springer Nature</t>
  </si>
  <si>
    <t>AIRVE</t>
  </si>
  <si>
    <t>Artif Intell Rev</t>
  </si>
  <si>
    <t>2-s2.0-85153070355</t>
  </si>
  <si>
    <t>Sorokoletova O.; Antonioni E.; Colo G.</t>
  </si>
  <si>
    <t>Sorokoletova, Olga (59368705600); Antonioni, Emanuele (57221475860); Colo, Giordano (58859321400)</t>
  </si>
  <si>
    <t>59368705600; 57221475860; 58859321400</t>
  </si>
  <si>
    <t>Towards a scalable AI-driven framework for data-independent Cyber Threat Intelligence Information Extraction</t>
  </si>
  <si>
    <t>2024 2nd International Conference on Foundation and Large Language Models, FLLM 2024</t>
  </si>
  <si>
    <t>398.0</t>
  </si>
  <si>
    <t>406.0</t>
  </si>
  <si>
    <t>10.1109/FLLM63129.2024.10852465</t>
  </si>
  <si>
    <t>https://www.scopus.com/inward/record.uri?eid=2-s2.0-85218335247&amp;doi=10.1109%2fFLLM63129.2024.10852465&amp;partnerID=40&amp;md5=cdae9814f9d7ff259b7d8e26b1c15d11</t>
  </si>
  <si>
    <t>CY4GATE S.p.A., Data &amp; Artificial Intelligence, Rome, Italy</t>
  </si>
  <si>
    <t>Sorokoletova O., CY4GATE S.p.A., Data &amp; Artificial Intelligence, Rome, Italy; Antonioni E., CY4GATE S.p.A., Data &amp; Artificial Intelligence, Rome, Italy; Colo G., CY4GATE S.p.A., Data &amp; Artificial Intelligence, Rome, Italy</t>
  </si>
  <si>
    <t>Cyber Threat Intelligence (CTI) is critical for mitigating threats to organizations, governments, and institutions, yet the necessary data are often dispersed across diverse formats. AI-driven solutions for CTI Information Extraction (IE) typically depend on high-quality, annotated data, which are not always available. This paper introduces 0-CTI, a scalable AI-based framework designed for efficient CTI Information Extraction. Leveraging advanced Natural Language Processing (NLP) techniques, particularly Transformer-based architectures, the proposed system processes complete text sequences of CTI reports to extract a cyber ontology of named entities and their relationships.Our contribution is the development of 0-CTI, the first modular framework for CTI Information Extraction that supports both supervised and zero-shot learning. Unlike existing state-of-the-art models that rely heavily on annotated datasets, our system enables fully dataless operation through zero-shot methods for both Entity and Relation Extraction, making it adaptable to various data availability scenarios. Additionally, our supervised Entity Extractor surpasses current state-of-the-art performance in cyber Entity Extraction, highlighting the dual strength of the framework in both low-resource and data-rich environments.By aligning the system's outputs with the Structured Threat Information Expression (STIX) format, a standard for information exchange in the cybersecurity domain, 0-CTI standardizes extracted knowledge, enhancing communication and collaboration in cybersecurity operations. ¬© 2024 IEEE.</t>
  </si>
  <si>
    <t>Cyber Threat Intelligence; Named Entity Recognition; Natural Language Processing; Relation Extraction; Structured Threat Information Expression</t>
  </si>
  <si>
    <t>Phishing; Zero-shot learning; Cybe threat intelligence; Cyber threats; Entity extractions; Information expression; Language processing; Named entity recognition; Natural language processing; Natural languages; Relation extraction; Structured threat information expression; Cyber attacks</t>
  </si>
  <si>
    <t>Zhang Y., Wu Y., Li X., Zhao G., A systematic literature review on cyber threat intelligence sharing, Information Systems Frontiers, 10, 2, pp. 45-64, (2022); Trifonov R., Manolov S., Yoshinov R., Tsochev G., Pavlova G., Artificial intelligence methods for cyber threats intelligence, International Journal of Computers, 2, (2017); Becue A., Praca I., Gama J., Artificial intelligence, cyber-threats and industry 4.0: Challenges and opportunities, Artificial Intelligence Review, 54, 5, pp. 3849-3886, (2021); Zaratiana U., Tomeh N., Holat P., Charnois T., GLiNER: Generalist Model for Named Entity Recognition using Bidirectional Transformer, (2023); Barnum S., Standardizing Cyber Threat Intelligence Information with the Structured Threat Information eXpression (STIX), Mitre Corporation, pp. 1-22, (2012); Piskorski J., Yangarber R., Information extraction: Past, present and future, ACM Computing Surveys, 3, pp. 213-239, (2013); Gasmi H., Laval J., Bouras A., Information Extraction of Cybersecurity Concepts: An LSTM Approach, Applied Sciences, 9, 19, (2019); Legoy V., Caselli M., Seifert C., Peter A., Automated Retrieval of ATT&amp;CK Tactics and Techniques for Cyber Threat Reports, (2020); Weerawardhana S., Mukherjee S., Ray I., Howe A., Automated Extraction of Vulnerability Information for Home Computer Security, Foundations and Practice of Security, pp. 356-366, (2015); Li T., Guo Y., Ju A., A Self-Attention-Based Approach for Named Entity Recognition in Cybersecurity, 2019 15th International Conference on Computational Intelligence and Security (CIS), pp. 1-6, (2019); Ranade P., Piplai A., Joshi A., Finin T., CyBERT: Contextualized Embeddings for the Cybersecurity Domain, (2021); Muennighoff N., Tazi N., Magne L., Reimers N., MTEB: Massive Text Embedding Benchmark, (2022); Wang X., Liu R., Yang J., Chen R., Ling Z., Yang P., Zhang K., Cyber Threat Intelligence Entity Extraction Based on Deep Learning and Field Knowledge Engineering, Security &amp; Communication Networks, pp. 1-14, (2023); Alam M.T., Bhusal D., Park Y., Rastogi N., CyNER: A Python Library for Cybersecurity Named Entity Recognition, (2022); Zhou Y., Tang Y., Yi M., Xi C., Lu H., CTI View: APT Threat Intelligence Analysis System, Security &amp; Communication Networks, (2022); Zhou Y., Ren Y., Yi M., Xiao Y., Tan Z., Moustafa N., Tian Z., CDTier: A Chinese Dataset of Threat Intelligence Entity Relationships, IEEE Transactions on Sustainable Computing, pp. 1-13, (2023); Marchiori F., Conti M., STIXnet: A Novel and Modular Solution for Extracting All STIX Objects in CTI Reports, Proceedings of the 18th International Conference on Availability, Reliability and Security (ARES 2023), (2023); Touvron H., Martin L., Stone K., Albert P., Almahairi A., Ballas N., Lacroix T., Synnaeve G., Uszkoreit J., Ponce J., Douze M., Jegou H., LLaMa: Open and Efficient Foundation Language Models, (2023); Wang X., Du J., Liao T., Li S., Yin X., Ding X., Liu T., InstructUIE: An Instruction-tuned Universal Information Extraction Model, (2023); Raffel C., Shazeer N., Roberts A., Lee K., Narang S., Matena M., Zhou Y., Li W., Liu P.J., Exploring the Limits of Transfer Learning with a Unified Text-to-Text Transformer, (2019); Chung H.W., Hou L., Longpre S., Zoph B., Tay Y., Fedus W., Dean J., Yang Y., Du N., Li W., Scaling Instruction-Finetuned Language Models, (2022); Sainz O., De Lacalle O.L., Soroa A., Agirre E., GoLLIE: Generalized Open-Domain Information Extraction, (2023); Roziere B., Almahairi A., Rinott R., Touvron H., Nakano V., Diao S., Gu A., Lample G., CodeLLaMa: Open and Efficient Foundation Language Models for Code, (2023); Zhou B., Fan J., Shou L., Gong M., Pei J., Jiang D., UniversalNER: Targeted Distillation from Large Language Models for Open Named Entity Recognition, (2023); Xiao S., Liu Z., Zhang P., Muennighoff N., C-Pack: Packaged Resources To Advance General Chinese Embedding, (2023); Rosa G., Bonifacio L., Jeronymo V., Abonizio H., Fadaee M., Lotufo R., Nogueira R., Defense of cross-encoders for zero-shot retrieval, (2022); Zubiaga A., Natural language processing in the era of large language models, (2024); Huang H., Qu Y., Liu J., Yang M., Zhao T., An empirical study of llm-as-a-judge for llm evaluation: Fine-tuned judge models are taskspecific classifiers, (2024)</t>
  </si>
  <si>
    <t>O. Sorokoletova; CY4GATE S.p.A., Data &amp; Artificial Intelligence, Rome, Italy; email: olga.sorokoletova@cy4gate.com</t>
  </si>
  <si>
    <t>Jararweh Y.; Jansen J.; Alsmirat M.</t>
  </si>
  <si>
    <t>Dubai; IEEE Computer Society UAE Section Chapter; IEEE United Arab Emirates Section</t>
  </si>
  <si>
    <t>2nd International Conference on Foundation and Large Language Models, FLLM 2024</t>
  </si>
  <si>
    <t>26 November 2024 through 29 November 2024</t>
  </si>
  <si>
    <t>Dubai</t>
  </si>
  <si>
    <t>206453.0</t>
  </si>
  <si>
    <t>979-835035479-9</t>
  </si>
  <si>
    <t>Int. Conf. Found. Large Lang. Model, FLLM</t>
  </si>
  <si>
    <t>2-s2.0-85218335247</t>
  </si>
  <si>
    <t>Nag A.; Samanta B.; Mukherjee A.; Ganguly N.; Chakrabarti S.</t>
  </si>
  <si>
    <t>Nag, Arijit (57326627000); Samanta, Bidisha (57196121634); Mukherjee, Animesh (57203731567); Ganguly, Niloy (56081670000); Chakrabarti, Soumen (7403254661)</t>
  </si>
  <si>
    <t>57326627000; 57196121634; 57203731567; 56081670000; 7403254661</t>
  </si>
  <si>
    <t>Transfer Learning for Low-Resource Multilingual Relation Classification</t>
  </si>
  <si>
    <t>ACM Transactions on Asian and Low-Resource Language Information Processing</t>
  </si>
  <si>
    <t>10.1145/3554734</t>
  </si>
  <si>
    <t>https://www.scopus.com/inward/record.uri?eid=2-s2.0-85152619927&amp;doi=10.1145%2f3554734&amp;partnerID=40&amp;md5=0499e9b448d9422143b399057802c488</t>
  </si>
  <si>
    <t>Indian Institute of Technology, Kharagpur, India</t>
  </si>
  <si>
    <t>Nag A., Indian Institute of Technology, Kharagpur, India; Samanta B., Indian Institute of Technology, Kharagpur, India; Mukherjee A., Indian Institute of Technology, Kharagpur, India; Ganguly N., Indian Institute of Technology, Kharagpur, India; Chakrabarti S., Indian Institute of Technology, Kharagpur, India</t>
  </si>
  <si>
    <t>Relation classification (sometimes called relation extraction) requires trustworthy datasets for fine-Tuning large language models, as well as for evaluation. Data collection is challenging for Indian languages, because they are syntactically and morphologically diverse, as well as different from resource-rich languages like English. Despite recent interest in deep generative models for Indian languages, relation classification is still not well served by public datasets. In response, we present IndoRE, a dataset with 21K entity-And relation-Tagged gold sentences in three Indian languages (Bengali, Hindi, and Telugu), plus English. We start with a multilingual BERT (mBERT)-based system that captures entity span positions and type information, and provides competitive performance on monolingual relation classification. Using this baseline system, we explore transfer mechanisms between languages and the scope to reduce expensive data annotation while achieving reasonable relation extraction performance. Specifically, we(a)study the accuracy-efficiency trade-off between expensive, manually labeled gold instances vs. automatically translated and aligned silver instances to train a relation extractor,(b)device a simple mechanism for budgeted gold data annotation by intelligently converting distant-supervised silver training instances to gold training instances with human annotators using active learning, and finally(c)propose an ensemble model to provide a performance boost over that achieved via limited gold training instances. We release the dataset for future research.1  ¬© 2023 Association for Computing Machinery.</t>
  </si>
  <si>
    <t>Relation extraction</t>
  </si>
  <si>
    <t>Budget control; Classification (of information); Economic and social effects; Extraction; Gold; Large dataset; Learning systems; Petroleum reservoir evaluation; Transfer learning; Data annotation; Data collection; Fine tuning; Indian languages; Language model; Performance; Relation classifications; Relation extraction; Resource-Rich; Transfer learning; Silver</t>
  </si>
  <si>
    <t>Angluin D., Queries and concept learning, Machine Learning, 2, 4, pp. 319-342, (1988); Ash J.T., Zhang C., Krishnamurthy A., Langford J., Agarwal A., Deep batch active learning by diverse, uncertain gradient lower bounds, (2019); Balcan M.-F., Beygelzimer A., Langford J., Agnostic active learning, Journal of Computer and System Sciences, 75, 1, pp. 78-89, (2009); Matching the blanks: Distributional similarity for relation learning, Proceedings of the 57th Annual Meeting of the Association for Computational Linguistics, pp. 2895-2905, (2019); Bastos A., Nadgeri A., Singh K., Mulang I.O., Shekarpour S., Hoffart J., Kaul M., RECON: Relation extraction using knowledge graph context in a graph neural network, Proceedings of the Web Conference 2021 (WWW‚Äô21), (2020); Bekoulis G., Deleu J., Demeester T., Develder C., Adversarial training for multicontext joint entity and relation extraction, Proceedings of the 2018 Conference on Empirical Methods in Natural Language Processing, pp. 2830-2836, (2018); Beluch W.H., Genewein T., Nurnberger A., Kohler J.M., The power of ensembles for active learning in image classification, Proceedings of the IEEE Conference on Computer Vision and Pattern Recognition, pp. 9368-9377, (2018); Beygelzimer A., Dasgupta S., Langford J., Importance weighted active learning, Proceedings of the 26th Annual International Conference on Machine Learning, pp. 49-56, (2009); Bilgic M., Getoor L., Link-based active learning, Proceedings of the NIPS Workshop on Analyzing Networks and Learning with Graphs, 4, (2009); Bloodgood M., Callison-Burch C., Bucking the trend: Large-scale cost-focused active learning for statistical machine translation, (2014); Blundell C., Cornebise J., Kavukcuoglu K., Wierstra D., Weight uncertainty in neural network, Proceedings of the International Conference on Machine Learning, pp. 1613-1622, (2015); Cai R., Zhang X., Wang H., Bidirectional recurrent convolutional neural network for relation classification, Proceedings of the 54th Annual Meeting of the Association for Computational Linguistics (Volume 1: Long Papers), pp. 756-765, (2016); Chen J., Hoehndorf R., Elhoseiny M., Zhang X., Efficient long-distance relation extraction with DG-SpanBERT, (2020); Chen M., Lan G., Du F., Lobanov V., Joint learning with pre-trained transformer on named entity recognition and relation extraction tasks for clinical analytics, Proceedings of the 3rd Clinical Natural Language Processing Workshop, pp. 234-242, (2020); Dagan I., Engelson S.P., Committee-based sampling for training probabilistic classifiers, Proceedings of the 12th International Conference on Machine Learning, pp. 150-157, (1995); Dasgupta S., Kalai A.T., Monteleoni C., Analysis of perceptron-based active learning, Proceedings of the International Conference on Computational Learning Theory, pp. 249-263, (2005); Classifying relations by ranking with convolutional neural networks, Proceedings of the 53rd Annual Meeting of the Association for Computational Linguistics and the 7th International Joint Conference on Natural Language Processing (Volume 1: Long Papers), pp. 626-634, (2015); Eberts M., Ulges A., Span-based joint entity and relation extraction with transformer pre-training, (2019); Figueroa R.L., Zeng-Treitler Q., Ngo L.H., Goryachev S., Wiechmann E.P., Active learning for clinical text classification: Is it better than random sampling?, Journal of the American Medical Informatics Association, 19, 5, pp. 809-816, (2012); Selective sampling using the query by committee algorithm, Machine Learning, 28, 2, pp. 133-168, (1997); Freytag A., Rodner E., Denzler J., Selecting influential examples: Active learning with expected model output changes, Proceedings of the European Conference on Computer Vision, pp. 562-577, (2014); Fu T.-J., Li P.-H., Ma W.-Y., GraphRel: Modeling text as relational graphs for joint entity and relation extraction, Proceedings of the 57th Annual Meeting of the Association for Computational Linguistics, pp. 1409-1418, (2019); Gal Y., Ghahramani Z., Dropout as a Bayesian approximation: Representing model uncertainty in deep learning, Proceedings of the International Conference on Machine Learning, pp. 1050-1059, (2016); Gal Y., Islam R., Ghahramani Z., Deep Bayesian active learning with image data, Proceedings of the International Conference on Machine Learning, pp. 1183-1192, (2017); Goodfellow I.J., Mirza M., Xiao D., Courville A., Bengio Y., An empirical investigation of catastrophic forgetting in gradient-based neural networks, (2013); Guo Y., Active instance sampling via matrix partition, Advances in Neural Information Processing Systems (NIPS‚Äô10), pp. 802-810, (2010); Haffari G., Roy M., Sarkar A., Active learning for statistical phrase-based machine translation, Proceedings of Human Language Technologies: The 2009 Annual Conference of the North American Chapter of the Association for Computational Linguistics, pp. 415-423, (2009); Han X., Yu P., Liu Z., Sun M., Li P., Hierarchical relation extraction with coarse-to-fine grained attention, Proceedings of the 2018 Conference on Empirical Methods in Natural Language Processing, pp. 2236-2245, (2018); Han X., Zhu H., Yu P., Wang Z., Yao Y., Liu Z., Sun M., FewRel: A large-scale supervised few-shot relation classification dataset with state-of-the-art evaluation, Proceedings of the 2018 Conference on Empirical Methods in Natural Language Processing, pp. 4803-4809, (2018); Hendrickx I., Kim S.N., Kozareva Z., Nakov P., Seaghdha D.O., Pado S., Pennacchiotti M., Romano L., Szpakowicz S., SemEval-2010 task 8: Multi-way classification of semantic relations between pairs of nominals, Proceedings of the 5th International Workshop on Semantic Evaluation, pp. 33-38, (2010); Hoffmann R., Zhang C., Ling X., Zettlemoyer L., Weld D.S., Knowledge-based weak supervision for information extraction of overlapping relations, Proceedings of the 49th Annual Meeting of the Association for Computational Linguistics: Human Language Technologies, pp. 541-550, (2011); Jiang X., Wang Q., Li P., Wang B., Relation extraction with multi-instance multi-label convolutional neural networks, Proceedings of COLING 2016, the 26th International Conference on Computational Linguistics: Technical Papers, pp. 1471-1480, (2016); Jin Z., Yang Y., Qiu X., Zhang Z., Relation of the relations: A new paradigm of the relation extraction problem, (2020); Joshi A.J., Porikli F., Papanikolopoulos N., Multi-class active learning for image classification, Proceedings of the 2009 IEEE Conference on Computer Vision and Pattern Recognition, pp. 2372-2379, (2009); Joshi M., Chen D., Liu Y., Weld D.S., Zettlemoyer L., Levy O., SpanBERT: Improving pre-training by representing and predicting spans, Transactions of the Association for Computational Linguistics, 8, 2020, pp. 64-77, (2020); Kemker R., McClure M., Abitino A., Hayes T., Kanan C., Measuring catastrophic forgetting in neural networks, Proceedings of the AAAI Conference on Artificial Intelligence, 32, (2018); Khanuja S., Johnson M., Talukdar P., MergeDistill: Merging pre-trained language models using distillation, (2021); King R.D., Whelan K.E., Jones F.M., Reiser P.G.K., Bryant C.H., Muggleton S.H., Kell D.B., Oliver S.G., Functional genomic hypothesis generation and experimentation by a robot scientist, Nature, 427, 6971, pp. 247-252, (2004); Kirkpatrick J., Pascanu R., Rabinowitz N., Veness J., Desjardins G., Rusu A.A., Milan K., Et al., Overcoming catastrophic forgetting in neural networks, Proceedings of the National Academy of Sciences, 114, 13, pp. 3521-3526, (2017); Kozhevnikov M., Titov I., Cross-lingual model transfer using feature representation projection, Proceedings of the 52nd Annual Meeting of the Association for Computational Linguistics, 2, pp. 579-585, (2014); Krishnamurthy V., Algorithms for optimal scheduling and management of hidden Markov model sensors, IEEE Transactions on Signal Processing, 50, 6, pp. 1382-1397, (2002); Lee J., Seo S., Choi Y.S., Semantic relation classification via bidirectional LSTM networks with entity-aware attention using latent entity typing, (2019); Lee J.Y., Dernoncourt F., Szolovits P., MIT at SemEval-2017 task 10: Relation extraction with convolutional neural networks, Proceedings of the 11th International Workshop on Semantic Evaluation (SemEval‚Äô17), pp. 978-984, (2017); Lewis D.D., Gale W.A., A sequential algorithm for training text classifiers, ACM SIGIR Forum, 29, 2, pp. 13-19, (1995); Lin Y., Shen S., Liu Z., Luan H., Sun M., Neural relation extraction with selective attention over instances, Proceedings of the 54th Annual Meeting of the Association for Computational Linguistics (Volume 1: Long Papers), pp. 2124-2133, (2016); Liu T., Zhang X., Zhou W., Jia W., Neural relation extraction via inner-sentence noise reduction and transfer learning, Proceedings of the 2018 Conference on Empirical Methods in Natural Language Processing, pp. 2195-2204, (2018); Liu Y., Wei F., Li S., Ji H., Zhou M., Wang H., A dependency-based neural network for relation classification, Proceedings of the 53rd Annual Meeting of the Association for Computational Linguistics and the 7th International Joint Conference on Natural Language Processing, 2, pp. 285-290, (2015); McCallumzy A.K., Nigamy K., Employing EM and pool-based active learning for text classification, Proceedings of the International Conference on Machine Learning (ICML‚Äô98), pp. 359-367, (1998); Mintz M., Bills S., Snow R., Jurafsky D., Distant supervision for relation extraction without labeled data, Proceedings of the Joint Conference of the 47th Annual Meeting of the ACL and the 4th International Joint Conference on Natural Language Processing of the AFNLP, pp. 1003-1011, (2009); Miwa M., Bansal M., End-to-end relation extraction using LSTMs on sequences and tree structures, Proceedings of the 54th Annual Meeting of the Association for Computational Linguistics (Volume 1: Long Papers), pp. 1105-1116, (2016); Nadgeri A., Bastos A., Singh K., Mulang I.O., Hoffart J., Shekarpour S., Saraswat V., KGPool: Dynamic knowledge graph context selection for relation extraction, Findings of the Association for Computational Linguistics: ACL-IJCNLP 2021, pp. 535-548, (2021); Nag A., Samanta B., Mukherjee A., Ganguly N., Chakrabarti S., A data bootstrapping recipe for low-resource multilingual relation classification, Proceedings of the 25th Conference on Computational Natural Language Learning, pp. 575-587, (2021); Nguyen D.Q., Verspoor K., End-to-end neural relation extraction using deep biaffine attention, Advances in Information Retrieval, 2019, 2019, pp. 729-738, (2019); Nguyen H.T., Smeulders A., Active learning using pre-clustering, Proceedings of the 21st International Conference on Machine Learning, (2004); Nguyen T.H., Grishman R., Relation extraction: Perspective from convolutional neural networks, Proceedings of the 1st Workshop on Vector Space Modeling for Natural Language Processing, pp. 39-48, (2015); Ni J., Moon T., Awasthy P., Florian R., Cross-lingual relation extraction with transformers, (2020); Pfeiffer J., Ruckle A., Poth C., Kamath A., Vulic I., Ruder S., Cho K., Gurevych I., AdapterHub: A framework for adapting transformers, Proceedings of the 2020 Conference on Empirical Methods in Natural Language Processing: Systems Demonstrations (EMNLP‚Äô20), pp. 46-54, (2020); Pfeiffer J., Vulic I., Gurevych I., Ruder S., MAD-X: An adapter-based framework for multitask cross-lingual transfer, (2020); Pires T., Schlinger E., Garrette D., How multilingual is multilingual BERT?, (2019); Ranganathan H., Venkateswara H., Chakraborty S., Panchanathan S., Deep active learning for image classification, Proceedings of the 2017 IEEE International Conference on Image Processing (ICIP‚Äô17), pp. 3934-3938, (2017); Riedel S., Yao L., McCallum A., Modeling relations and their mentions without labeled text, Machine Learning and Knowledge Discovery in Databases, Lecture Notes in Computer Science, 10535, pp. 148-163, (2010); Roy N., McCallum A., Toward optimal active learning through Monte Carlo estimation of error reduction, ICML, Williamstown, 2, pp. 441-448, (2001); Serra J., Suris D., Miron M., Karatzoglou A., Overcoming catastrophic forgetting with hard attention to the task, Proceedings of the International Conference on Machine Learning, pp. 4548-4557, (2018); Settles B., Craven M., Ray S., Multiple-instance active learning, Advances in Neural Information Processing Systems, 20, pp. 1289-1296, (2007); Query by committee, Proceedings of the 5th Annual Workshop on Computational Learning Theory, pp. 287-294, (1992); Sha F., Saul L.K., Large margin hidden Markov models for automatic speech recognition, Advances in Neural Information Processing Systems, 19, (2007); Shen Y., Huang X., Attention-based convolutional neural network for semantic relation extraction, Proceedings of COLING 2016, the 26th International Conference on Computational Linguistics: Technical Papers, pp. 2526-2536, (2016); Shen Y., Yun H., Lipton Z.C., Kronrod Y., Anandkumar A., Deep active learning for named entity recognition, (2017); Shui C., Zhou F., Gagne C., Wang B., Deep active learning: Unified and principled method for query and training, Proceedings of the International Conference on Artificial Intelligence and Statistics, pp. 1308-1318, (2020); Matching the blanks: Distributional similarity for relation learning, (2019); Surdeanu M., Tibshirani J., Nallapati R., Manning C.D., Multi-instance multi-label learning for relation extraction, Proceedings of the 2012 Joint Conference on Empirical Methods in Natural Language Processing and Computational Natural Language Learning, pp. 455-465, (2012); Thompson C.A., Califf M.E., Mooney R.J., Active learning for natural language parsing and information extraction, Proceedings of the 16th International Conference on Machine Learning (ICML‚Äô99), pp. 406-414, (1999); Tong S., Koller D., Support vector machine active learning with applications to text classification, Journal of Machine Learning Research, 2, pp. 45-66, (2001); Vashishth S., Joshi R., Prayaga S.S., Bhattacharyya C., Talukdar P., RESIDE: Improving distantly-supervised neural relation extraction using side information, Proceedings of the 2018 Conference on Empirical Methods in Natural Language Processing, pp. 1257-1266, (2018); Wang J., Lu W., Two are better than one: Joint entity and relation extraction with table-sequence encoders, Proceedings of the 2020 Conference on Empirical Methods in Natural Language Processing (EMNLP‚Äô20), pp. 1706-1721, (2020); Relation classification via multi-level attention CNNs, Proceedings of the 54th Annual Meeting of the Association for Computational Linguistics (Volume 1: Long Papers), pp. 1298-1307, (2016); Wang X., Tsvetkov Y., Ruder S., Neubig G., Efficient test time adapter ensembling for low-resource language varieties, Findings of the Association for Computational Linguistics: EMNLP 2021, pp. 730-737, (2021); Wu S., He Y., Enriching pre-trained language model with entity information for relation classification, (2019); Wu Y., Bamman D., Russell S., Adversarial training for relation extraction, Proceedings of the 2017 Conference on Empirical Methods in Natural Language Processing, pp. 1778-1783, (2017); Xiao M., Liu C., Semantic relation classification via hierarchical recurrent neural network with attention, Proceedings of COLING 2016, the 26th International Conference on Computational Linguistics: Technical Papers, pp. 1254-1263, (2016); Xu K., Feng Y., Huang S., Zhao D., Semantic relation classification via convolutional neural networks with simple negative sampling, Proceedings of the 2015 Conference on Empirical Methods in Natural Language Processing, pp. 536-540, (2015); Xu Y., Jia R., Mou L., Li G., Chen Y., Lu Y., Jin Z., Improved relation classification by deep recurrent neural networks with data augmentation, Proceedings of COLING 2016, the 26th International Conference on Computational Linguistics: Technical Papers, pp. 1461-1470, (2016); Xu Y., Mou L., Li G., Chen Y., Peng H., Jin Z., Classifying relations via long short term memory networks along shortest dependency paths, Proceedings of the 2015 Conference on Empirical Methods in Natural Language Processing, pp. 1785-1794, (2015); Xue F., Sun A., Zhang H., Chng E.S., GDPNet: Refining latent multi-view graph for relation extraction, (2020); Yamada I., Asai A., Shindo H., Takeda H., Matsumoto Y., LUKE: Deep contextualized entity representations with entity-aware self-attention, Proceedings of the 2020 Conference on Empirical Methods in Natural Language Processing (EMNLP‚Äô20), pp. 6442-6454, (2020); Ye Z.-X., Ling Z.-H., Distant supervision relation extraction with intra-bag and inter-bag attentions, Proceedings of the 2019 Conference of the North American Chapter of the Association for Computational Linguistics: Human Language Technologies (Volume 1: Long and Short Papers), pp. 2810-2819, (2019); Yin C., Qian B., Cao S., Li X., Wei J., Zheng Q., Davidson I., Deep similarity-based batch mode active learning with exploration-exploitation, Proceedings of the 2017 IEEE International Conference on Data Mining (ICDM‚Äô17), pp. 575-584, (2017); Zeng D., Liu K., Chen Y., Zhao J., Distant supervision for relation extraction via piecewise convolutional neural networks, Proceedings of the 2015 Conference on Empirical Methods in Natural Language Processing, pp. 1753-1762, (2015); Zeng D., Liu K., Lai S., Zhou G., Zhao J., Relation classification via convolutional deep neural network, Proceedings of COLING 2014, the 25th International Conference on Computational Linguistics: Technical Papers, pp. 2335-2344, (2014); Zeng W., Lin Y., Liu Z., Sun M., Incorporating relation paths in neural relation extraction, Proceedings of the 2017 Conference on Empirical Methods in Natural Language Processing, pp. 1768-1777, (2017); Zhang C., Efficient active learning of sparse halfspaces, Proceedings of the Conference on Learning Theory, pp. 1856-1880, (2018); Zhang D., Wang D., Relation classification via recurrent neural network, (2015); Zhang S., Zheng D., Hu X., Yang M., Bidirectional long short-term memory networks for relation classification, Proceedings of the 29th Pacific Asia Conference on Language, Information, and Computation, pp. 73-78, (2015); Zhang Y., Zhong V., Chen D., Angeli G., Manning C.D., Position-aware attention and supervised data improve slot filling, Proceedings of the 2017 Conference on Empirical Methods in Natural Language Processing, pp. 35-45, (2017); Zhdanov F., Diverse mini-batch active learning, (2019); Zheng S., Wang F., Bao H., Hao Y., Zhou P., Xu B., Joint extraction of entities and relations based on a novel tagging scheme, Proceedings of the 55th Annual Meeting of the Association for Computational Linguistics (Volume 1: Long Papers), pp. 1227-1236, (2017); Zhou P., Shi W., Tian J., Qi Z., Li B., Hao H., Xu B., Attention-based bidirectional long short-term memory networks for relation classification, Proceedings of the 54th Annual Meeting of the Association for Computational Linguistics (Volume 2: Short Papers), pp. 207-212, (2016)</t>
  </si>
  <si>
    <t>ACM Trans. Asian Low Res. Lang. Inf. Process.</t>
  </si>
  <si>
    <t>2-s2.0-85152619927</t>
  </si>
  <si>
    <t>Chen X.; Xiao Q.; Li J.; Dong D.; Lin J.; Liu X.; Tang S.</t>
  </si>
  <si>
    <t>Chen, Xiangnan (57222381549); Xiao, Qian (58714373400); Li, Juncheng (58747956200); Dong, Duo (58713472800); Lin, Jun (57215811965); Liu, Xiaozhong (55218252500); Tang, Siliang (55449979900)</t>
  </si>
  <si>
    <t>57222381549; 58714373400; 58747956200; 58713472800; 57215811965; 55218252500; 55449979900</t>
  </si>
  <si>
    <t>Global Structure Knowledge-Guided Relation Extraction Method for Visually-Rich Document</t>
  </si>
  <si>
    <t>1587.0</t>
  </si>
  <si>
    <t>1598.0</t>
  </si>
  <si>
    <t>https://www.scopus.com/inward/record.uri?eid=2-s2.0-85183295986&amp;partnerID=40&amp;md5=36ab445a0068a29343725e1c9c044032</t>
  </si>
  <si>
    <t>Zhejiang University, China; Alibaba Group, China; Worcester Polytechnic Institute, United States</t>
  </si>
  <si>
    <t>Chen X., Zhejiang University, China; Xiao Q., Alibaba Group, China; Li J., Zhejiang University, China; Dong D., Zhejiang University, China; Lin J., Alibaba Group, China; Liu X., Worcester Polytechnic Institute, United States; Tang S., Zhejiang University, China</t>
  </si>
  <si>
    <t>Visual Relation Extraction (VRE) is a powerful means of discovering relationships between entities within visually-rich documents. Existing methods often focus on manipulating entity features to find pairwise relations, yet neglect the more fundamental structural information that links disparate entity pairs together. The absence of global structure information may make the model struggle to learn long-range relations and easily predict conflicted results. To alleviate such limitations, we propose a GlObal Structure knowledge-guided relation Extraction (GOSE) framework. GOSE initiates by generating preliminary relation predictions on entity pairs extracted from a scanned image of the document. Subsequently, global structural knowledge is captured from the preceding iterative predictions, which are then incorporated into the representations of the entities. This ‚Äúgenerate-capture-incorporate‚Äù cycle is repeated multiple times, allowing entity representations and global structure knowledge to be mutually reinforced. Extensive experiments validate that GOSE not only outperforms existing methods in the standard fine-tuning setting but also reveals superior cross-lingual learning capabilities; indeed, even yields stronger data-efficient performance in the low-resource setting. The code for GOSE will be available at https://github.com/chenxn2020/GOSE. ¬© 2023 Association for Computational Linguistics.</t>
  </si>
  <si>
    <t>Computational linguistics; Extraction; Iterative methods; Extraction method; Fine tuning; Global structure; Learn+; Relation extraction; Relationships between entities; Scanned images; Structural information; Structural knowledge; Structure information; Forecasting</t>
  </si>
  <si>
    <t>Ant Group and Alibaba-Zhejiang University Joint Research Institute of Frontier Technologies; Key Research and Development Projects in Zhejiang Province, (2023C01030, 2023C01032); Scientific Research Fund of Zhejiang Provincial Education Department; National Natural Science Foundation of China, NSFC, (62272411); Natural Science Foundation of Zhejiang Province, ZJNSF, (LR21F020004); National Key Research and Development Program of China, NKRDPC, (2018AAA0101900)</t>
  </si>
  <si>
    <t>We would like to express gratitude to the anonymous reviewers for their kind comments. This work has been supported in part by the Zhejiang NSF (LR21F020004), Key Research and Development Projects in Zhejiang Province (No. 2023C01030, 2023C01032), NSFC (No. 62272411), National Key Research and Development Program of China (2018AAA0101900), Ant Group and Alibaba-Zhejiang University Joint Research Institute of Frontier Technologies. Our work was also supported by Scientific Research Fund of Zhejiang Provincial Education Department.</t>
  </si>
  <si>
    <t>Beltagy Iz, Peters Matthew E., Cohan Arman, Longformer: The long-document transformer, (2020); Chi Zewen, Dong Li, Wei Furu, Yang Nan, Singhal Saksham, Wang Wenhui, Song Xia, Mao Xian-Ling, Huang He-Yan, Zhou Ming, InfoXLM: An information-theoretic framework for cross-lingual language model pre-training, NAACL-HLT, pp. 3576-3588, (2021); Conneau Alexis, Khandelwal Kartikay, Goyal Naman, Chaudhary Vishrav, Wenzek Guillaume, Guzman Francisco, Grave Edouard, Ott Myle, Zettlemoyer Luke, Stoyanov Veselin, Unsupervised cross-lingual representation learning at scale, ACL, pp. 8440-8451, (2020); Cui Lei, Xu Yiheng, Lv Tengchao, Wei Furu, Document AI: benchmarks, models and applications, (2021); Dai Wenliang, Li Junnan, Li Dongxu, Meng Huat Tiong Anthony, Zhao Junqi, Wang Weisheng, Li Boyang, Fung Pascale, Hoi Steven, In-structblip: Towards general-purpose vision-language models with instruction tuning, (2023); Dong Li, Yang Nan, Wang Wenhui, Wei Furu, Liu Xiaodong, Wang Yu, Gao Jianfeng, Zhou Ming, Hon Hsiao-Wuen, Unified language model pre-training for natural language understanding and generation, Proceedings of NeurIPS, (2019); Gu Zhangxuan, Meng Changhua, Wang Ke, Lan Jun, Wang Weiqiang, Gu Ming, Zhang Liqing, Xylayoutlm: Towards layout-aware multimodal networks for visually-rich document understanding, Proceedings of the IEEE/CVF Conference on Computer Vision and Pattern Recognition (CVPR), pp. 4583-4592, (2022); He Junxian, Zhou Chunting, Ma Xuezhe, Berg-Kirkpatrick Taylor, Neubig Graham, Towards a unified view of parameter-efficient transfer learning, (2022); Huang Tao, Huang Lang, You Shan, Wang Fei, Qian Chen, Xu Chang, Lightvit: Towards lightweight convolution-free vision transformers, (2022); Huang Yupan, Lv Tengchao, Cui Lei, Lu Yutong, Wei Furu, Layoutlmv3: Pre-training for document ai with unified text and image masking, Proceedings of the 30th ACM International Conference on Multimedia, (2022); Hwang Wonseok, Yim Jinyeong, Park Seunghyun, Yang Sohee, Seo Minjoon, Spatial dependency parsing for semi-structured document information extraction, Findings of ACL, (2021); Jaume Guillaume, Et al., FUNSD: A dataset for form understanding in noisy scanned documents, ICDAR, 2, pp. 1-6, (2019); Li Chenliang, Bi Bin, Yan Ming, Wang Wei, Huang Songfang, Huang Fei, Si Luo, StructuralLM: Structural pre-training for form understanding, ACL, (2021); Li Juncheng, Gao Minghe, Wei Longhui, Tang Siliang, Zhang Wenqiao, Li Mengze, Ji Wei, Tian Qi, Chua Tat-Seng, Zhuang Yueting, Gradient-regulated meta-prompt learning for generalizable vision-language models, Proceedings of the IEEE/CVF International Conference on Computer Vision, (2023); Li Juncheng, He Xin, Wei Longhui, Qian Long, Zhu Linchao, Xie Lingxi, Zhuang Yueting, Tian Qi, Tang Siliang, Fine-grained semantically aligned vision-language pre-training, Advances in neural information processing systems, 35, pp. 7290-7303, (2022); Li Juncheng, Pan Kaihang, Ge Zhiqi, Gao Minghe, Zhang Hanwang, Ji Wei, Zhang Wenqiao, Chua Tat-Seng, Tang Siliang, Zhuang Yueting, Fine-tuning multimodal llms to follow zero-shot demonstrative instructions, (2023); Li Juncheng, Tang Siliang, Wu Fei, Zhuang Yueting, Walking with mind: Mental imagery enhanced embodied qa, Proceedings of the 27th ACM International Conference on Multimedia, pp. 1211-1219, (2019); Li Juncheng, Tang Siliang, Zhu Linchao, Shi Haochen, Huang Xuanwen, Wu Fei, Yang Yi, Zhuang Yueting, Adaptive hierarchical graph reasoning with semantic coherence for video-and-language inference, Proceedings of the IEEE/CVF International Conference on Computer Vision, pp. 1867-1877, (2021); Li Juncheng, Tang Siliang, Zhu Linchao, Zhang Wenqiao, Yang Yi, Chua Tat-Seng, Wu Fei, Variational cross-graph reasoning and adaptive structured semantics learning for compositional temporal grounding, IEEE Transactions on Pattern Analysis and Machine Intelligence, (2023); Li Juncheng, Wang Xin, Tang Siliang, Shi Haizhou, Wu Fei, Zhuang Yueting, Wang William Yang, Unsupervised reinforcement learning of transferable meta-skills for embodied navigation, Proceedings of the IEEE/CVF Conference on Computer Vision and Pattern Recognition, pp. 12123-12132, (2020); Li Juncheng, Xie Junlin, Qian Long, Zhu Linchao, Tang Siliang, Wu Fei, Yang Yi, Zhuang Yueting, Wang Xin Eric, Compositional temporal grounding with structured variational cross-graph correspondence learning, Proceedings of the IEEE/CVF Conference on Computer Vision and Pattern Recognition, pp. 3032-3041, (2022); Li Juncheng, Xie Junlin, Zhu Linchao, Qian Long, Tang Siliang, Zhang Wenqiao, Shi Haochen, Zhang Shengyu, Wei Longhui, Tian Qi, Zhuang Yueting, Dilated context integrated network with cross-modal consensus for temporal emotion localization in videos, Proceedings of the 30th ACM International Conference on Multimedia, (2022); Liu Yuliang, Li Zhang, Li Hongliang, Yu Wenwen, Liu Yang, Yang Biao, Huang Mingxin, Peng Dezhi, Liu Mingyu, Chen Mingrui, Li Chunyuan, Yin Xucheng, Liu Cheng lin, Jin Lianwen, Bai Xiang, On the hidden mystery of ocr in large multimodal models, (2023); Liu Ze, Lin Yutong, Cao Yue, Hu Han, Wei Yixuan, Zhang Zheng, Lin Stephen, Guo Baining, Swin transformer: Hierarchical vision transformer using shifted windows, Proceedings of the IEEE/CVF International Conference on Computer Vision (ICCV), pp. 10012-10022, (2021); Loshchilov Ilya, Hutter Frank, Decoupled weight decay regularization, ICLR, (2018); Paszke Adam, Gross Sam, Massa Francisco, Lerer Adam, Bradbury James, Chanan Gregory, Killeen Trevor, Lin Zeming, Gimelshein Natalia, Antiga Luca, Desmaison Alban, Kopf Andreas, Yang Edward Z., DeVito Zachary, Raison Martin, Te-jani Alykhan, Chilamkurthy Sasank, Steiner Benoit, Fang Lu, Bai Junjie, Chintala Soumith, Pytorch: An imperative style, high-performance deep learning library, Proceedings of the Annual Conference on Neural Information Processing Systems, pp. 8024-8035, (2019); Peng Qiming, Pan Yinxu, Wang Wenjin, Luo Bin, Zhang Zhenyu, Huang Zhengjie, Cao Yuhui, Yin We-ichong, Chen Yongfeng, Zhang Yin, Feng Shikun, Sun Yu, Tian Hao, Wu Hua, Wang Haifeng, Ernie-layout: Layout knowledge enhanced pre-training for visually-rich document understanding, Findings of the Association for Computational Linguistics: EMNLP 2022, pp. 3744-3756, (2022); Ryoo Michael, Piergiovanni AJ, Arnab Anurag, Dehghani Mostafa, Angelova Anelia, Tokenlearner: Adaptive space-time tokenization for videos, Advances in Neural Information Processing Systems, pp. 12786-12797, (2021); Tang Guozhi, Xie Lele, Jin Lianwen, Wang Jiapeng, Chen Jingdong, Xu Zhen, Wang Qianying, Wu Yaqiang, Li Hui, MatchVIE: Exploiting match relevancy between entities for visual information extraction, IJCAI, pp. 1039-1045, (2021); Wang Jiapeng, Jin Lianwen, Ding Kai, LiLT: A simple yet effective language-independent layout transformer for structured document understanding, Proceedings of the 60th Annual Meeting of the Association for Computational Linguistics (ACL), pp. 7747-7757, (2022); Wang Zhendong, Cun Xiaodong, Bao Jianmin, Zhou Wen-gang, Liu Jianzhuang, Li Houqiang, Uformer: A general u-shaped transformer for image restoration, Proceedings of the IEEE/CVF Conference on Computer Vision and Pattern Recognition (CVPR), pp. 17683-17693, (2022); Xu Peng, Shao Wenqi, Zhang Kaipeng, Gao Peng, Liu Shuo, Lei Meng, Meng Fanqing, Huang Siyuan, Qiao Yu, Luo Ping, Lvlm-ehub: A comprehensive evaluation benchmark for large vision-language models, (2023); Xu Yiheng, Li Minghao, Cui Lei, Huang Shaohan, Wei Furu, Zhou Ming, LayoutLM: Pre-training of text and layout for document image understanding, ACM-SIGKDD, pp. 1192-1200, (2020); Xu Yiheng, Lv Tengchao, Cui Lei, Wang Guoxin, Lu Yijuan, Florencio Dinei, Zhang Cha, Wei Furu, LayoutXLM: Multimodal pre-training for multilingual visually-rich document understanding, (2021); Yang Jianwei, Li Chunyuan, Zhang Pengchuan, Dai Xiyang, Xiao Bin, Yuan Lu, Gao Jianfeng, Focal attention for long-range interactions in vision transformers, Advances in Neural Information Processing Systems, (2021); Yin Shukang, Fu Chaoyou, Zhao Sirui, Li Ke, Sun Xing, Xu Tong, Chen Enhong, A survey on multimodal large language models, (2023); Zhang Hang, Gong Yeyun, Shen Yelong, Li Weisheng, Lv Jiancheng, Duan Nan, Chen Weizhu, Poolingformer: Long document modeling with pooling attention, Proceedings of ICML, (2021); Zhang Yue, Bo Zhang, Wang Rui, Cao Junjie, Li Chen, Bao Zuyi, Entity relation extraction as dependency parsing in visually rich documents, Proceedings of the 2021 Conference on Empirical Methods in Natural Language Processing, pp. 2759-2768, (2021); Zhu Deyao, Chen Jun, Shen Xiaoqian, Li Xiang, Elhoseiny Mohamed, Minigpt-4: Enhancing vision-language understanding with advanced large language models, (2023)</t>
  </si>
  <si>
    <t>X. Chen; Zhejiang University, China; email: xnchen2020@zju.edu.cn</t>
  </si>
  <si>
    <t>2-s2.0-85183295986</t>
  </si>
  <si>
    <t>Chen X.; Zhang N.; Xie X.; Deng S.; Yao Y.; Tan C.; Huang F.; Si L.; Chen H.</t>
  </si>
  <si>
    <t>Chen, Xiang (59157641500); Zhang, Ningyu (55923601900); Xie, Xin (57222379771); Deng, Shumin (57201556430); Yao, Yunzhi (57225213006); Tan, Chuanqi (57221151395); Huang, Fei (57210150087); Si, Luo (7006717974); Chen, Huajun (35268022500)</t>
  </si>
  <si>
    <t>59157641500; 55923601900; 57222379771; 57201556430; 57225213006; 57221151395; 57210150087; 7006717974; 35268022500</t>
  </si>
  <si>
    <t>KnowPrompt: Knowledge-aware Prompt-tuning with Synergistic Optimization for Relation Extraction</t>
  </si>
  <si>
    <t>WWW 2022 - Proceedings of the ACM Web Conference 2022</t>
  </si>
  <si>
    <t>2778.0</t>
  </si>
  <si>
    <t>2788.0</t>
  </si>
  <si>
    <t>298.0</t>
  </si>
  <si>
    <t>10.1145/3485447.3511998</t>
  </si>
  <si>
    <t>https://www.scopus.com/inward/record.uri?eid=2-s2.0-85123473602&amp;doi=10.1145%2f3485447.3511998&amp;partnerID=40&amp;md5=bcd4c1d0c6b6dea63bea66a9cca0f9b1</t>
  </si>
  <si>
    <t>Zhejiang University, Azft Joint Lab for Knowledge Engine, Hangzhou Innovation Center Hangzhou, Zhejiang, China; Alibaba Group, Zhejiang, Hangzhou, China</t>
  </si>
  <si>
    <t>Chen X., Zhejiang University, Azft Joint Lab for Knowledge Engine, Hangzhou Innovation Center Hangzhou, Zhejiang, China; Zhang N., Zhejiang University, Azft Joint Lab for Knowledge Engine, Hangzhou Innovation Center Hangzhou, Zhejiang, China; Xie X., Zhejiang University, Azft Joint Lab for Knowledge Engine, Hangzhou Innovation Center Hangzhou, Zhejiang, China; Deng S., Zhejiang University, Azft Joint Lab for Knowledge Engine, Hangzhou Innovation Center Hangzhou, Zhejiang, China; Yao Y., Zhejiang University, Azft Joint Lab for Knowledge Engine, Hangzhou Innovation Center Hangzhou, Zhejiang, China; Tan C., Alibaba Group, Zhejiang, Hangzhou, China; Huang F., Alibaba Group, Zhejiang, Hangzhou, China; Si L., Alibaba Group, Zhejiang, Hangzhou, China; Chen H., Zhejiang University, Azft Joint Lab for Knowledge Engine, Hangzhou Innovation Center Hangzhou, Zhejiang, China</t>
  </si>
  <si>
    <t>Recently, prompt-tuning has achieved promising results for specific few-shot classification tasks. The core idea of prompt-tuning is to insert text pieces (i.e., templates) into the input and transform a classification task into a masked language modeling problem. However, for relation extraction, determining an appropriate prompt template requires domain expertise, and it is cumbersome and time-consuming to obtain a suitable label word. Furthermore, there exists abundant semantic and prior knowledge among the relation labels that cannot be ignored. To this end, we focus on incorporating knowledge among relation labels into prompt-tuning for relation extraction and propose a Knowledge-aware Prompt-tuning approach with synergistic optimization (KnowPrompt). Specifically, we inject latent knowledge contained in relation labels into prompt construction with learnable virtual type words and answer words. Then, we synergistically optimize their representation with structured constraints. Extensive experimental results on five datasets with standard and low-resource settings demonstrate the effectiveness of our approach. Our code and datasets are available in GitHub1 for reproducibility. ¬© 2022 ACM.</t>
  </si>
  <si>
    <t>Knowledge-aware; Prompt-tuning; Relation Extraction</t>
  </si>
  <si>
    <t>Computational linguistics; Modeling languages; Semantics; Text processing; Classification tasks; Domain expertise; Knowledge-aware; Language model; Model problems; Optimisations; Prompt-tuning; Relation extraction; Semantics knowledge; Shot classification; Extraction</t>
  </si>
  <si>
    <t>NSFC91846204; Tsinghua University Guoqiang Research Institute; National Natural Science Foundation of China, NSFC, (U21B2026); National Natural Science Foundation of China, NSFC</t>
  </si>
  <si>
    <t>Funding text 1: This work is funded by NSFC91846204.; Funding text 2: This work is supported by the Natural Science Foundation of China (Grant No. U21B2026) and Tsinghua University Guoqiang Research Institute.</t>
  </si>
  <si>
    <t>Alt C., Gabryszak A., Hennig L., TACRED Revisited: A Thorough Evaluation of the TACRED Relation Extraction Task, Proceedings of Acl 2020, (2020); Bai X., Chen Y., Song L., Zhang Y., Semantic Representation for Dialogue Modeling, Proceedings of ACL/IJCNLP 2021, (2021); Baldini Soares L., FitzGerald N., Ling J., Kwiatkowski T., Matching the Blanks: Distributional Similarity for Relation Learning, Proceedings of ACL/IJCNLP 2019, (2019); Bastos A., Nadgeri A., Singh K., Onando Mulang I., Shekarpour S., Hoffart J., Kaul M., RECON: Relation Extraction using Knowledge Graph Context in a Graph Neural Network, Proceedings of the Web Conference 2021., pp. 1673-1685, (2021); Baumgartner M., Zhang W., Paudel B., Dell'Aglio D., Chen H., Bernstein A., Aligning Knowledge Base and Document Embedding Models Using Regularized Multi-Task Learning, International Semantic Web Conference (1) (Lecture Notes in Computer Science, pp. 21-37, (2018); Ben-David E., Oved N., Reichart R., PADA: A Prompt-based Autoregressive Approach for Adaptation to Unseen Domains., (2021); Brown T.B., Mann B., Ryder N., Subbiah M., Kaplan J., Dhariwal P., Neelakantan A., Shyam P., Sastry G., Askell A., Agarwal S., Herbert-Voss A., Krueger G., Henighan T., Child R., Ramesh A., Ziegler D.M., Wu J., Winter C., Hesse C., Chen M., Sigler E., Litwin M., Gray S., Chess B., Clark J., Berner C., McCandlish S., Radford A., Sutskever I., Amodei D., Language Models are Few-Shot Learners, Proceedings of NeurIPS 2020, (2020); Elaine Califf M., Mooney R.J., Relational Learning of Pattern-Match Rules for Information Extraction, Proceedings of AAAI., pp. 328-334, (1999); Chen J., Geng Y., Chen Z., Pan J.Z., He Y., Zhang W., Horrocks I., Chen H., Low-resource Learning with Knowledge Graphs: A Comprehensive Survey., (2021); Devlin J., Chang M., Lee K., Toutanova K., BERT: Pre-Training of Deep Bidirectional Transformers for Language Understanding, Proceedings of NAACL-HLT 2019, (2019); Ding N., Chen Y., Han X., Xu G., Xie P., Zheng H., Liu Z., Li J., Kim H., Prompt-Learning for Fine-Grained Entity Typing., (2021); Ding N., Chen Y., Han X., Xu G., Xie P., Zheng H., Liu Z., Li J., Kim H., Prompt-Learning for Fine-Grained Entity Typing., (2021); Distiawan B., Weikum G., Qi J., Zhang R., Neural relation extraction for knowledge base enrichment, Proceedings of ACL., pp. 229-240, (2019); Dong B., Yao Y., Xie R., Gao T., Han X., Liu Z., Lin F., Lin L., Sun M., Meta-Information Guided Meta-Learning for Few-Shot Relation Classification, Proceedings of Coling 2020, (2020); Gao T., Fisch A., Chen D., Making Pre-Trained Language Models Better Few-shot Learners, Proceedings of Acl, (2021); Gao T., Han X., Liu Z., Sun M., Hybrid Attention-Based Prototypical Networks for Noisy Few-Shot Relation Classification, Proceedings of Aaai, (2019); Gao T., Han X., Xie R., Liu Z., Lin F., Lin L., Sun M., Neural Snowball for Few-Shot Relation Learning, Proceedings of Aaai 2020, (2020); Gu Y., Han X., Liu Z., Huang M., PPT: Pretrained Prompt Tuning for Few-shot Learning., (2021); Guo Z., Nan G., Lu W., Cohen S.B., Learning Latent Forests for Medical Relation Extraction, IJCAI., pp. 3651-3657, (2020); Guo Z., Zhang Y., Lu W., Attention Guided Graph Convolutional Networks for Relation Extraction, Proceedings of Acl, 2019, (2019); Hambardzumyan K., Khachatrian H., May J., WARP: Word-level Adversarial ReProgramming, Proceedings of ACL/IJCNLP, 2021, (2021); Han X., Zhao W., Ding N., Liu Z., Sun M., PTR: Prompt Tuning with Rules for Text Classification., (2021); Han X., Zhu H., Yu P., Yuan Yao Z., Liu Z., Sun M., FewRel: A Large-Scale Supervised Few-shot Relation Classification Dataset with State-of-The-Art Evaluation, Proceedings of Emnlp, 2018, (2018); Harting T., Mesbah S., Lofi C., LOREM: Languageconsistent Open Relation Extraction from Unstructured Text, Www '20: The Web Conference 2020, pp. 1830-1838, (2020); He J., Zhou C., Ma X., Berg-Kirkpatrick T., Neubig G., Towards a Unified View of Parameter-Efficient Transfer Learning., (2021); Hendrickx I., Nam Kim S., Kozareva Z., Nakov P., Seaghdha D.O., Pado S., Pennacchiotti M., Romano L., Szpakowicz S., SemEval-2010 Task 8: Multi-Way Classification of Semantic Relations between Pairs of Nominals, Proceedings of SemEval., pp. 33-38, (2010); Hu S., Ding N., Wang H., Liu Z., Li J., Sun M., Knowledgeable Prompt-Tuning: Incorporating Knowledge into Prompt Verbalizer for Text Classification., (2021); Hu S., Ding N., Wang H., Liu Z., Li J., Sun M., Knowledgeable Prompt-Tuning: Incorporating Knowledge into Prompt Verbalizer for Text Classification., (2021); Huffman S.B., Learning information extraction patterns from examples, Connectionist, Statistical, and Symbolic Approaches to Learning for Natural Language Processing, (1995); Joshi M., Chen D., Liu Y., Weld D.S., Zettlemoyer L., Levy O., SpanBERT: Improving Pre-Training by Representing and Predicting Spans, Trans. Assoc. Comput. Linguistics, 8, pp. 64-77, (2020); Lester B., Al-Rfou R., Constant N., The Power of Scale for Parameter-Efficient Prompt Tuning., (2021); Li J., Wang R., Zhang N., Zhang W., Yang F., Chen H., Logic-guided Semantic Representation Learning for Zero-Shot Relation Classification, Proceedings of COLING., pp. 2967-2978, (2020); Li P., Mao K., Yang X., Li Q., Improving Relation Extraction with Knowledge-Attention, Proceedings of EMNLP., pp. 229-239, (2019); Li X.L., Liang P., Prefix-Tuning: Optimizing Continuous Prompts for Generation, Proceedings of ACL/IJCNLP, 2021, (2021); Liu P., Yuan W., Fu J., Jiang Z., Hayashi H., Neubig G., Pre-Train, Prompt, and Predict: A Systematic Survey of Prompting Methods in Natural Language Processing., (2021); Liu X., Zheng Y., Du Z., Ding M., Qian Y., Yang Z., Tang J., Gpt Understands, Too., (2021); Lu Y., Bartolo M., Moore A., Riedel S., Stenetorp P., Fantastically Ordered Prompts and Where to Find Them: Overcoming Few-Shot Prompt Order Sensitivity., (2021); Peters M.E., Neumann M., Logan R., Schwartz R., Joshi V., Singh S., Smith N.A., Knowledge Enhanced Contextual Word Representations, Proceedings of EMNLP-IJCNLP., pp. 43-54, (2019); Qu M., Gao T., Xhonneux L.-P.A.C., Tang J., Fewshot Relation Extraction via Bayesian Meta-learning on Relation Graphs, Proceedings of Icml 2020, (2020); Reynolds L., McDonell K., Prompt programming for large language models: Beyond the few-shot paradigm, Proceeding of CHI., pp. 1-7, (2021); Le Scao T., Rush A.M., How Many Data Points Is a Prompt Worth?, (2021); Schick T., Schmid H., Schutze H., Automatically Identifying Words That Can Serve as Labels for Few-Shot Text Classification, Proceedings of Coling, (2020); Schick T., Schutze H., It's Not Just Size That Matters: Small Language Models Are Also Few-Shot Learners., (2020); Schick T., Schutze H., Exploiting Cloze-Questions for Few-Shot Text Classification and Natural Language Inference, Proceedings of Eacl, 2021, (2021); Shen Y., Ma X., Tang Y., Lu W., A Trigger-Sense Memory Flow Framework for Joint Entity and Relation Extraction, Www '21: The Web Conference 2021, pp. 1704-1715, (2021); Shin T., Razeghi Y., Logan R.L., Wallace E., Singh S., AutoPrompt: Eliciting Knowledge from Language Models with Automatically Generated Prompts, Proceedings of Emnlp, 2020, (2020); Stoica G., Antonios Platanios E., Poczos B., Re-TACRED: Addressing Shortcomings of the Tacred Dataset., (2021); Wang Z., Wen R., Chen X., Huang S., Zhang N., Zheng Y., Finding Influential Instances for Distantly Supervised Relation Extraction., (2020); Wu S., He Y., Enriching Pre-Trained Language Model with Entity Information for Relation Classification, Proceedings of TheCIKM, 2019, (2019); Wu T., Li X., Li Y., Haffari R., Qi G., Zhu Y., Xu G., Curriculum-Meta Learning for Order-Robust Continual Relation Extraction., (2021); Xue F., Sun A., Zhang H., Siong Chng E., GDPNet: Refining Latent Multi-View Graph for Relation Extraction, Proceedings of Aaai, 2021, (2021); Yamada I., Asai A., Shindo H., Takeda H., Matsumoto Y., LUKE: Deep Contextualized Entity Representations with Entity-Aware Self-Attention, Proceedings of Emnlp, 2020, (2020); Ye H., Zhang N., Deng S., Chen M., Tan C., Huang F., Chen H., Contrastive Triple Extraction with Generative Transformer, Proceedings of Aaai, 2021, (2021); Yu D., Sun K., Cardie C., Yu D., Dialogue-Based Relation Extraction, Proceedings of Acl, 2020, (2020); Yu H., Zhang N., Deng S., Ye H., Zhang W., Chen H., Bridging Text and Knowledge with Multi-Prototype Embedding for Few-Shot Relational Triple Extraction, Proceedings of COLING., pp. 6399-6410, (2020); Zeng D., Liu K., Chen Y., Zhao J., Distant Supervision for Relation Extraction via Piecewise Convolutional Neural Networks, Proceedings of Emnlp, 2015, (2015); Zhang N., Chen X., Xie X., Deng S., Tan C., Chen M., Huang F., Si L., Chen H., Document-level Relation Extraction as Semantic Segmentation, Proceedings of Ijcai, pp. 3999-4006, (2021); Zhang N., Deng S., Sun Z., Chen X., Zhang W., Chen H., Attention-Based Capsule Network with Dynamic Routing for Relation Extraction, Proceedings of Emnlp, 2018, (2018); Zhang N., Deng S., Sun Z., Xi Chen G., Zhang W., Chen H., Long-Tail Relation Extraction via Knowledge Graph Embeddings and Graph Convolution Networks, Proceedings of NAACL-HLT, (2019); Zhang N., Jia Q., Deng S., Chen X., Ye H., Chen H., Tou H., Huang G., Wang Z., Hua N., Chen H., AliCG: Fine-grained and Evolvable Conceptual Graph Construction for Semantic Search at Alibaba, Proceedings of KDD., pp. 3895-3905, (2021); Zhang Y., Qi P., Manning C.D., Graph Convolution over Pruned Dependency Trees Improves Relation Extraction, Proceedings of Emnlp, 2018, (2018); Zhang Y., Zhong V., Chen D., Angeli G., Manning C.D., Position-Aware Attention and Supervised Data Improve Slot Filling, Proceedings of Emnlp 2017, (2017); Zhang Y., Zhong V., Chen D., Angeli G., Manning C.D., Position-Aware attention and supervised data improve slot filling, Proceedings of EMNLP., pp. 35-45, (2017); Zheng H., Wen R., Chen X., Yang Y., Zhang Y., Zhang Z., Zhang N., Qin B., Ming X., Zheng Y., PRGC: Potential Relation and Global Correspondence Based Joint Relational Triple Extraction, Proceedings of ACL/IJCNLP, 2021, (2021); Zhou P., Shi W., Tian J., Qi Z., Li B., Hao H., Xu B., Attention-Based Bidirectional Long Short-Term Memory Networks for Relation Classification, Proceedings of Acl, 2016, (2016); Zhou W., Chen M., An Improved Baseline for Sentencelevel Relation Extraction., (2021); Zhou W., Lin H., Yuchen Lin B., Wang Z., Du J., Neves L., Ren X., NERO: A Neural Rule Grounding Framework for Label-Efficient Relation Extraction, WWW'20: TheWeb Conference 2020, pp. 2166-2176, (2020)</t>
  </si>
  <si>
    <t>N. Zhang; Zhejiang University, Azft Joint Lab for Knowledge Engine, Hangzhou Innovation Center Hangzhou, Zhejiang, China; email: zhangningyu@zju.edu.cn; H. Chen; Zhejiang University, Azft Joint Lab for Knowledge Engine, Hangzhou Innovation Center Hangzhou, Zhejiang, China; email: huajunsir@zju.edu.cn</t>
  </si>
  <si>
    <t>ACM SIGWEB</t>
  </si>
  <si>
    <t>31st ACM World Wide Web Conference, WWW 2022</t>
  </si>
  <si>
    <t>25 April 2022 through 29 April 2022</t>
  </si>
  <si>
    <t>178956.0</t>
  </si>
  <si>
    <t>978-145039096-5</t>
  </si>
  <si>
    <t>WWW - Proc. ACM Web Conf.</t>
  </si>
  <si>
    <t>2-s2.0-85123473602</t>
  </si>
  <si>
    <t>Nam S.; Kim E.-K.</t>
  </si>
  <si>
    <t>Nam, Sangha (57077587500); Kim, Eun-Kyung (55705515700)</t>
  </si>
  <si>
    <t>57077587500; 55705515700</t>
  </si>
  <si>
    <t>Cost-Effective Knowledge Extraction Framework for Low-Resource Environments</t>
  </si>
  <si>
    <t>60668.0</t>
  </si>
  <si>
    <t>60681.0</t>
  </si>
  <si>
    <t>10.1109/ACCESS.2024.3394906</t>
  </si>
  <si>
    <t>https://www.scopus.com/inward/record.uri?eid=2-s2.0-85192190957&amp;doi=10.1109%2fACCESS.2024.3394906&amp;partnerID=40&amp;md5=1833ca37460f5fd6bcfd33e7309fa82c</t>
  </si>
  <si>
    <t>Language AI Laboratory, NCSoft, Seongnam, 13494, South Korea; Department of Big Data and AI, Daejeon University, Daejeon, 34520, South Korea</t>
  </si>
  <si>
    <t>Nam S., Language AI Laboratory, NCSoft, Seongnam, 13494, South Korea; Kim E.-K., Department of Big Data and AI, Daejeon University, Daejeon, 34520, South Korea</t>
  </si>
  <si>
    <t>Extracting knowledge from texts is crucial for enriching everyday knowledge. Constructing a knowledge extraction environment requires comprehensive processes, such as data generation, data processing, and model and framework design. However, these processes require significant effort in low-resource environments where shared data are not published. Currently, there is no environment that can design an entire knowledge extraction framework and perform step-by-step experiments even with unlimited resources. Thus, this study proposes a method for building a cost-effective knowledge extraction environment. In particular, we present a low-cost, high-quality method for annotating a corpus for knowledge extraction, in which data sharing is unavailable. The dataset collected using this method improves the performance of knowledge-extraction system models. Specifically, the co-reference resolution and relation extraction performance were improved by 10% and 18.9%, respectively. Additionally, the entire knowledge extraction system was evaluated using sequential multitask learning, and the performance was improved by 5% as each trained model was introduced. 2024 The Authors. This work is licensed under a Creative Commons Attribution-NonCommercial-NoDerivatives 4.0 License.</t>
  </si>
  <si>
    <t>Crowdsourcing; knowledge base; knowledge extraction; low-resource environment</t>
  </si>
  <si>
    <t>Cost benefit analysis; Cost effectiveness; Data handling; Extraction; Information retrieval; Job analysis; Knowledge based systems; Search engines; Annotation; Cost effective; Extraction systems; Knowledge base; Knowledge extraction; Knowledge-based systems; Low-resource environment; Performance; Resources environments; Task analysis; Data mining</t>
  </si>
  <si>
    <t>Auer S.R., Bizer C., Kobilarov G., Lehmann J., Cyganiak R., Ives Z., DBpedia: A nucleus for a web of open data, Proc. Int. Semantic Web Conf., 4825, pp. 722-735, (2007); Suchanek F.M., Kasneci G., Weikum G., Yago: A core of semantic knowledge, Proc. 16th Int. Conf. World Wide Web, pp. 697-706, (2007); Vrandecic D., Krotzsch M., Wikidata: A free collaborative knowledge base, Commun. ACM, 57, 10, pp. 78-85, (2014); Augenstein I., Pado S., Rudolph S., LODifier: Generating linked data from unstructured text, Proc. Extended Semantic Web Conf. Berlin, pp. 210-224, (2012); Gangemi A., Draicchio F., Presutti V., Nuzzolese A.G., Reforgiato D., A machine reader for the semantic web, Proc. 12th Int. Semantic Web Conf., 1035, pp. 149-152, (2013); Vossen P., Agerri R., Aldabe I., Cybulska A., van Erp M., Fokkens A., Laparra E., Minard A.-L., Aprosio A.P., Rigau G., Rospocher M., Segers R., NewsReader: Using knowledge resources in a cross-lingual reading machine to generate more knowledge from massive streams of news, Knowl.-Based Syst., 110, pp. 60-85, (2016); Corcoglioniti F., Rospocher M., Aprosio A.P., Frame-based ontology population with PIKES, IEEE Trans. Knowl. Data Eng., 28, 12, pp. 3261-3275, (2016); Song L., Wang A., Pan X., Zhang H., Yu D., Jin L., Mi H., Su J., Zhang Y., Yu D., OpenFact: Factuality enhanced open knowledge extraction, Trans. Assoc. Comput. Linguistics, 11, pp. 686-702, (2023); Xu B., Xu Y., Liang J., Xie C., Liang B., Cui W., Xiao Y., CN-DBpedia: A never-ending Chinese knowledge extraction system, Proc. Int. Conf. Ind., Eng. Other Appl. Appl. Intell. Syst., pp. 428-438, (2017); Ma N., Wang D., Bao H., He L., Zheng S., KEPL: Knowledge enhanced prompt learning for Chinese hypernym-hyponym extraction, Proc. Conf. Empirical Methods Natural Lang. Process. Singapore: Association for, pp. 5858-5867, (2023); Le P., Titov I., Improving entity linking by modeling latent relations between mentions, (2018); Soares L.B., FitzGerald N., Ling J., Kwiatkowski T., Matching the blanks: Distributional similarity for relation learning, (2019); Kassner N., Petroni F., Plekhanov M., Riedel S., Cancedda N., EDIN: An end-to-end benchmark and pipeline for unknown entity discovery and indexing, Proc. Conf. Empirical Methods Natural Lang. Process. Abu Dhabi, pp. 8659-8673, (2022); Clark K., Manning C.D., Improving coreference resolution by learning entity-level distributed representations, (2016); Lee K., He L., Lewis M., Zettlemoyer L., End-to-end neural coreference resolution, (2017); Lee K., He L., Zettlemoyer L., Higher-order coreference resolution with coarse-to-fine inference, (2018); Joshi M., Levy O., Weld D.S., Zettlemoyer L., BERT for coreference resolution: Baselines and analysis, (2019); Lehmann J., Gerber D., Morsey M., Ngomo A.-C.N., DeFactodeep fact validation, Proc. Int. Semantic Web Conf. Berlin, pp. 312-327, (2012); Ortona S., Meduri V.V., Papotti P., Robust discovery of positive and negative rules in knowledge bases, Proc. IEEE 34th Int. Conf. Data Eng. (ICDE), pp. 1168-1179, (2018); Eberts M., Ulges A., Span-based joint entity and relation extraction with transformer pre-training, (2019); Liu A., Soderland S., Bragg J., Lin C.H., Ling X., Weld D.S., Effective crowd annotation for relation extraction, Proc. Conf. North Amer. Chapter Assoc. Comput. Linguistics, Human Lang. Technol., pp. 897-906, (2016); Chamberlain J., Poesio M., Kruschwitz U., Phrase Detectives Corpus 1.0 crowdsourced anaphoric coreference, Proc. LREC, pp. 2039-2046, (2016); Demartini G., Difallah D.E., Cudre-Mauroux P., ZenCrowd: Leveraging probabilistic reasoning and crowdsourcing techniques for large-scale entity linking, Proc. 21st Int. Conf. World Wide Web, pp. 469-478, (2012); Mintz M., Bills S., Snow R., Jurafsky D., Distant supervision for relation extraction without labeled data, Proc. Joint Conf. 47th Annu. Meeting ACL 4th Int. Joint Conf. Natural Lang. Process. (AFNLP), 2, pp. 1003-1011, (2009); Gururangan S., Swayamdipta S., Levy O., Schwartz R., Bowman S.R., Smith N.A., Annotation artifacts in natural language inference data, (2018); Nisioi S., Stajner S., Ponzetto S.P., Dinu L.P., Exploring neural text simplification models, Proc. 55th Annu. Meeting Assoc. Comput. Linguistics, 2, pp. 85-91, (2017); Nam S., Kim E.-K., Kim J., Jung Y., Han K., Choi K.-S., A Korean knowledge extraction system for enriching a KBox, Proc. 27th Int. Conf. Comput. Linguistics, Syst. Demonstrations, pp. 20-24, (2018); Park C., Lee C., Ryu J., Kim H., Contextualized embedding and character embedding-based pointer network for Korean coreference resolution, Proc. 30th Annu. Conf. Human Cognit. Lang. Technol., pp. 239-242, (2018); Park C.-E., Choi K.-H., Lee C., Korean coreference resolution using the multi-pass sieve, J. KIISE, 41, 11, pp. 992-1005, (2014); Pradhan S., Moschitti A., Xue N., Uryupina O., Zhang Y., CoNLL-2012 shared task: Modeling multilingual unrestricted coreference in OntoNotes, Proc. Joint Conf. EMNLP CoNLL-Shared Task, pp. 1-40, (2012); Park C., Lee C., Coreference resolution for Korean pronouns using pointer networks, J. KIISE, 44, 5, pp. 496-502, (2017); Choi M., Lee C., Wang J., Jang M.-G., Reference resolution for ontology population, Proc. 19th Annu. Conf. Human Cognit. Lang. Technol., pp. 140-144, (2007); Hoffart J., Yosef M.A., Bordino I., Furstenau H., Pinkal M., Spaniol M., Taneva B., Thater S., Weikum G., Robust disambiguation of named entities in text, Proc. Conf. Empirical Methods Natural Lang. Process., pp. 782-792, (2011); Vossen P., Rigau G., Serafini L., Stouten P., Irving F., Van Hage W.R., NewsReader: Recording history from daily news streams, Proc. LREC, pp. 2000-2007, (2014); Gupta N., Singh S., Roth D., Entity linking via joint encoding of types, descriptions, and context, Proc. Conf. Empirical Methods Natural Lang. Process., pp. 2681-2690, (2017); Kim J., Nam S., Choi K.-S., Universal schemas using shortest dependency paths for free word order languages, Proc. Int. Semantic Web Conf. (P&amp;D/Industry/BlueSky), (2018); Han X., Zhu H., Yu P., Wang Z., Yao Y., Liu Z., Sun M., FewRel: A large-scale supervised few-shot relation classification dataset with state-of-the-art evaluation, (2018); Zeng D., Liu K., Chen Y., Zhao J., Distant supervision for relation extraction via piecewise convolutional neural networks, Proc. Conf. Empirical Methods Natural Lang. Process., pp. 1753-1762, (2015); Wu Y., Bamman D., Russell S., Adversarial training for relation extraction, Proc. Conf. Empirical Methods Natural Lang. Process., pp. 1778-1783, (2017); Qin P., Xu W., Yang Wang W., Robust distant supervision relation extraction via deep reinforcement learning, (2018); Riedel S., Yao L., McCallum A., Modeling relations and their mentions without labeled text, Proc. Joint Eur. Conf. Mach. Learn. Knowl. Discovery Databases (ECML/PKDD), pp. 148-163, (2010); Zhang X., Li P., Jia W., Zhao H., Multi-labeled relation extraction with attentive capsule network, Proc. AAAI Conf. Artif. Intell., 33, pp. 7484-7491, (2019); Yuan Y., Liu L., Tang S., Zhang Z., Zhuang Y., Pu S., Wu F., Ren X., Cross-relation cross-bag attention for distantly-supervised relation extraction, Proc. AAAI Conf. Artif. Intell., 33, pp. 419-426, (2019); Beltagy I., Lo K., Ammar W., Combining distant and direct supervision for neural relation extraction, (2018); Hendrickx I., Kim S.N., Kozareva Z., Nakov P., Seaghdha D.O., Pado S., Pennacchiotti M., Romano L., Szpakowicz S., SemEval-2010 task 8: Multi-way classification of semantic relations between pairs of nominals, (2019); Wu R., Yao Y., Han X., Xie R., Liu Z., Lin F., Lin L., Sun M., Open relation extraction: Relational knowledge transfer from supervised data to unsupervised data, Proc. Conf. Empirical Methods Natural Lang. Process. 9th Int. Joint Conf. Natural Lang. Process. (EMNLPIJCNLP), pp. 219-228, (2019); Bunescu R., Pasca M., Using encyclopedic knowledge for named entity disambiguation, Proc. 11th Conf. Eur. Chapter Assoc. Comput. Linguistics, pp. 9-16, (2006); Kolitsas N., Ganea O.-E., Hofmann T., End-to-end neural entity linking, Proc. 22nd Conf. Comput. Natural Lang. Learn., pp. 519-529, (2018); Kim Y., Convolutional neural networks for sentence classification, (2014); Zhou P., Shi W., Tian J., Qi Z., Li B., Hao H., Xu B., Attention-based bidirectional long short-term memory networks for relation classification, Proc. 54th Annu. Meeting Assoc. Comput. Linguistics, 2, pp. 207-212, (2016); Han X., Sun L., Global distant supervision for relation extraction, Proc. 30th AAAI Conf. Artif. Intell., pp. 2950-2956, (2016); Hoffmann R., Zhang C., Ling X., Zettlemoyer L., Weld D.S., Knowledge-based weak supervision for information extraction of overlapping relations, Proc. 49th Annu. Meeting Assoc. Comput. Linguistics, Human Lang. Technol., pp. 541-550, (2011); Lin Y., Shen S., Liu Z., Luan H., Sun M., Neural relation extraction with selective attention over instances, Proc. 54th Annu. Meeting Assoc. Comput. Linguistics, 1, pp. 2124-2133, (2016); Surdeanu M., Tibshirani J., Nallapati R., Manning C.D., Multiinstance multi-label learning for relation extraction, Proc. Conf. Empirical Methods Natural Lang. Process. Comput. Natural Lang. Learn., pp. 455-465, (2012); Jiang X., Wang Q., Li P., Wang B., Relation extraction with multi-instance multi-label convolutional neural networks, Proc. 26th Int. Conf. Comput. Linguistics, Tech. Papers (COLING), pp. 1471-1480, (2016); Feng J., Huang M., Zhao L., Yang Y., Zhu X., Reinforcement learning for relation classification from noisy data, Proc. AAAI, pp. 5779-5786, (2018); Angeli G., Tibshirani J., Wu J., Manning C.D., Combining distant and partial supervision for relation extraction, Proc. Conf. Empirical Methods Natural Lang. Process. (EMNLP), pp. 1556-1567, (2014); Pershina M., Min B., Xu W., Grishman R., Infusion of labeled data into distant supervision for relation extraction, Proc. 52nd Annu. Meeting Assoc. Comput. Linguistics, 2, pp. 732-738, (2014); Zhang C., Niu F., Re C., Shavlik J., Big data versus the crowd: Looking for relationships in all the right places, Proc. 50th Annu. Meeting Assoc. Comput. Linguistics, Long Papers, 1, pp. 825-834, (2012); Inel O., Khamkham K., Cristea T., Dumitrache A., Rutjes A., van der Ploeg J., Romaszko L., Aroyo L., Sips R.-J., CrowdTruth: Machine‚Äìhuman computation framework for harnessing disagreement in gathering annotated data, Proc. Int. Semantic Web Conf., pp. 486-504, (2014); Snow R., O'Connor B., Jurafsky D., Ng A.Y., Cheap and fast‚ÄîBut is it good? Evaluating non-expert annotations for natural language tasks, Proc. Conf. Empirical Methods Natural Lang. Process. (EMNLP), pp. 254-263, (2008); Bontcheva K., Derczynski L., Roberts I., Crowdsourcing named entity recognition and entity linking corpora, Handbook of Linguistic Annotation, pp. 875-892, (2017)</t>
  </si>
  <si>
    <t>E.-K. Kim; Department of Big Data and AI, Daejeon University, Daejeon, 34520, South Korea; email: eunkk@dju.kr</t>
  </si>
  <si>
    <t>2-s2.0-85192190957</t>
  </si>
  <si>
    <t>Saetia C.; Thonglong A.; Amornchaiteera T.; Chalothorn T.; Taerungruang S.; Buabthong P.</t>
  </si>
  <si>
    <t>Saetia, Chanatip (57204899037); Thonglong, Areeya (59126460200); Amornchaiteera, Thanpitcha (59125945000); Chalothorn, Tawunrat (56523303800); Taerungruang, Supawat (57203724707); Buabthong, Pakpoom (57195431698)</t>
  </si>
  <si>
    <t>57204899037; 59126460200; 59125945000; 56523303800; 57203724707; 57195431698</t>
  </si>
  <si>
    <t>Streamlining event extraction with a simplified annotation framework</t>
  </si>
  <si>
    <t>Frontiers in Artificial Intelligence</t>
  </si>
  <si>
    <t>10.3389/frai.2024.1361483</t>
  </si>
  <si>
    <t>https://www.scopus.com/inward/record.uri?eid=2-s2.0-85192957688&amp;doi=10.3389%2ffrai.2024.1361483&amp;partnerID=40&amp;md5=99dbcba6e126c86c6b93390eef61f2b6</t>
  </si>
  <si>
    <t>Kasikorn Labs, Kasikorn Business-Technology Group, Nonthaburi, Thailand; Department of Thai, Faculty of Humanities, Chiangmai University, Chiang Mai, Thailand; Faculty of Science and Technology, Nakhon Ratchasima Rajabhat University, Nakhon Ratchasima, Thailand</t>
  </si>
  <si>
    <t>Saetia C., Kasikorn Labs, Kasikorn Business-Technology Group, Nonthaburi, Thailand; Thonglong A., Department of Thai, Faculty of Humanities, Chiangmai University, Chiang Mai, Thailand; Amornchaiteera T., Department of Thai, Faculty of Humanities, Chiangmai University, Chiang Mai, Thailand; Chalothorn T., Kasikorn Labs, Kasikorn Business-Technology Group, Nonthaburi, Thailand; Taerungruang S., Department of Thai, Faculty of Humanities, Chiangmai University, Chiang Mai, Thailand; Buabthong P., Faculty of Science and Technology, Nakhon Ratchasima Rajabhat University, Nakhon Ratchasima, Thailand</t>
  </si>
  <si>
    <t>Event extraction, grounded in semantic relationships, can serve as a simplified relation extraction. In this study, we propose an efficient open-domain event annotation framework tailored for subsequent information extraction, with a specific focus on its applicability to low-resource languages. The proposed event annotation method, which is based on event semantic elements, demonstrates substantial time-efficiency gains over traditional Universal Dependencies (UD) tagging. We show how language-specific pretraining outperforms multilingual counterparts in entity and relation extraction tasks and emphasize the importance of task- and language-specific fine-tuning for optimal model performance. Furthermore, we demonstrate the improvement of model performance upon integrating UD information during pre-training, achieving the F1 score of 71.16 and 60.43% for entity and relation extraction respectively. In addition, we showcase the usage of our extracted event graph for improving node classification in a retail banking domain. This work provides valuable guidance on improving information extraction and outlines a methodology for developing training datasets, particularly for low-resource languages. Copyright ¬© 2024 Saetia, Thonglong, Amornchaiteera, Chalothorn, Taerungruang and Buabthong.</t>
  </si>
  <si>
    <t>annotation guideline; event extraction; event graph; generative model; Universal Dependencies</t>
  </si>
  <si>
    <t>Innovation Research and Development at Kasikorn Business-Technology Group; KBTG; Kasikorn Business-Technology Group</t>
  </si>
  <si>
    <t xml:space="preserve">Funding text 1: This work was supported by Innovation Research and Development at Kasikorn Business-Technology Group (KBTG). ; Funding text 2: CS and TC were employed at Kasikorn Labs, Kasikorn Business-Technology Group. The authors declare that this study received funding from Kasikorn Business-Technology Group. The funder had the following involvement in the study: study design, data collection and analysis. The remaining authors declare that the research was conducted in the absence of any commercial or financial relationships that could be construed as a potential conflict of interest. </t>
  </si>
  <si>
    <t>Agarwal O., Ge H., Shakeri S., Al-Rfou R., ‚ÄúKnowledge graph based synthetic corpus generation for knowledge-enhanced language model pre-training,‚Äù, Proceedings of the 2021 Conference of the North American Chapter of the Association for Computational Linguistics: Human Language Technologies, pp. 3554-3565, (2021); Ahmad W.U., Peng N., Chang K.-W., ‚ÄúGATE: graph attention transformer encoder for cross-lingual relation and event extraction,‚Äù, Proceedings of the AAAI Conference on Artificial Intelligence, Vol. 35, pp. 12462-12470, (2021); Asai A., Yu X., Kasai J., Hajishirzi H., One question answering model for many languages with cross-lingual dense passage retrieval, Adv. Neural Inform. Process. Syst, 34, pp. 7547-7560, (2021); Bekoulis G., Deleu J., Demeester T., Develder C., Joint entity recognition and relation extraction as a multi-head selection problem, Expert Syst. Appl, 114, pp. 34-45, (2018); Bjorne J., Salakoski T., ‚ÄúBiomedical event extraction using convolutional neural networks and dependency parsing,‚Äù, Proceedings of the BioNLP 2018 Workshop, pp. 98-108, (2018); Bronstein O., Dagan I., Li Q., Ji H., Frank A., ‚ÄúSeed-based event trigger labeling: How far can event descriptions get us?,‚Äù, Proceedings of the 53rd Annual Meeting of the Association for Computational Linguistics and the 7th International Joint Conference on Natural Language Processing (Vol. 2: Short Papers), pp. 372-376, (2015); Brown T., Mann B., Ryder N., Subbiah M., Kaplan J.D., Dhariwal P., Et al., Language models are few-shot learners, Adv. Neural Inform. Process. Syst, 33, pp. 1877-1901, (2020); Cassidy T., McDowell B., Chambers N., Bethard S., ‚ÄúAn annotation framework for dense event ordering,‚Äù, Proceedings of the 52nd Annual Meeting of the Association for Computational Linguistics (Vol. 2: Short Papers), pp. 501-506, (2014); Chambers N., Cassidy T., McDowell B., Bethard S., Dense event ordering with a multi-pass architecture, Trans. Assoc. Comput. Linguist, 2, pp. 273-284, (2014); Chau M.T., Esteves D., Lehmann J., Open-domain event extraction and embedding for natural gas market prediction, arXiv preprint arXiv:1912.11334, (2019); Chen L., Ruan W., Liu X., Lu J., ‚ÄúSeqVAT: Virtual adversarial training for semi-supervised sequence labeling,‚Äù, Proceedings of the 58th Annual Meeting of the Association for Computational Linguistics, pp. 8801-8811, (2020); Chen Y., Xu L., Liu K., Zeng D., Zhao J., ‚ÄúEvent extraction via dynamic multi-pooling convolutional neural networks,‚Äù, Proceedings of the 53rd Annual Meeting of the Association for Computational Linguistics and the 7th International Joint Conference on Natural Language Processing (Vol. 1: Long Papers), pp. 167-176, (2015); Chen Y., Xu L., Liu K., Zeng D., Zhao J., ‚ÄúEvent extraction via dynamic multi-pooling convolutional neural networks,‚Äù, Proceedings of the 53rd Annual Meeting of the Association for Computational Linguistics and the 7th International Joint Conference on Natural Language Processing (Vol. 1: Long Papers), pp. 167-176, (2015); Chung H.W., Hou L., Longpre S., Zoph B., Tay Y., Fedus W., Et al., Scaling instruction-finetuned language models, arXiv preprint arXiv:2210.11416, (2022); Colin E., Gardent C., M'rabet Y., Narayan S., Perez-Beltrachini L., ‚ÄúThe webnlg challenge: generating text from dbpedia data,‚Äù, Proceedings of the 9th International Natural Language Generation Conference, pp. 163-167, (2016); Devlin J., Chang M.-W., Lee K., Toutanova K., ‚ÄúBERT: pre-training of deep bidirectional transformers for language understanding,‚Äù, Proceedings of the 2019 Conference of the North American Chapter of the Association for Computational Linguistics: Human Language Technologies, Vol. 1 (Long and Short Papers), pp. 4171-4186, (2019); Eberts M., Ulges A., Span-based joint entity and relation extraction with transformer pre-training, arXiv preprint arXiv:1909.07755, (2019); Elhammadi S., Lakshmanan L.V., Ng R., Simpson M., Huai B., Wang Z., Et al., ‚ÄúA high precision pipeline for financial knowledge graph construction,‚Äù, Proceedings of the 28th International Conference on Computational Linguistics, pp. 967-977, (2020); Elsahar H., Vougiouklis P., Remaci A., Gravier C., Hare J., Laforest F., Et al., ‚ÄúT-REx: a large scale alignment of natural language with knowledge base triples,‚Äù, Proceedings of the Eleventh International Conference on Language Resources and Evaluation (LREC 2018), (2018); Fader A., Soderland S., Etzioni O., ‚ÄúIdentifying relations for open information extraction,‚Äù, Proceedings of the 2011 Conference on Empirical Methods in Natural Language Processing, pp. 1535-1545, (2011); Gupta S., Manning C.D., ‚ÄúImproved pattern learning for bootstrapped entity extraction,‚Äù, Proceedings of the Eighteenth Conference on Computational Natural Language Learning, pp. 98-108, (2014); Guu K., Lee K., Tung Z., Pasupat P., Chang M., ‚ÄúRetrieval augmented language model pre-training,‚Äù, International Conference on Machine Learning, pp. 3929-3938, (2020); Han S., Hao X., Huang H., An event-extraction approach for business analysis from online chinese news, Electr. Commerce Res. Appl, 28, pp. 244-260, (2018); Hang T., Feng J., Wu Y., Yan L., Wang Y., Joint extraction of entities and overlapping relations using source-target entity labeling, Expert Syst. Appl, 177, (2021); Hsu I., Huang K.H., Boschee E., Miller S., Natarajan P., Chang K.W., Et al., DEGREE: a data-efficient generative event extraction model, arXiv preprint arXiv:2108.12724, (2021); Huang L., Ji H., Cho K., Dagan I., Riedel S., Voss C., ‚ÄúZero-shot transfer learning for event extraction,‚Äù, Proceedings of the 56th Annual Meeting of the Association for Computational Linguistics (Vol. 1: Long Papers), pp. 2160-2170, (2018); Huang L., Ji H., Cho K., Voss C.R., Zero-shot transfer learning for event extraction, arXiv preprint arXiv:1707.01066, (2017); Ji Z., Lee N., Frieske R., Yu T., Su D., Xu Y., Et al., Survey of hallucination in natural language generation, ACM Comput. Surv, 55, pp. 1-38, (2023); Kang M., Baek J., Hwang S.J., KALA: knowledge-augmented language model adaptation, arXiv preprint arXiv:2204.10555, (2022); Khongcharoen W., Saetia C., Chalothorn T., Buabthong P., ‚ÄúQuestion answering over knowledge graphs for thai retail banking products,‚Äù, Proceeding of The 17th International Joint Symposium on Artificial Intelligence and Natural Language Processing (iSAI-NLP 2022), (2022); Kipf T.N., Welling M., Semi-supervised classification with graph convolutional networks, arXiv preprint arXiv:1609.02907, (2017); Klie J.-C., Bugert M., Boullosa B., Eckart de Castilho R., Gurevych I., ‚ÄúThe INCEpTION platform: machine-assisted and knowledge-oriented interactive annotation,‚Äù, Proceedings of the 27th International Conference on Computational Linguistics: System Demonstrations, pp. 5-9, (2018); Lai V.D., Nguyen T., ‚ÄúExtending event detection to new types with learning from keywords,‚Äù, Proceedings of the 5th Workshop on Noisy User-generated Text (W-NUT 2019), pp. 243-248, (2019); Lewis M., Liu Y., Goyal N., Ghazvininejad M., Mohamed A., Levy O., Et al., BART: denoising sequence-to-sequence pre-training for natural language generation, translation, and comprehension, arXiv preprint arXiv:1910.13461, (2019); Li D., Huang L., Ji H., Han J., ‚ÄúBiomedical event extraction based on knowledge-driven tree-LSTM,‚Äù, Proceedings of the 2019 Conference of the North American Chapter of the Association for Computational Linguistics: Human Language Technologies, Vol. 1 (Long and Short Papers), pp. 1421-1430, (2019); Li F., Huang R., Xiong D., Zhang M., ‚ÄúLearning event expressions via bilingual structure projection,‚Äù, Proceedings of COLING 2016, the 26th International Conference on Computational Linguistics: Technical Papers, pp. 1441-1450, (2016); Li F., Peng W., Chen Y., Wang Q., Pan L., Lyu Y., Et al., ‚ÄúEvent extraction as multi-turn question answering,‚Äù, Findings of the Association for Computational Linguistics: EMNLP 2020, pp. 829-838, (2020); Li Q., Li J., Sheng J., Cui S., Wu J., Hei Y., Et al., A survey on deep learning event extraction: approaches and applications, IEEE Trans. Neural Netw. Learn. Syst, 2022, pp. 1-21, (2022); Liu J., Min L., Huang X., An overview of event extraction and its applications, arXiv preprint arXiv:2111.03212, (2021); Liu Q., Luan Z., Wang K., Zou Y., Liu B., Zhang Y., Document-level event extraction‚Äîa survey of methods and applications, J. Phys, 2504, (2023); Liu X., Huang H., Zhang Y., Open domain event extraction using neural latent variable models, arXiv preprint arXiv:1906.06947, (2019); Liu X., Luo Z., Huang H., Jointly multiple events extraction via attention-based graph information aggregation, arXiv preprint arXiv:1809.09078, (2018); Lou C., Gao J., Yu C., Wang W., Zhao H., Tu W., Et al., ‚ÄúTranslation-based implicit annotation projection for zero-shot cross-lingual event argument extraction,‚Äù, Proceedings of the 45th International ACM SIGIR Conference on Research and Development in Information Retrieval, SIGIR '22, pp. 2076-2081, (2022); Lowphansirikul L., Polpanumas C., Jantrakulchai N., Nutanong S., Wangchanberta: pretraining transformer-based thai language models, arXiv preprint arXiv:2101.09635, (2021); Lu W., Roth D., ‚ÄúAutomatic event extraction with structured preference modeling,‚Äù, Proceedings of the 50th Annual Meeting of the Association for Computational Linguistics (Vol. 1: Long Papers), pp. 835-844, (2012); Lu Y., Lin H., Xu J., Han X., Tang J., Li A., Et al., Text2Event: controllable sequence-to-structure generation for end-to-end event extraction, arXiv preprint arXiv:2106.09232, (2021); Luan Y., He L., Ostendorf M., Hajishirzi H., ‚ÄúMulti-task identification of entities, relations, and coreference for scientific knowledge graph construction,‚Äù, Proceedings of the 2018 Conference on Empirical Methods in Natural Language Processing, pp. 3219-3232, (2018); Lyu Q., Zhang H., Sulem E., Roth D., ‚ÄúZero-shot event extraction via transfer learning: challenges and insights,‚Äù, Proceedings of the 59th Annual Meeting of the Association for Computational Linguistics and the 11th International Joint Conference on Natural Language Processing (Vol. 2: Short Papers), pp. 322-332, (2021); M'hamdi M., Freedman M., May J., Proceedings of the 23rd Conference on Computational Natural Language Learning (CoNLL), pp. 656-665, (2019); Mialon G., Dessi R., Lomeli M., Nalmpantis C., Pasunuru R., Raileanu R., Et al., Augmented language models: a survey, arXiv preprint arXiv:2302.07842, (2023); Miller G.A., Wordnet: a lexical database for english, Commun. ACM, 38, pp. 39-41, (1995); Nguyen T.M., Nguyen T.H., ‚ÄúOne for all: neural joint modeling of entities and events,‚Äù, Proceedings of the AAAI Conference on Artificial Intelligence, Vol. 33, pp. 6851-6858, (2019); Nivre J., De Marneffe M.C., Ginter F., Goldberg Y., Hajic J., Manning C.D., Et al., ‚ÄúUniversal dependencies v1: a multilingual treebank collection,‚Äù, Proceedings of the Tenth International Conference on Language Resources and Evaluation (LREC'16), pp. 1659-1666, (2016); Pan S., Luo L., Wang Y., Chen C., Wang J., Wu X., Unifying large language models and knowledge graphs: a roadmap, arXiv preprint arXiv:2306.08302, (2023); Paolini G., Athiwaratkun B., Krone J., Ma J., Achille A., Anubhai R., Et al., Structured prediction as translation between augmented natural languages, arXiv preprint arXiv:2101.05779, (2021); Pyysalo S., Ohta T., Rak R., Sullivan D., Mao C., Wang C., Et al., Overview of the ID, EPI and REL tasks of bionlp shared task 2011, BMC Bioinformat, (2012); Shen S., Wu T., Qi G., Li Y.F., Haffari G., Bi S., ‚ÄúAdaptive knowledge-enhanced Bayesian meta-learning for few-shot event detection,‚Äù, Findings of the Association for Computational Linguistics: ACL-IJCNLP 2021, pp. 2417-2429, (2021); Snell J., Swersky K., Zemel R.S., Prototypical networks for few-shot learning, arXiv preprint arXiv:1703.05175, (2017); Speer R., Chin J., Havasi C., ‚ÄúConceptNet 5.5: an open multilingual graph of general knowledge,‚Äù, Proceedings of the AAAI Conference on Artificial Intelligence, Vol. 31, (2017); Stenetorp P., Pyysalo S., Topic G., Ohta T., Ananiadou S., Tsujii J., ‚Äúbrat: a web-based tool for NLP-assisted text annotation,‚Äù, Proceedings of the Demonstrations at the 13th Conference of the European Chapter of the Association for Computational Linguistics, pp. 102-107, (2012); Subburathinam A., Lu D., Ji H., May J., Chang S.-F., Sil A., Et al., ‚ÄúCross-lingual structure transfer for relation and event extraction,‚Äù, Proceedings of the 2019 Conference on Empirical Methods in Natural Language Processing and the 9th International Joint Conference on Natural Language Processing (EMNLP-IJCNLP), pp. 313-325, (2019); Tan Q., Liu N., Zhao X., Yang H., Zhou J., Hu X., ‚ÄúLearning to hash with graph neural networks for recommender systems,‚Äù, Proceedings of The Web Conference 2020, pp. 1988-1998, (2020); Tjong Kim Sang E.F., De Meulder F., ‚ÄúIntroduction to the CoNLL-2003 shared task: language-independent named entity recognition,‚Äù, Proceedings of the Seventh Conference on Natural Language Learning at HLT-NAACL 2003, pp. 142-147, (2003); Touvron H., Lavril T., Izacard G., Martinet X., Lachaux M.-A., Lacroix T., Et al., LLaMA: open and efficient foundation language models, arXiv preprint arXiv:2302.13971, (2023); Vanegas J.A., Matos S., Gonzalez F., Oliveira J.L., An overview of biomolecular event extraction from scientific documents, Computat. Math. Methods Med, 2015, (2015); Velickovic P., Cucurull G., Casanova A., Romero A., Lio P., Bengio Y., Graph attention networks, arXiv preprint arXiv:1710.10903, (2018); Wadden D., Wennberg U., Luan Y., Hajishirzi H., Entity, relation, and event extraction with contextualized span representations, arXiv preprint arXiv:1909.03546, (2019); Walker C., Consortium L.D., ACE 2005 Multilingual Training Corpus, (2005); Wang C., Liu X., Chen Z., Hong H., Tang J., Song D., DeepStruct: pretraining of language models for structure prediction, arXiv preprint arXiv:2205.10475, (2023); Wang Z., Li T., Li Z., Unsupervised numerical information extraction via exploiting syntactic structures, Electronics, 12, (2023); Wu S., Dredze M., ‚ÄúAre all languages created equal in multilingual BERT?,‚Äù, Proceedings of the 5th Workshop on Representation Learning for NLP, pp. 120-130, (2020); Wu S., Irsoy O., Lu S., Dabravolski V., Dredze M., Gehrmann S., Et al., BloombergGPT: a large language model for finance, arXiv preprint arXiv:2303.17564, (2023); Xiang W., Wang B., A survey of event extraction from text, IEEE Access, 7, pp. 173111-173137, (2019); Xue L., Constant N., Roberts A., Kale M., Al-Rfou R., Siddhant A., Et al., ‚ÄúmT5: a massively multilingual pre-trained text-to-text transformer,‚Äù, Proceedings of the 2021 Conference of the North American Chapter of the Association for Computational Linguistics: Human Language Technologies, pp. 483-498, (2021); Yang H., Chen Y., Liu K., Xiao Y., Zhao J., ‚ÄúDCFEE: a document-level Chinese financial event extraction system based on automatically labeled training data‚Äù, Proceedings of ACL 2018, System Demonstrations, pp. 50-55, (2018); Yang S., Feng D., Qiao L., Kan Z., Li D., ‚ÄúExploring pre-trained language models for event extraction and generation,‚Äù, Proceedings of the 57th Annual Meeting of the Association for Computational Linguistics, pp. 5284-5294, (2019); Yao L., Mao C., Luo Y., KG-BERT: BERT for knowledge graph completion, arXiv preprint arXiv:1909.03193, (2019); Zhang H., Wang H., Roth D., ‚ÄúZero-shot label-aware event trigger and argument classification,‚Äù, Findings of the Association for Computational Linguistics: ACL-IJCNLP 2021, pp. 1331-1340, (2021); Zhang J., Qin Y., Zhang Y., Liu M., Ji D., ‚ÄúExtracting entities and events as a single task using a transition-based neural model,‚Äù, Proceedings of the Twenty-Eighth International Joint Conference on Artificial Intelligence, IJCAI-19, pp. 5422-5428, (2019)</t>
  </si>
  <si>
    <t>P. Buabthong; Faculty of Science and Technology, Nakhon Ratchasima Rajabhat University, Nakhon Ratchasima, Thailand; email: pakpoom.b@nrru.ac.th</t>
  </si>
  <si>
    <t>Frontiers Media SA</t>
  </si>
  <si>
    <t>Frontier. Artif. Intell.</t>
  </si>
  <si>
    <t>2-s2.0-85192957688</t>
  </si>
  <si>
    <t>Prompt Tuning for Few-shot Relation Extraction via Modeling Global and Local Graphs</t>
  </si>
  <si>
    <t>13233.0</t>
  </si>
  <si>
    <t>13242.0</t>
  </si>
  <si>
    <t>https://www.scopus.com/inward/record.uri?eid=2-s2.0-85195932523&amp;partnerID=40&amp;md5=4b23f709095622f0ca96ba93ced772a3</t>
  </si>
  <si>
    <t>Dali University, Yunnan, Dali, China; Lijiang Normal College, Yunnan, Lijiang, China</t>
  </si>
  <si>
    <t>Zhang Z., Dali University, Yunnan, Dali, China; Yang Y., Dali University, Yunnan, Dali, China; Chen B., Dali University, Yunnan, Dali, China, Lijiang Normal College, Yunnan, Lijiang, China</t>
  </si>
  <si>
    <t>Recently, prompt-tuning has achieved very significant results for few-shot tasks. The core idea of prompt-tuning is to insert prompt templates into the input, thus converting the classification task into a masked language modeling problem. However, for few-shot relation extraction tasks, how to mine more information from limited resources becomes particularly important. In this paper, we first construct a global relation graph based on label consistency to optimize the feature representation of samples between different relations. Then the global relation graph is further divided to form a local relation subgraph for each relation type to optimize the feature representation of samples within the same relation. This fully uses the limited supervised information and improves the tuning efficiency. In addition, the existence of rich semantic knowledge in relation labels cannot be ignored. For this reason, this paper incorporates the knowledge in relation labels into prompt-tuning. Specifically, the potential knowledge implicit in relation labels is injected into constructing learnable prompt templates. In this paper, we conduct extensive experiments on four datasets under low-resource settings, showing that this method achieves significant results. ¬© 2024 ELRA Language Resource Association: CC BY-NC 4.0.</t>
  </si>
  <si>
    <t>Few-shot; Knowledge Graph; Prompt Tuning; Relation Extraction; Relation Graph</t>
  </si>
  <si>
    <t>Extraction; Graphic methods; Knowledge graph; Modeling languages; Classification tasks; Feature representation; Few-shot; Knowledge graphs; Language model; Model problems; Prompt tuning; Relation extraction; Relation graph; Via modeling; Semantics</t>
  </si>
  <si>
    <t>Alt Christoph, Gabryszak Aleksandra, Hennig Leon-hard, Tacred revisited: A thorough evaluation of the tacred relation extraction task, (2020); Ben-David Eyal, Oved Nadav, Reichart Roi, Pada: A prompt-based autoregressive approach for adaptation to unseen domains, (2021); Brown Tom, Mann Benjamin, Ryder Nick, Subbiah Melanie, Kaplan Jared D, Dhariwal Prafulla, Neelakantan Arvind, Shyam Pranav, Sastry Girish, Askell Amanda, Et al., Language models are few-shot learners, Advances in neural information processing systems, 33, pp. 1877-1901, (2020); Chen Xiang, Zhang Ningyu, Xie Xin, Deng Shumin, Yao Yunzhi, Tan Chuanqi, Huang Fei, Si Luo, Chen Huajun, Knowprompt: Knowledge-aware prompt-tuning with synergistic optimization for relation extraction, Proceedings of the ACM Web conference 2022, pp. 2778-2788, (2022); Devlin Jacob, Chang Ming-Wei, Lee Kenton, Toutanova Kristina, Bert: Pre-training of deep bidirectional transformers for language understanding, (2018); Gao Tianyu, Fisch Adam, Chen Danqi, Making pre-trained language models better few-shot learners, (2020); Gao Tianyu, Han Xu, Zhu Hao, Liu Zhiyuan, Li Peng, Sun Maosong, Zhou Jie, Fewrel 2.0: Towards more challenging few-shot relation classification, (2019); Guo Zhijiang, Nan Guoshun, Lu Wei, Cohen Shay B, Learning latent forests for medical relation extraction, Proceedings of the Twenty-Ninth International Conference on International Joint Conferences on Artificial Intelligence, pp. 3651-3657, (2021); Han Xu, Zhao Weilin, Ding Ning, Liu Zhiyuan, Sun Maosong, Ptr: Prompt tuning with rules for text classification, AI Open, 3, pp. 182-192, (2022); Hendrickx Iris, Kim Su Nam, Kozareva Zornitsa, Nakov Preslav, Seaghdha Diarmuid O, Pado Sebastian, Pennacchiotti Marco, Romano Lorenza, Szpakowicz Stan, Semeval-2010 task 8: Multi-way classification of semantic relations between pairs of nominals, (2019); Huffman Scott B, Learning information extraction patterns from examples, International Joint Conference on Artificial Intelligence, pp. 246-260, (1995); Joshi Mandar, Chen Danqi, Liu Yinhan, Weld Daniel S, Zettlemoyer Luke, Levy Omer, Spanbert: Improving pre-training by representing and predicting spans, Transactions of the association for computational linguistics, 8, pp. 64-77, (2020); Lester Brian, Al-Rfou Rami, Constant Noah, The power of scale for parameter-efficient prompt tuning, (2021); Lewis Mike, Liu Yinhan, Goyal Naman, Ghazvininejad Marjan, Mohamed Abdelrahman, Levy Omer, Stoyanov Ves, Zettlemoyer Luke, Bart: Denoising sequence-to-sequence pre-training for natural language generation, translation, and comprehension, (2019); Li Juan, Wang Ruoxu, Zhang Ningyu, Zhang Wen, Yang Fan, Chen Huajun, Logic-guided semantic representation learning for zero-shot relation classification, (2020); Liu Pengfei, Yuan Weizhe, Fu Jinlan, Jiang Zhengbao, Hayashi Hiroaki, Neubig Graham, Pre-train, prompt, and predict: A systematic survey of prompting methods in natural language processing, ACM Computing Surveys, 55, 9, pp. 1-35, (2023); Liu Yinhan, Ott Myle, Goyal Naman, Du Jingfei, Joshi Mandar, Chen Danqi, Levy Omer, Lewis Mike, Zettlemoyer Luke, Stoyanov Veselin, Roberta: A robustly optimized bert pretraining approach, (2019); Lu Yao, Bartolo Max, Moore Alastair, Riedel Sebastian, Stenetorp Pontus, Fantastically ordered prompts and where to find them: Overcoming few-shot prompt order sensitivity, (2021); Paolini Giovanni, Athiwaratkun Ben, Krone Jason, Ma Jie, Achille Alessandro, Anubhai Rishita, dos Santos Cicero Nogueira, Xiang Bing, Soatto Stefano, Structured prediction as translation between augmented natural languages, (2021); Peng Hao, Gao Tianyu, Han Xu, Lin Yankai, Li Peng, Liu Zhiyuan, Sun Maosong, Zhou Jie, Learning from context or names? an empirical study on neural relation extraction, (2020); Raffel Colin, Shazeer Noam, Roberts Adam, Lee Katherine, Narang Sharan, Matena Michael, Zhou Yanqi, Li Wei, Liu Peter J, Exploring the limits of transfer learning with a unified text-to-text transformer, The Journal of Machine Learning Research, 21, 1, pp. 5485-5551, (2020); Reynolds Laria, McDonell Kyle, Prompt programming for large language models: Beyond the few-shot paradigm, Extended Abstracts of the 2021 CHI Conference on Human Factors in Computing Systems, pp. 1-7, (2021); Le Scao Teven, Rush Alexander M, How many data points is a prompt worth?, (2021); Schick Timo, Schutze Hinrich, Exploiting cloze questions for few shot text classification and natural language inference, (2020); Schick Timo, Schutze Hinrich, It's not just size that matters: Small language models are also few-shot learners, (2020); Snell Jake, Swersky Kevin, Zemel Richard, Prototypical networks for few-shot learning, Advances in neural information processing systems, (2017); Stoica George, Platanios Emmanouil Antonios, Poczos Barnabas, Re-tacred: Addressing shortcomings of the tacred dataset, Proceedings of the AAAI Conference on Artificial Intelligence, 35, pp. 13843-13850, (2021); Tam Derek, Menon Rakesh R, Bansal Mohit, Srivastava Shashank, Raffel Colin, Improving and simplifying pattern exploiting training, (2021); Wang Zifeng, Wen Rui, Chen Xi, Huang Shao-Lun, Zhang Ningyu, Zheng Yefeng, Finding influential instances for distantly supervised relation extraction, (2020); Xue Fuzhao, Sun Aixin, Zhang Hao, Chng Eng Siong, Gdpnet: Refining latent multi-view graph for relation extraction, Proceedings of the AAAI Conference on Artificial Intelligence, 35, pp. 14194-14202, (2021); Yamada Ikuya, Asai Akari, Shindo Hiroyuki, Takeda Hideaki, Matsumoto Yuji, Luke: deep contextualized entity representations with entity-aware self-attention, (2020); Ye Hongbin, Zhang Ningyu, Deng Shumin, Chen Mosha, Tan Chuanqi, Huang Fei, Chen Huajun, Contrastive triple extraction with generative transformer, Proceedings of the AAAI conference on artificial intelligence, 35, pp. 14257-14265, (2021); Ye Zhi-Xiu, Ling Zhen-Hua, Multilevel matching and aggregation network for few-shot relation classification, (2019); Zhang Yuhao, Zhong Victor, Chen Danqi, Angeli Gabor, Manning Christopher D, Position-aware attention and supervised data improve slot filling, Conference on Empirical Methods in Natural Language Processing, (2017); Zhou Peng, Shi Wei, Tian Jun, Qi Zhenyu, Li Bingchen, Hao Hongwei, Xu Bo, Attention-based bidirectional long short-term memory networks for relation classification, Proceedings of the 54th annual meeting of the association for computational linguistics (volume 2: Short papers), pp. 207-212, (2016); Zhou Wenxuan, Chen Muhao, An improved baseline for sentence-level relation extraction, (2021)</t>
  </si>
  <si>
    <t>2-s2.0-85195932523</t>
  </si>
  <si>
    <t>Fan C.; Wei W.; Qu X.; Lu Z.; Xie W.; Cheng Y.; Chen D.</t>
  </si>
  <si>
    <t>Fan, Chenghao (57456660300); Wei, Wei (56126506200); Qu, Xiaoye (57204328498); Lu, Zhenyi (58680464200); Xie, Wenfeng (58530607900); Cheng, Yu (55421399200); Chen, Dangyang (57859709700)</t>
  </si>
  <si>
    <t>57456660300; 56126506200; 57204328498; 58680464200; 58530607900; 55421399200; 57859709700</t>
  </si>
  <si>
    <t>Enhancing Low-Resource Relation Representations through Multi-View Decoupling</t>
  </si>
  <si>
    <t>17968.0</t>
  </si>
  <si>
    <t>17976.0</t>
  </si>
  <si>
    <t>10.1609/aaai.v38i16.29752</t>
  </si>
  <si>
    <t>https://www.scopus.com/inward/record.uri?eid=2-s2.0-85189644622&amp;doi=10.1609%2faaai.v38i16.29752&amp;partnerID=40&amp;md5=491ec480042897c4108c9ebe6fe71a00</t>
  </si>
  <si>
    <t>Cognitive Computing and Intelligent Information Processing (CCIIP) Laboratory, School of Computer Science and Technology, Huazhong University of Science and Technology, China; Joint Laboratory of HUST and Pingan Property &amp; Casualty Research (HPL); Ping An Property &amp; Casualty Insurance Company of China, Ltd, China; The Chinese University of Hong Kong, Hong Kong</t>
  </si>
  <si>
    <t>Fan C., Cognitive Computing and Intelligent Information Processing (CCIIP) Laboratory, School of Computer Science and Technology, Huazhong University of Science and Technology, China, Joint Laboratory of HUST and Pingan Property &amp; Casualty Research (HPL); Wei W., Cognitive Computing and Intelligent Information Processing (CCIIP) Laboratory, School of Computer Science and Technology, Huazhong University of Science and Technology, China, Joint Laboratory of HUST and Pingan Property &amp; Casualty Research (HPL); Qu X., Cognitive Computing and Intelligent Information Processing (CCIIP) Laboratory, School of Computer Science and Technology, Huazhong University of Science and Technology, China, Joint Laboratory of HUST and Pingan Property &amp; Casualty Research (HPL); Lu Z., Cognitive Computing and Intelligent Information Processing (CCIIP) Laboratory, School of Computer Science and Technology, Huazhong University of Science and Technology, China, Joint Laboratory of HUST and Pingan Property &amp; Casualty Research (HPL); Xie W., Ping An Property &amp; Casualty Insurance Company of China, Ltd, China; Cheng Y., The Chinese University of Hong Kong, Hong Kong; Chen D., Ping An Property &amp; Casualty Insurance Company of China, Ltd, China</t>
  </si>
  <si>
    <t>Recently, prompt-tuning with pre-trained language models (PLMs) has demonstrated the significantly enhancing ability of relation extraction (RE) tasks. However, in low-resource scenarios, where the available training data is scarce, previous prompt-based methods may still perform poorly for prompt-based representation learning due to a superficial understanding of the relation. To this end, we highlight the importance of learning high-quality relation representation in low-resource scenarios for RE, and propose a novel prompt-based relation representation method, named MVRE (Multi-View Relation Extraction), to better leverage the capacity of PLMs to improve the performance of RE within the low-resource prompt-tuning paradigm. Specifically, MVRE decouples each relation into different perspectives to encompass multi-view relation representations for maximizing the likelihood during relation inference. Furthermore, we also design a Global-Local loss and a Dynamic-Initialization method for better alignment of the multi-view relation-representing virtual words, containing the semantics of relation labels during the optimization learning process and initialization. Extensive experiments on three benchmark datasets show that our method can achieve state-of-the-art in low-resource settings. Copyright ¬© 2024, Association for the Advancement of Artificial Intelligence (www.aaai.org). All rights reserved.</t>
  </si>
  <si>
    <t>Artificial intelligence; Extraction; Learning systems; Decouplings; Global-local; High quality; Language model; Multi-views; Performance; Relation extraction; Representation method; Training data; View relations; Semantics</t>
  </si>
  <si>
    <t>Joint Laboratory of HUST; National Natural Science Foundation of China, NSFC, (62276110, 62172039)</t>
  </si>
  <si>
    <t>This work was supported in part by the National Natural Science Foundation of China under Grant No. 62276110, No. 62172039 and in part by the fund of Joint Laboratory of HUST and Pingan Property &amp; Casualty Research (HPL). The authors would also like to thank the anonymous reviewers for their comments on improving the quality of this paper.</t>
  </si>
  <si>
    <t>Alt C., Gabryszak A., Hennig L., TACRED Revisited: A Thorough Evaluation of the TACRED Relation Extraction Task, Proceedings of the 58th Annual Meeting of the Association for Computational Linguistics, pp. 1558-1569, (2020); Brown T., Mann B., Ryder N., Subbiah M., Kaplan J. D., Dhariwal P., Neelakantan A., Shyam P., Sastry G., Askell A., Et al., Language models are few-shot learners, Advances in neural information processing systems, 33, pp. 1877-1901, (2020); Chen X., Li L., Zhang N., Tan C., Huang F., Si L., Chen H., Relation Extraction as Open-book Examination: Retrieval-enhanced Prompt Tuning, Proceedings of the 45th International ACM SIGIR Conference on Research and Development in Information Retrieval, pp. 2443-2448, (2022); Chen X., Zhang N., Xie X., Deng S., Yao Y., Tan C., Huang F., Si L., Chen H., Knowprompt: Knowledge-aware prompt-tuning with synergistic optimization for relation extraction, Proceedings of the ACM Web conference 2022, pp. 2778-2788, (2022); Cheng Q., Liu J., Qu X., Zhao J., Liang J., Wang Z., Huai B., Yuan N. J., Xiao Y., HacRED: A large-scale relation extraction dataset toward hard cases in practical applications, Findings of the Association for Computational Linguistics: ACL-IJCNLP 2021, pp. 2819-2831, (2021); Dietz L., Kotov A., Meij E., Utilizing knowledge graphs for text-centric information retrieval, The 41st international ACM SIGIR conference on research &amp; development in information retrieval, pp. 1387-1390, (2018); Gao T., Fisch A., Chen D., Making Pre-trained Language Models Better Few-shot Learners, Proceedings of the 59th Annual Meeting of the Association for Computational Linguistics and the 11th International Joint Conference on Natural Language Processing (Volume 1: Long Papers), pp. 3816-3830, (2021); Gao T., Yao X., Chen D., SimCSE: Simple Contrastive Learning of Sentence Embeddings, Proceedings of the 2021 Conference on Empirical Methods in Natural Language Processing, pp. 6894-6910, (2021); Gu Y., Han X., Liu Z., Huang M., PPT: Pre-trained Prompt Tuning for Few-shot Learning, Proceedings of the 60th Annual Meeting of the Association for Computational Linguistics (Volume 1: Long Papers), pp. 8410-8423, (2022); Gu Y., Qu X., Wang Z., Zheng Y., Huai B., Yuan N. J., Delving deep into regularity: a simple but effective method for Chinese named entity recognition, (2022); Han X., Zhao W., Ding N., Liu Z., Sun M., Ptr: Prompt tuning with rules for text classification, AI Open, 3, pp. 182-192, (2022); Hendrickx I., Kim S. N., Kozareva Z., Nakov P., Seaghdha D. O., Pado S., Pennacchiotti M., Romano L., Szpakowicz S., SemEval-2010 Task 8: Multi-Way Classification of Semantic Relations Between Pairs of Nominals, ACL, 2010, (2010); Huang Y., Qin Y., Wang H., Yin Y., Sun M., Liu Z., Liu Q., FPT: Improving Prompt Tuning Efficiency via Progressive Training, Findings of the Association for Computational Linguistics: EMNLP 2022, pp. 6877-6887, (2022); Jin F., Lu J., Zhang J., Zong C., Instance-aware prompt learning for language understanding and generation, ACM Transactions on Asian and Low-Resource Language Information Processing, (2023); Kenton J. D. M.-W. C., Toutanova L. K., BERT: Pre-training of Deep Bidirectional Transformers for Language Understanding, Proceedings of NAACL-HLT, pp. 4171-4186, (2019); Liu P., Yuan W., Fu J., Jiang Z., Hayashi H., Neubig G., Pre-train, prompt, and predict: A systematic survey of prompting methods in natural language processing, ACM Computing Surveys, 55, 9, pp. 1-35, (2023); Liu S., Chen H., Ren Z., Feng Y., Liu Q., Yin D., Knowledge diffusion for neural dialogue generation, Proceedings of the 56th Annual Meeting of the Association for Computational Linguistics (Volume 1: Long Papers), pp. 1489-1498, (2018); Lu K., Hsu I.-H., Zhou W., Ma M. D., Chen M., Summarization as Indirect Supervision for Relation Extraction, Findings of the Association for Computational Linguistics: EMNLP 2022, pp. 6575-6594, (2022); Lu Z., Wei W., Qu X., Mao X., Chen D., Chen J., MIRACLE: Towards Personalized Dialogue Generation with Latent-Space Multiple Personal Attribute Control, (2023); Qu C., Zamani H., Yang L., Croft W. B., Learned-Miller E., Passage retrieval for outside-knowledge visual question answering, Proceedings of the 44th International ACM SIGIR Conference on Research and Development in Information Retrieval, pp. 1753-1757, (2021); Qu X., Zeng J., Liu D., Wang Z., Huai B., Zhou P., Distantly-supervised named entity recognition with adaptive teacher learning and fine-grained student ensemble, Proceedings of the AAAI Conference on Artificial Intelligence, 37, pp. 13501-13509, (2023); Radford A., Narasimhan K., Salimans T., Sutskever I., Et al., Improving language understanding by generative pre-training, (2018); Schick T., Schmid H., Schutze H., Automatically Identifying Words That Can Serve as Labels for Few-Shot Text Classification, Proceedings of the 28th International Conference on Computational Linguistics, pp. 5569-5578, (2020); Schick T., Schutze H., Exploiting Cloze-Questions for Few-Shot Text Classification and Natural Language Inference, Proceedings of the 16th Conference of the European Chapter of the Association for Computational Linguistics: Main Volume, pp. 255-269, (2021); Soares L. B., Fitzgerald N., Ling J., Kwiatkowski T., Matching the Blanks: Distributional Similarity for Relation Learning, Proceedings of the 57th Annual Meeting of the Association for Computational Linguistics, pp. 2895-2905, (2019); Wang H., Xu C., McAuley J., Automatic Multi-Label Prompting: Simple and Interpretable Few-Shot Classification, Proceedings of the 2022 Conference of the North American Chapter of the Association for Computational Linguistics: Human Language Technologies, pp. 5483-5492, (2022); Xue F., Sun A., Zhang H., Chng E. S., Gdpnet: Refining latent multi-view graph for relation extraction, Proceedings of the AAAI Conference on Artificial Intelligence, pp. 14194-14202, (2021); Yang Z., Biomedical information retrieval incorporating knowledge graph for explainable precision medicine, Proceedings of the 43rd International ACM SIGIR Conference on Research and Development in Information Retrieval, pp. 2486-2486, (2020); Yasunaga M., Ren H., Bosselut A., Liang P., Leskovec J., QA-GNN: Reasoning with Language Models and Knowledge Graphs for Question Answering, Proceedings of the 2021 Conference of the North American Chapter of the Association for Computational Linguistics: Human Language Technologies, pp. 535-546, (2021); Ye D., Lin Y., Du J., Liu Z., Li P., Sun M., Liu Z., Coreferential Reasoning Learning for Language Representation, Proceedings of the 2020 Conference on Empirical Methods in Natural Language Processing (EMNLP), pp. 7170-7186, (2020); Ye D., Lin Y., Li P., Sun M., Packed Levitated Marker for Entity and Relation Extraction, Proceedings of the 60th Annual Meeting of the Association for Computational Linguistics (Volume 1: Long Papers), pp. 4904-4917, (2022); Yu S., Fan C., Xiong C., Jin D., Liu Z., Liu Z., Fusion-in-T5: Unifying Document Ranking Signals for Improved Information Retrieval, (2023); Zhang S., Liang Y., Gong M., Jiang D., Duan N., Multi-View Document Representation Learning for Open-Domain Dense Retrieval, Proceedings of the 60th Annual Meeting of the Association for Computational Linguistics (Volume 1: Long Papers), pp. 5990-6000, (2022); Zhang Y., Zhong V., Chen D., Angeli G., Manning C. D., Position-aware attention and supervised data improve slot filling, Conference on Empirical Methods in Natural Language Processing, (2017); Zhou W., Chen M., An Improved Baseline for Sentence-level Relation Extraction, Proceedings of the 2nd Conference of the Asia-Pacific Chapter of the Association for Computational Linguistics and the 12th International Joint Conference on Natural Language Processing, pp. 161-168, (2022); Zhu T., Qu X., Chen W., Wang Z., Huai B., Yuan N. J., Zhang M., Efficient document-level event extraction via pseudo-trigger-aware pruned complete graph, (2021); Zhu T., Ren J., Yu Z., Wu M., Zhang G., Qu X., Chen W., Wang Z., Huai B., Zhang M., Mirror: A Universal Framework for Various Information Extraction Tasks, (2023)</t>
  </si>
  <si>
    <t>W. Wei; Cognitive Computing and Intelligent Information Processing (CCIIP) Laboratory, School of Computer Science and Technology, Huazhong University of Science and Technology, China; email: weiw@hust.edu.cn</t>
  </si>
  <si>
    <t>2-s2.0-85189644622</t>
  </si>
  <si>
    <t>D‚ÄôSouza J.; Hrou M.; Auer S.</t>
  </si>
  <si>
    <t>D‚ÄôSouza, Jennifer (55489533700); Hrou, Moussab (58315250000); Auer, S√∂ren (23391879500)</t>
  </si>
  <si>
    <t>55489533700; 58315250000; 23391879500</t>
  </si>
  <si>
    <t>Evaluating Prompt-Based Question Answering for¬†Object Prediction in¬†the¬†Open Research Knowledge Graph</t>
  </si>
  <si>
    <t>14146 LNCS</t>
  </si>
  <si>
    <t>508.0</t>
  </si>
  <si>
    <t>515.0</t>
  </si>
  <si>
    <t>10.1007/978-3-031-39847-6_40</t>
  </si>
  <si>
    <t>https://www.scopus.com/inward/record.uri?eid=2-s2.0-85174710939&amp;doi=10.1007%2f978-3-031-39847-6_40&amp;partnerID=40&amp;md5=438467ddc816151f60bcade994dbc82d</t>
  </si>
  <si>
    <t>TIB Leibniz Information Centre for Science and Technology, Hannover, Germany; Gottfried Wilhelm Leibniz Universit√§t Hannover, Hannover, Germany; L3S Research Center, Leibniz University of Hannover, Hannover, Germany</t>
  </si>
  <si>
    <t>D‚ÄôSouza J., TIB Leibniz Information Centre for Science and Technology, Hannover, Germany; Hrou M., Gottfried Wilhelm Leibniz Universit√§t Hannover, Hannover, Germany; Auer S., TIB Leibniz Information Centre for Science and Technology, Hannover, Germany, L3S Research Center, Leibniz University of Hannover, Hannover, Germany</t>
  </si>
  <si>
    <t>Recent investigations have explored prompt-based training of transformer language models for new text genres in low-resource settings. This approach has proven effective in transferring pre-trained or fine-tuned models to resource-scarce environments. This work presents the first results on applying prompt-based training to transformers for scholarly knowledge graph object prediction. Methodologically, it stands out in two main ways: 1) it deviates from previous studies that propose entity and relation extraction pipelines, and 2) it tests the method in a significantly different domain, scholarly knowledge, evaluating linguistic, probabilistic, and factual generalizability of large-scale transformer models. Our findings demonstrate that: i) out-of-the-box transformer models underperform on the new scholarly domain, ii) prompt-based training improves performance by up to 40% in relaxed evaluation, and iii) tests of the models in a distinct domain reveals a gap in capturing domain knowledge, highlighting the need for increased attention and resources in the scholarly domain for transformer models. ¬© The Author(s), under exclusive license to Springer Nature Switzerland AG 2023.</t>
  </si>
  <si>
    <t>Knowledge Graph Completion; Natural Language Processing; Open Research Knowledge Graph; Prompt-based Question Answering; Question Answering</t>
  </si>
  <si>
    <t>Electric transformer testing; Natural language processing systems; Knowledge graph completion; Knowledge graphs; Language processing; Natural language processing; Natural languages; Open research knowledge graph; Prompt-based question answering; Question Answering; Knowledge graph</t>
  </si>
  <si>
    <t>EU H2020 ERC; TIB Leibniz Information Centre for Science and Technology; Horizon 2020 Framework Programme, H2020, (819536); Bundesministerium f√ºr Bildung und Forschung, BMBF, (01lS22070)</t>
  </si>
  <si>
    <t>Supported by TIB Leibniz Information Centre for Science and Technology, the EU H2020 ERC project ScienceGraph (GA ID: 819536) and the BMBF project SCINEXT (GA ID: 01lS22070).</t>
  </si>
  <si>
    <t>Auer S., Et al., Improving access to scientific literature with knowledge graphs, Bibliothek Forschung Und Praxis, 44, 3, pp. 516-529, (2020); Devlin J., Chang M.W., Lee K., Toutanova K., Bert: Pre-Training of Deep Bidirectional Transformers for Language Understanding, 1810, (2018); Fabbri A.R., Ng P., Wang Z., Nallapati R., Xiang B., Template-based question generation from retrieved sentences for improved unsupervised question answering, Proceedings of the 58Th Annual Meeting of the Association for Computational Linguistics, pp. 4508-4513, (2020); Johnson R., Watkinson A., Mabe M., The STM Report. an Overview of Scientific and Scholarly Publishing, (2018); Liu P., Yuan W., Fu J., Jiang Z., Hayashi H., Neubig G., Pre-Train, Prompt, and Predict: A Systematic Survey of Prompting Methods in Natural Language Processing, 2107, (2021); Liu Y., Et al., Roberta: A Robustly Optimized Bert Pretraining Approach, (2019); Petroni F., Et al., Language Models as Knowledge Bases? In: Proceedings of the 2019 Conference on Empirical Methods in Natural Language Processing and the 9Th International Joint Conference on Natural Language Processing (EMNLPIJCNLP), pp. 2463-2473, (2019); Rajpurkar P., Jia R., Liang P., Know what you don‚Äôt know: Unanswerable questions for squad, Proceedings of the 56Th Annual Meeting of the Association for Computational Linguistics (Volume 2: Short Papers), pp. 784-789, (2018); Rajpurkar P., Zhang J., Lopyrev K., Liang P., Squad: 100,000+ questions for machine comprehension of text, Proceedings of the 2016 Conference on Empirical Methods in Natural Language Processing, pp. 2383-2392, (2016); Schick T., Schutze H., Exploiting cloze-questions for few-shot text classification and natural language inference, Proceedings of the 16Th Conference of the European Chapter of the Association for Computational Linguistics: Main Volume, pp. 255-269, (2021); Surdeanu M., Ji H., Overview of the English slot filling track at the tac2014 knowledge base population evaluation, Proceedings of the Text Analysis Conference (TAC2014), (2014); Taylor W.L., ‚ÄúCloze procedure": A new tool for measuring readability, Journal. Q., 30, 4, pp. 415-433, (1953); Vaswani A., Et al., Attention is all you need, Adv. Neural Inf. Process. Syst., 30, (2017); Wang W., Et al., Minilm: Deep Self-Attention Distillation for Task-Agnostic Compression of Pre-Trained Transformers, (2020); Wei J., Et al., Chain of Thought Prompting Elicits Reasoning in Large Language Models, 2201, (2022); Zhong W., Et al., Proqa: Structural Prompt-Based Pre-Training for Unified Question Answering, 2205, (2022)</t>
  </si>
  <si>
    <t>J. D‚ÄôSouza; TIB Leibniz Information Centre for Science and Technology, Hannover, Germany; email: jennifer.dsouza@tib.eu</t>
  </si>
  <si>
    <t>Strauss C.; Amagasa T.; Kotsis G.; Khalil I.; Tjoa A.M.</t>
  </si>
  <si>
    <t>The 34th International Conference on Database and Expert Systems Applications DEXA 2023</t>
  </si>
  <si>
    <t>28 August 2023 through 30 August 2023</t>
  </si>
  <si>
    <t>Penang</t>
  </si>
  <si>
    <t>299529.0</t>
  </si>
  <si>
    <t>978-303139846-9</t>
  </si>
  <si>
    <t>2-s2.0-85174710939</t>
  </si>
  <si>
    <t>Zhang S.; Lu X.; Wu J.</t>
  </si>
  <si>
    <t>Zhang, Shun (57945704000); Lu, Xiangkui (57339901300); Wu, Jun (56177250600)</t>
  </si>
  <si>
    <t>57945704000; 57339901300; 56177250600</t>
  </si>
  <si>
    <t>Co-Training with Validation: A Generic Framework for Semi-Supervised Relation Extraction</t>
  </si>
  <si>
    <t>4697.0</t>
  </si>
  <si>
    <t>4701.0</t>
  </si>
  <si>
    <t>10.1145/3511808.3557562</t>
  </si>
  <si>
    <t>https://www.scopus.com/inward/record.uri?eid=2-s2.0-85140849974&amp;doi=10.1145%2f3511808.3557562&amp;partnerID=40&amp;md5=ab93d5882db9f3d1ff0ab025bffcf6e8</t>
  </si>
  <si>
    <t>Beijing Jiaotong University, Beijing, China</t>
  </si>
  <si>
    <t>Zhang S., Beijing Jiaotong University, Beijing, China; Lu X., Beijing Jiaotong University, Beijing, China; Wu J., Beijing Jiaotong University, Beijing, China</t>
  </si>
  <si>
    <t>In the scenarios of low-resource natural language applications, Semi-supervised Relation Extraction (SRE) plays a key role in mitigating the scarcity of labelled sentences by harnessing a large amount of unlabeled corpus. Current SRE methods are mainly designed based on the paradigm of Self-Training with Validation (STV), which employs two learners and each of them plays the single role of annotator or validator. However, such a single role setting under-utilizes the potential of learners in promoting new labelled instances from unlabeled corpus. In this paper, we propose a generic SRE paradigm, called Co-Training with Validation (CTV), for making full use of learners to benefit more from unlabeled corpus. In CTV, each learner alternately plays the roles of annotator and validator to generate and validate pseudo-labelled instances. Thus, more high-quality instances are exploited and two learners can be reinforced by each other during the learning process. Experimental results on two public datasets show that our CTV considerably outperforms the state-of-the-art SRE techniques, and works well with different kinds of learners for relation extraction. ¬© 2022 ACM.</t>
  </si>
  <si>
    <t>low resource; natural language processing; relation extraction; semi-supervised learning</t>
  </si>
  <si>
    <t>Learning algorithms; Natural language processing systems; Co-training; Generic frameworks; Language processing; Low resource; Natural language applications; Natural language processing; Natural languages; Relation extraction; Semi-supervised; Semi-supervised learning; Extraction</t>
  </si>
  <si>
    <t>Guangdong Provincial Key Laboratory of Big Data Computing; Chinese University of Hong Kong, CUHK, (B10120210117-OF01); Fundamental Research Funds for the Central Universities, (2021YJS038, 2022JBZY019)</t>
  </si>
  <si>
    <t>‚àóThis work was supported in part by the Open Research Fund from the Guangdong Provincial Key Laboratory of Big Data Computing, The Chinese University of Hong Kong, Shenzhen, under Grant B10120210117-OF01, and in part by the Fundamental Research Funds for the Central Universities, under Grant 2022JBZY019 and 2021YJS038. ‚Ä† These authors contributed equally to this work. ‚Ä° Corresponding author.</t>
  </si>
  <si>
    <t>Blum A., Mitchell T.M., Combining Labeled and Unlabeled Data with Co-Training, Colt 1998, pp. 92-100, (1998); Han B., Yao Q., Yu X., Niu G., Xu M., Hu W., Tsang I.W., Sugiyama M., Co-teaching: Robust training of deep neural networks with extremely noisy labels, NeurIPS 2018, pp. 8536-8546, (2018); Kadry A., Dietz L., Open Relation Extraction for Support Passage Retrieval: Merit and Open Issues, Sigir 2017, pp. 1149-1152, (2017); Li W., Qian T., Chen X., Tang K., Zhan S., Zhan T., Exploit a Multi-head Reference Graph for Semi-supervised Relation Extraction, Ijcnn 2021, pp. 1-7, (2021); Li X., Yin F., Sun Z., Li X., Yuan A., Chai D., Zhou M., Li J., Entity-Relation Extraction as Multi-Turn Question Answering, Acl 2019, pp. 1340-1350, (2019); Lin H., Yan J., Qu M., Ren X., Learning Dual Retrieval Module for Semi-supervised Relation Extraction, Www 2019, pp. 1073-1083, (2019); Manning C.D., Surdeanu M., Bauer J., Rose Finkel J., Bethard S., McClosky D., The Stanford CoreNLP Natural Language Processing Toolkit, Acl 2014, pp. 55-60, (2014); Mintz M., Bills S., Snow R., Jurafsky D., Distant supervision for relation extraction without labeled data, ACL/IJCNLP 2009, pp. 1003-1011, (2009); Nadgeri A., Bastos A., Singh K., Onando Mulang I., Hoffart J., Shekarpour S., Saraswat V., KGPool: Dynamic Knowledge Graph Context Selection for Relation Extraction, ACL/IJCNLP Findings 2021, pp. 535-548, (2021); Nigam K., Ghani R., Analyzing the Effectiveness and Applicability of Co-training, Cikm 2000, pp. 86-93, (2000); Sun H., Verga P., Dhingra B., Salakhutdinov R., Cohen W.W., Reasoning over Virtual Knowledge Bases with Open Predicate Relations, Icml 2021, pp. 9966-9977, (2021); Wang W., Zhou Z., Analyzing Co-training Style Algorithms, Ecml 2007 (Lecture Notes in Computer Science, 4701, pp. 454-465, (2007); Wu S., He Y., Enriching Pre-trained Language Model with Entity Information for Relation Classification, Cikm 2019, pp. 2361-2364, (2019); Xiao C., Yao Y., Xie R., Han X., Liu Z., Sun M., Lin F., Lin L., Denoising Relation Extraction from Document-level Distant Supervision, Emnlp 2020, pp. 3683-3688, (2020); Yamada I., Asai A., Shindo H., Takeda H., Matsumoto Y., LUKE: Deep Contextualized Entity Representations with Entity-aware Selfattention, Emnlp 2020, pp. 6442-6454, (2020); Zeng D., Liu K., Chen Y., Zhao J., Distant Supervision for Relation Extraction via Piecewise Convolutional Neural Networks, Emnlp 2015, pp. 1753-1762, (2015); Zeng D., Liu K., Lai S., Zhou G., Zhao J., Relation Classification via Convolutional Deep Neural Network, Coling 2014, pp. 2335-2344, (2014); Zhang Y., Zhong V., Chen D., Angeli G., Manning C.D., Position-aware Attention and Supervised Data Improve Slot Filling, Emnlp 2017, pp. 35-45, (2017); Zhou P., Shi W., Tian J., Qi Z., Li B., Hao H., Xu B., Attention-Based Bidirectional Long Short-Term Memory Networks for Relation Classification, Acl 2016, pp. 207-212, (2016); Zhou W., Chen M., An Improved Baseline for Sentencelevel Relation Extraction, CoRR, (2021)</t>
  </si>
  <si>
    <t>ACM SIGIR; ACM SIGWEB; Coveo; et al.; Kaiser Permanente; Lowe's</t>
  </si>
  <si>
    <t>31st ACM International Conference on Information and Knowledge Management, CIKM 2022</t>
  </si>
  <si>
    <t>17 October 2022 through 21 October 2022</t>
  </si>
  <si>
    <t>Atlanta</t>
  </si>
  <si>
    <t>183495.0</t>
  </si>
  <si>
    <t>978-145039236-5</t>
  </si>
  <si>
    <t>2-s2.0-85140849974</t>
  </si>
  <si>
    <t>Ma S.; Han J.; Liang Y.; Cheng B.</t>
  </si>
  <si>
    <t>Ma, Shengkun (57952841900); Han, Jiale (57219554169); Liang, Yi (57219552936); Cheng, Bo (35239463100)</t>
  </si>
  <si>
    <t>57952841900; 57219554169; 57219552936; 35239463100</t>
  </si>
  <si>
    <t>Making Pre-trained Language Models Better Continual Few-Shot Relation Extractors</t>
  </si>
  <si>
    <t>10970.0</t>
  </si>
  <si>
    <t>10983.0</t>
  </si>
  <si>
    <t>https://www.scopus.com/inward/record.uri?eid=2-s2.0-85195967719&amp;partnerID=40&amp;md5=5a9f4075e9bf2be644113b68b72d7448</t>
  </si>
  <si>
    <t>State Key Laboratory of Networking and Switching Technology, Beijing University of Posts and Telecommunications, China</t>
  </si>
  <si>
    <t>Ma S., State Key Laboratory of Networking and Switching Technology, Beijing University of Posts and Telecommunications, China; Han J., State Key Laboratory of Networking and Switching Technology, Beijing University of Posts and Telecommunications, China; Liang Y., State Key Laboratory of Networking and Switching Technology, Beijing University of Posts and Telecommunications, China; Cheng B., State Key Laboratory of Networking and Switching Technology, Beijing University of Posts and Telecommunications, China</t>
  </si>
  <si>
    <t>Continual Few-shot Relation Extraction (CFRE) is a practical problem that requires the model to continuously learn novel relations while avoiding forgetting old ones with few labeled training data. The primary challenges are catastrophic forgetting and overfitting. This paper harnesses prompt learning to explore the implicit capabilities of pre-trained language models to address the above two challenges, thereby making language models better continual few-shot relation extractors. Specifically, we propose a Contrastive Prompt Learning framework, which designs prompt representation to acquire more generalized knowledge that can be easily adapted to old and new categories, and margin-based contrastive learning to focus more on hard samples, therefore alleviating catastrophic forgetting and overfitting issues. To further remedy overfitting in low-resource scenarios, we introduce an effective memory augmentation strategy that employs well-crafted prompts to guide ChatGPT in generating diverse samples. Extensive experiments demonstrate that our method outperforms state-of-the-art methods by a large margin and significantly mitigates catastrophic forgetting and overfitting in low-resource scenarios. ¬© 2024 ELRA Language Resource Association: CC BY-NC 4.0.</t>
  </si>
  <si>
    <t>Continual few-shot Learning; Contrastive Learning; Data Augmentation; Prompt Learning</t>
  </si>
  <si>
    <t>Learning systems; Catastrophic forgetting; Continual few-shot learning; Contrastive learning; Data augmentation; Language model; Learn+; Overfitting; Practical problems; Prompt learning; Relation extraction; Computational linguistics</t>
  </si>
  <si>
    <t>National Natural Science Foundation of China, NSFC, (U22A201339, 62372058, U21A20468); Fundamental Research Funds for the Central Universities, (2020XD-A07-1); National Key Research and Development Program of China, NKRDPC, (2022YFF0902701)</t>
  </si>
  <si>
    <t>We would like to thank the anonymous reviewers, our meta-reviewer, and senior area chairs for their thoughtful comments and support on this work. This work was supported in part by the National Key Research and Development Program of China under Grant 2022YFF0902701, in part by the National Natural Science Foundation of China under Grants U21A20468, 62372058, U22A201339, in part by the Fundamental Research Funds for the Central Universities under Grant 2020XD-A07-1.</t>
  </si>
  <si>
    <t>Brown Tom, Mann Benjamin, Ryder Nick, Subbiah Melanie, Kaplan Jared D, Dhariwal Prafulla, Neelakantan Arvind, Shyam Pranav, Sastry Girish, Askell Amanda, Et al., Language models are few-shot learners, Advances in neural information processing systems, 33, pp. 1877-1901, (2020); Chen Xiang, Zhang Ningyu, Xie Xin, Deng Shumin, Yao Yunzhi, Tan Chuanqi, Huang Fei, Si Luo, Chen Huajun, Knowprompt: Knowledge-aware prompt-tuning with synergistic optimization for relation extraction, Proceedings of the ACM Web conference 2022, pp. 2778-2788, (2022); Chen Xiudi, Wu Hui, Shi Xiaodong, Consistent prototype learning for few-shot continual relation extraction, Proceedings of the 61st Annual Meeting of the Association for Computational Linguistics (Volume 1: Long Papers), pp. 7409-7422, (2023); Cui Li, Yang Deqing, Yu Jiaxin, Hu Chengwei, Cheng Jiayang, Yi Jingjie, Xiao Yanghua, Refining sample embeddings with relation prototypes to enhance continual relation extraction, Proceedings of the 59th Annual Meeting of the Association for Computational Linguistics and the 11th International Joint Conference on Natural Language Processing (Volume 1: Long Papers), pp. 232-243, (2021); Devlin Jacob, Chang Ming-Wei, Lee Kenton, Toutanova Kristina, Bert: Pretraining of deep bidirectional transformers for language understanding, Proceedings of the 2019 Conference of the North American Chapter of the Association for Computational Linguistics: Human Language Technologies, Volume 1 (Long and Short Papers), pp. 4171-4186, (2019); Dong Qingxiu, Li Lei, Dai Damai, Zheng Ce, Wu Zhiyong, Chang Baobao, Sun Xu, Xu Jingjing, Sui Zhifang, A survey for in-context learning, (2022); Fernando Chrisantha, Banarse Dylan, Blundell Charles, Zwols Yori, Ha David, Rusu Andrei A, Pritzel Alexander, Wierstra Daan, Pathnet: Evolution channels gradient descent in super neural networks, (2017); Gao Tianyu, Fisch Adam, Chen Danqi, Making pre-trained language models better few-shot learners, Joint Conference of the 59th Annual Meeting of the Association for Computational Linguistics and the 11th International Joint Conference on Natural Language Processing, pp. 3816-3830, (2021); Gu Yuxian, Han Xu, Liu Zhiyuan, Huang Minlie, Ppt: Pre-trained prompt tuning for few-shot learning, Proceedings of the 60th Annual Meeting of the Association for Computational Linguistics (Volume 1: Long Papers), pp. 8410-8423, (2022); Han Xu, Dai Yi, Gao Tianyu, Lin Yankai, Liu Zhiyuan, Li Peng, Sun Maosong, Zhou Jie, Continual relation learning via episodic memory activation and reconsolidation, Proceedings of the 58th Annual Meeting of the Association for Computational Linguistics, pp. 6429-6440, (2020); Han Xu, Zhao Weilin, Ding Ning, Liu Zhiyuan, Sun Maosong, Ptr: Prompt tuning with rules for text classification, AI Open, 3, pp. 182-192, (2022); Hu Chengwei, Yang Deqing, Jin Haoliang, Chen Zhen, Xiao Yanghua, Improving continual relation extraction through prototypical contrastive learning, Proceedings of the 29th International Conference on Computational Linguistics, pp. 1885-1895, (2022); Khosla Prannay, Teterwak Piotr, Wang Chen, Sarna Aaron, Tian Yonglong, Isola Phillip, Maschinot Aaron, Liu Ce, Krishnan Dilip, Supervised contrastive learning, Advances in neural information processing systems, 33, pp. 18661-18673, (2020); Kwiatkowski Tom, Palomaki Jennimaria, Redfield Olivia, Collins Michael, Parikh Ankur, Alberti Chris, Epstein Danielle, Polosukhin Illia, Devlin Jacob, Lee Kenton, Et al., Natural questions: A benchmark for question answering research, Transactions of the Association for Computational Linguistics, 7, pp. 452-466, (2019); Lester Brian, Al-Rfou Rami, Constant Noah, The power of scale for parameter-efficient prompt tuning, Proceedings of the 2021 Conference on Empirical Methods in Natural Language Processing, pp. 3045-3059, (2021); Li Zhizhong, Hoiem Derek, Learning without forgetting, IEEE transactions on pattern analysis and machine intelligence, 40, 12, pp. 2935-2947, (2017); Likas Aristidis, Vlassis Nikos, Verbeek Jakob J, The global k-means clustering algorithm, Pattern recognition, 36, 2, pp. 451-461, (2003); Luo Yun, Yang Zhen, Meng Fandong, Li Yafu, Zhou Jie, Zhang Yue, An empirical study of catastrophic forgetting in large language models during continual fine-tuning, (2023); Mai Zheda, Li Ruiwen, Kim Hyunwoo, Sanner Scott, Supervised contrastive replay: Revisiting the nearest class mean classifier in online class-incremental continual learning, Proceedings of the IEEE/CVF Conference on Computer Vision and Pattern Recognition, pp. 3589-3599, (2021); Mallya Arun, Davis Dillon, Lazebnik Svetlana, Piggyback: Adapting a single network to multiple tasks by learning to mask weights, Proceedings of the European conference on computer vision, pp. 67-82, (2018); Manning Christopher D, Raghavan Prabhakar, Schutze Hinrich, Introduction to information retrieval, (2008); McCloskey Michael, Cohen Neal J, Catastrophic interference in connectionist networks: The sequential learning problem, Psychology of Learning and Motivation-Advances in Research and Theory, 24, C, pp. 109-165, (1989); van den Oord Aaron, Li Yazhe, Vinyals Oriol, Representation learning with contrastive predictive coding, (2018); Open AI., Chatgpt: Optimizing language models for dialogue, (2022); gpt-3.5-turbo, (2023); Gpt-4 technical report; Paszke Adam, Gross Sam, Massa Francisco, Lerer Adam, Bradbury James, Chanan Gregory, Killeen Trevor, Lin Zeming, Gimelshein Natalia, Antiga Luca, Et al., Pytorch: An imperative style, high-performance deep learning library, Advances in neural information processing systems, 32, (2019); Peng Hao, Gao Tianyu, Han Xu, Lin Yankai, Li Peng, Liu Zhiyuan, Sun Maosong, Zhou Jie, Learning from context or names? an empirical study on neural relation extraction, Proceedings of the 2020 Conference on Empirical Methods in Natural Language Processing, pp. 3661-3672, (2020); Qin Chengwei, Joty Shafiq, Continual few-shot relation learning via embedding space regularization and data augmentation, Proceedings of the 60th Annual Meeting of the Association for Computational Linguistics (Volume 1: Long Papers), pp. 2776-2789, (2022); Rebuffi Sylvestre-Alvise, Kolesnikov Alexander, Sperl Georg, Lampert Christoph H, icarl: Incremental classifier and representation learning, Proceedings of the IEEE conference on Computer Vision and Pattern Recognition, pp. 2001-2010, (2017); Ritter Hippolyt, Botev Aleksandar, Barber David, Online structured laplace approximations for overcoming catastrophic forgetting, Advances in Neural Information Processing Systems, 31, (2018); Schick Timo, Schutze Hinrich, Exploiting cloze-questions for few-shot text classification and natural language inference, Proceedings of the 16th Conference of the European Chapter of the Association for Computational Linguistics: Main Volume, pp. 255-269, (2021); Schroff Florian, Kalenichenko Dmitry, Philbin James, Facenet: A unified embedding for face recognition and clustering, Proceedings of the IEEE conference on computer vision and pattern recognition, pp. 815-823, (2015); Shin Hanul, Lee Jung Kwon, Kim Jaehong, Kim Jiwon, Continual learning with deep generative replay, Advances in neural information processing systems, (2017); Sohn Kihyuk, Improved deep metric learning with multi-class n-pair loss objective, Advances in neural information processing systems, (2016); Song Yifan, Wang Peiyi, Xiong Weimin, Zhu Dawei, Liu Tianyu, Sui Zhifang, Li Sujian, Infocl: Alleviating catastrophic forgetting in continual text classification from an information theoretic perspective, Findings of the Association for Computational Linguistics: EMNLP 2023, pp. 14557-14570, (2023); Van der Maaten Laurens, Hinton Geoffrey, Visualizing data using t-sne, Journal of machine learning research, 9, 11, (2008); Wang Hong, Xiong Wenhan, Yu Mo, Guo Xiaoxiao, Chang Shiyu, Wang William Yang, Sentence embedding alignment for lifelong relation extraction, Proceedings of the 2019 Conference of the North American Chapter of the Association for Computational Linguistics: Human Language Technologies, Volume 1 (Long and Short Papers), pp. 796-806, (2019); Wang Peiyi, Song Yifan, Liu Tianyu, Lin Binghuai, Cao Yunbo, Li Sujian, Sui Zhifang, Learning robust representations for continual relation extraction via adversarial class augmentation, Proceedings of the 2022 Conference on Empirical Methods in Natural Language Processing, pp. 6264-6278, (2022); Wang Xinyi, Wang Zitao, Hu Wei, Serial contrastive knowledge distillation for continual few-shot relation extraction, Findings of the Association for Computational Linguistics, pp. 12693-12706, (2023); Wei Jason, Wang Xuezhi, Schuurmans Dale, Bosma Maarten, Xia Fei, Chi Ed, Le Quoc V, Zhou Denny, Et al., Chain-of-thought prompting elicits reasoning in large language models, Advances in Neural Information Processing Systems, 35, pp. 24824-24837, (2022); Wolf Thomas, Debut Lysandre, Sanh Victor, Chaumond Julien, Delangue Clement, Moi Anthony, Cistac Pierric, Rault Tim, Louf Remi, Funtowicz Morgan, Et al., Transformers: State-of-the-art natural language processing, Proceedings of the 2020 conference on empirical methods in natural language processing: system demonstrations, pp. 38-45, (2020); Zhai Yuexiang, Tong Shengbang, Li Xiao, Cai Mu, Qu Qing, Lee Yong Jae, Ma Yi, Investigating the catastrophic forgetting in multimodal large language models, (2023); Zhang Han, Liang Bin, Yang Min, Wang Hui, Xu Ruifeng, Prompt-based prototypical framework for continual relation extraction, IEEE/ACM Transactions on Audio, Speech, and Language Processing, 30, pp. 2801-2813, (2022); Zhao Kang, Xu Hua, Yang Jiangong, Gao Kai, Consistent representation learning for continual relation extraction, Findings of the Association for Computational Linguistics, pp. 3402-3411, (2022); Han Xu, Hao Zhu, Pengfei Yu, Ziyun, Yuan Yao, Liu Zhiyuan, Sun Maosong, FewRel: A Large-Scale Supervised Few-Shot Relation Classification Dataset with State-of-the-Art Evaluation, ISLRN, (2018); Zhang Yuhao, Zhong Victor, Chen Danqi, Angeli Gabor, Manning Christopher D., Position-aware Attention and Supervised Data Improve Slot Filling, (2017)</t>
  </si>
  <si>
    <t>2-s2.0-85195967719</t>
  </si>
  <si>
    <t>Liu Q.; Lu J.; Zhang G.; Shen T.; Zhang Z.; Huang H.</t>
  </si>
  <si>
    <t>Liu, Qian (57468915400); Lu, Jie (7601559842); Zhang, Guangquan (7405270696); Shen, Tao (57210531549); Zhang, Zhihan (57216615600); Huang, Heyan (7405614195)</t>
  </si>
  <si>
    <t>57468915400; 7601559842; 7405270696; 57210531549; 57216615600; 7405614195</t>
  </si>
  <si>
    <t>Domain-specific meta-embedding with latent semantic structures</t>
  </si>
  <si>
    <t>410.0</t>
  </si>
  <si>
    <t>423.0</t>
  </si>
  <si>
    <t>10.1016/j.ins.2020.10.030</t>
  </si>
  <si>
    <t>https://www.scopus.com/inward/record.uri?eid=2-s2.0-85099633840&amp;doi=10.1016%2fj.ins.2020.10.030&amp;partnerID=40&amp;md5=ae226375298699abe28c4720d82191ad</t>
  </si>
  <si>
    <t>AAII, University of Technology Sydney, NSW, Australia; School of Computer Science, Beijing Institute of Technology, Beijing, China; School of Electronic Engineering and Computer Science, Peking University, Beijing, China</t>
  </si>
  <si>
    <t>Liu Q., AAII, University of Technology Sydney, NSW, Australia, School of Computer Science, Beijing Institute of Technology, Beijing, China; Lu J., AAII, University of Technology Sydney, NSW, Australia; Zhang G., AAII, University of Technology Sydney, NSW, Australia; Shen T., AAII, University of Technology Sydney, NSW, Australia; Zhang Z., School of Electronic Engineering and Computer Science, Peking University, Beijing, China; Huang H., School of Computer Science, Beijing Institute of Technology, Beijing, China</t>
  </si>
  <si>
    <t>Meta-embedding aims at assembling pre-trained embeddings from various sources and producing more expressively powerful word representations. Many natural language processing (NLP) tasks in a specific domain benefit from meta-embedding, especially when the task suffers from low resources. This paper proposes an unsupervised meta-embedding method that jointly models background knowledge from the source embeddings and domain-specific knowledge from the task domain. Specifically, embeddings from multiple sources for a word are dynamically aggregated to a single meta-embedding by a differentiable attention module. The embeddings derived from pre-training on a large-scale corpus provide complete background knowledge of word usage. Then, the meta-embedding is further enriched by exploring domain-specific knowledge from each task domain in two ways. First, contextual information in the raw corpus is considered to capture the semantics of words. Second, a graph representing domain-specific semantic structures is extracted from the raw corpus to highlight the relationships between salient words, then the graph is modeled by a powerful graph convolution network to effectively capture rich semantic structures among words in the task domain. Experiments conducted on two tasks, i.e., text classification and relation extraction, show that our model outputs more accurate word meta-embeddings for the task domain, compared to other state-of-the-art competitors. ¬© 2020 Elsevier Inc.</t>
  </si>
  <si>
    <t>Graph neural network; Meta-embedding; Natural language processing; Semantic representation</t>
  </si>
  <si>
    <t>Classification (of information); Natural language processing systems; Semantics; Text processing; Back-ground knowledge; Contextual information; Domain specific semantics; Domain-specific knowledge; NAtural language processing; Semantic structures; Text classification; Word representations; Embeddings</t>
  </si>
  <si>
    <t>Australian Research Council, ARC, (DP170101632); National Natural Science Foundation of China, NSFC</t>
  </si>
  <si>
    <t>The work presented in this paper was supported by the Australian Research Council under Discovery Grant DP170101632 and the Joint Funds of the National Natural Science Foundation of China under Grant No.U19B2020.</t>
  </si>
  <si>
    <t>Mikolov T., Sutskever I., Chen K., Corrado G.S., Dean J., Distributed representations of words and phrases and their compositionality, Proceedings of NIPS, pp. 3111-3119, (2013); Pennington J., Socher R., Manning C.D., Glove: Global vectors for word representation, Proceedings of EMNLP, pp. 1532-1543, (2014); Devlin J., Chang M.-W., Lee K., Kristina Toutanova B.E.R.T., pre-training of deep bidirectional transformers for language understanding, Proceedings of NAACL-HLT, pp. 4171-4186, (2019); (2019); pp. 2023-2032, (2018); Wang C., Jiang H., Explicit utilization of general knowledge in machine reading comprehension, Proceedings of ACL, pp. 2263-2272, (2019); Chen Y., Perozzi B., Al-Rfou' R., Skiena S., The expressive power of word embeddings, Proc. of ICML Workshop, (2013); Lai S., Liu K., He S., Zhao J., How to generate a good word embedding, IEEE Intelligent Systems, 31, 6, pp. 5-14, (2016); Tsuboi Y., Neural networks leverage corpus-wide information for part-of-speech tagging, Proceedings of EMNLP, pp. 938-950, (2014); (2016); Coates J., Bollegala D., Frustratingly easy meta-embedding - computing meta-embeddings by averaging source word embeddings, Proceedings of NAACL-HLT, pp. 194-198, (2018); (2018); Karen Sparck Jones, A statistical interpretation of term specificity and its application in retrieval, J. Documentation, 60, 5, pp. 493-502, (2004); Bengio Y., Ducharme R., Vincent P., Janvin C., A neural probabilistic language model, J. Mach. Learn. Res., 3, pp. 1137-1155, (2003); Ma B., Qi Q., Liao J., Sun H., Wang J., Learning chinese word embeddings from character structural information, Computer Speech Language, 60, (2020); Bollegala D., Yoshida Y., Kawarabayashi K.-I., Using k-way co-occurrences for learning word embeddings, Proceedings of AAAI, pp. 5037-5044, (2018); Atif Qureshi M., Greene D., EVE: explainable vector based embedding technique using wikipedia, J. Intell. Inform. Syst., 53, 1, pp. 137-165, (2019); (2018); (2020); Alt C., Hubner M., Hennig L., Fine-tuning pre-trained transformer language models to distantly supervised relation extraction, Proceedings of ACL, pp. 1388-1398, (2019); pp. 2346-2357, (2019); Jie L., Behbood V., Hao P., Zuo H.A., Xue S., Zhang G., Transfer learning using computational intelligence: A survey, Knowledge Based Systems, 80, pp. 14-23, (2015); Bollegala D., Hayashi K., Kawarabayashi K.-I., Think globally, embed locally - locally linear meta-embedding of words, Proceedings of IJCAI, pp. 3970-3976, (2018); Yang W., Wei L., Zheng V., A simple regularization-based algorithm for learning cross-domain word embeddings, Proceedings of EMNLP, pp. 2898-2904, (2017); Jie L., Zuo H.A., Zhang G., Fuzzy multiple-source transfer learning, IEEE Trans. Fuzzy Systems, (2019); Kiela D., Wang C., Cho K., Dynamic meta-embeddings for improved sentence representations, Proceedings of EMNLP, pp. 1466-1477, (2018); Hu X., Liu B., Shu L., Philip S.Y., Lifelong domain word embedding via meta-learning, Proceedings of IJCAI, pp. 4510-4516, (2018); Hazem A., Morin E., Leveraging meta-embeddings for bilingual lexicon extraction from specialized comparable corpora, Proceedings of COLING, pp. 937-949, (2018); pp. 2224-2232, (2015); Kipf T.N., Welling M., Semi-supervised classification with graph convolutional networks, Proceedings of ICLR, (2017); Wang W., Xiankai L., Shen J., Crandall D.J., Shao L., Zero-shot video object segmentation via attentive graph neural networks, Proceedings of ICCV, pp. 9235-9244, (2019); (2018); Jie L., Xuan J., Zhang G., Luo X., Structural property-aware multilayer network embedding for latent factor analysis, Pattern Recognition, 76, pp. 228-241, (2018); pp. 1957-1967, (2017); pp. 5900-5907, (2018); pp. 5261-5268, (2018); Hien T., (2019); Duchi J.C., Hazan E., Singer Y., Adaptive subgradient methods for online learning and stochastic optimization, J. Mach. Learning Res., 12, pp. 2121-2159, (2011); Blitzer J., Dredze M., Pereira F., Biographies, bollywood, boom-boxes and blenders: Domain adaptation for sentiment classification, Proceedings of ACL, (2007); pp. 168-177, (2004); Li X., Roth D., Learning question classifiers, Proceedings of COLING, (2002); (2019); pp. 148-163, (2010); pp. 363-370, (2005); pp. 1753-1762, (2015)</t>
  </si>
  <si>
    <t>2-s2.0-85099633840</t>
  </si>
  <si>
    <t>Sholikah R.W.; Arifin A.Z.; Fatichah C.; Purwarianti A.</t>
  </si>
  <si>
    <t>Sholikah, Rizka Wakhidatus (57189051147); Arifin, Agus Zainal (36778184500); Fatichah, Chastine (35811948800); Purwarianti, Ayu (13104011100)</t>
  </si>
  <si>
    <t>57189051147; 36778184500; 35811948800; 13104011100</t>
  </si>
  <si>
    <t>Semantic relation detection based on multi-task learning and cross-lingual-view embedding</t>
  </si>
  <si>
    <t>2020.0</t>
  </si>
  <si>
    <t>International Journal of Intelligent Engineering and Systems</t>
  </si>
  <si>
    <t>45.0</t>
  </si>
  <si>
    <t>10.22266/IJIES2020.0630.04</t>
  </si>
  <si>
    <t>https://www.scopus.com/inward/record.uri?eid=2-s2.0-85087085843&amp;doi=10.22266%2fIJIES2020.0630.04&amp;partnerID=40&amp;md5=09d5a5653e048fb6397ca61583d9b9c2</t>
  </si>
  <si>
    <t>Informatics Department, Faculty of Information and Communication Technology, Institut Teknologi Sepuluh Nopember, Surabaya, Indonesia; School of Informatics and Electrical Engineering, Institut Teknologi Bandung, Bandung, Indonesia</t>
  </si>
  <si>
    <t>Sholikah R.W., Informatics Department, Faculty of Information and Communication Technology, Institut Teknologi Sepuluh Nopember, Surabaya, Indonesia; Arifin A.Z., Informatics Department, Faculty of Information and Communication Technology, Institut Teknologi Sepuluh Nopember, Surabaya, Indonesia; Fatichah C., Informatics Department, Faculty of Information and Communication Technology, Institut Teknologi Sepuluh Nopember, Surabaya, Indonesia; Purwarianti A., School of Informatics and Electrical Engineering, Institut Teknologi Bandung, Bandung, Indonesia</t>
  </si>
  <si>
    <t>Semantic relation extraction automatically is an important task in NLP. Various methods have been developed using either pattern-based approach or distributional approach. However, existing research only focuses on single task modeling without considering the possibility of generalization with other tasks. Besides, the methods that exist only use one view from task language as an input representation that might lack of features. This happens especially in languages that are classified as low resource language. Therefore, in this paper we proposed a framework for semantic relations classification based on multi-task architecture and cross-lingual-view embedding. There are two main stages in this framework, data augmentation based on pseudo parallel corpora and multi-task architecture with cross-lingual-view embedding. Further, extensive experiment of the proposed framework has been conducted. The results show that the use of rich resource language in cross-lingual-view embedding is able to support low-resource languages. This is shown by the results with accuracy and F1-scores of 85.8% and 87.6%, respectively. The comparison result also shows that our proposed model outperforms another state-of-the art. ¬© 2020, Intelligent Network and Systems Society.</t>
  </si>
  <si>
    <t>Cross-lingual-view embedding; Distributional approach; Multi-task learning; Semantic relation</t>
  </si>
  <si>
    <t>Ministry of Re-search, Technology and Higher Education of Republic Indonesia; Ministry of Research, Technology and Higher Education of Republic Indonesia</t>
  </si>
  <si>
    <t>Funding text 1: This work was supported by the Ministry of Research, Technology and Higher Education of Republic Indonesia under PMDSU program that enable this joint-research with Hiroshima University.; Funding text 2: This work was supported by the Ministry of Re-search, Technology and Higher Education of Republic Indonesia under PMDSU program that enable this joint-research with Hiroshima University.</t>
  </si>
  <si>
    <t>Azad H.K., Deepak A., A New Approach for Query Expansion using Wikipedia and WordNet, Information Science, 492, pp. 147-163, (2019); Lemos O.A.L., Paula A.C., Zanichelli F.C., Lpoes C.V., Thesaurus-Based Automatic Query Expansion for Interface-Driven Code Search, Proc. of the 11th Working Conference on Mining Software Repositories, pp. 212-221, (2014); Yousif S.A., Samawi V.W., Elkabani I., Zantout R., Enhancement of Arabic Text Classification Using Semantic Relations with Part of Speech Tagger, W transactions Advances in Electrical and Computer Engineering, pp. 195-201, (2015); Vishnu T., Himakireeti K., Automated Text Clustering and Labeling using Hypernyms, International Journal of Applied Engineering Research, 14, 2, pp. 447-451, (2019); Gupta A., Lebret R., Harkous H., Aberer K., Taxonomy Induction using Hypernym Subsequences, Proc. of the 2017 ACM on Conference on Information and Knowledge Management, pp. 1329-1338, (2017); Wang C., Fan Y., He X., Predicting Hypernym-Hyponym Relations for Chinese Taxonomy Learning, Knowledge and Information Systems, 58, 3, pp. 585-610, (2019); Gambhir M., Gupta V., Recent automatic text summarization techniques: A survey, Artificial Intelligence Review, 47, 1, pp. 1-66, (2017); Hearst M., Automatic Acquisition of Hyponyms from Large Text Corpora, Proc. of the 14th conference on Computational linguistics, 2, pp. 539-545, (1992); Snow R., Jurafsky D., Ng A.Y., Learning Syntactic Patterns for Automatic Hypernym Discovery, Proc. of the 17th International Conference on Neural Information Processing Systems, pp. 1297-1304, (2004); Simanovsky A., Ulanov A.V., Mining Text Patterns for Synonyms Extraction, Proceedings of the 22nd International Workshop on Database and Expert Systems Applications, pp. 473-477, (2011); Nityasya M.N., Mahendra R., Adriani M., Hypernym-Hyponym Relation Extraction from Indonesian Wikipedia Text, Proc. of International Conference on Asian Language Processing, pp. 285-289, (2019); Roller S., Kiela D., Nickel M., Hearst Pattern Re-visited: Automatic Hypernym Detection from Large Text Corpora, Proc. of the 56th Annual Meeting of the Association for Computational Linguistics, pp. 358-363, (2018); Lenci A., Benotto G., Identifying Hypernyms in Distributional Semantic Space, Proc. of the first Joint Conference on Lexical and Computational Semantics, pp. 75-79, (2012); Kotlerman L., Dagan I., Szpektor I., Geffet M.Z., Directional Distributional Similarity for Lexical Inference, Natural Language Engineering, 16, 4, pp. 359-389, (2010); Geffet M., Dagan I., The Distributional Inclusion Hypotheses and Lexical Entailment, Proc. of the 43rd Annual Meeting on Association for Computational Linguistics, pp. 107-114, (2005); Mikolov T., Chen K., Corrado G., Dean J., Efficient Estimation of Word Representation in Vector Space, Proc. of the International Conference on Learning Representations, (2013); Pennington J., Socher R., Manning C.D., Glove: Global Vector for Word Representation, Proc. of the conference on Empirical Methods on Natural Language Processing, pp. 1532-1543, (2014); Bojanowski P., Grave E., Joulin A., Mikolov T., Enriching Word Vectors with Subword Information, Transactions of the Association for Computational Linguistics, 5, pp. 135-146, (2017); Hagiwara M., A Supervised Learning Approach to Automatic Synonym Identification based on Distributional Features, Proc. of the 46th Annual Meeting of the Association for Computational Linguistics on Human Language Technologies: Student Research Workshop, pp. 1-6, (2008); Hu F., Shao Z., Ruan T., Self-Supervised Synonym Extraction from the Web, Journal of Information Science and Engineering, 31, pp. 1133-1148, (2015); Nguyen K.A., Walde S.S., Vu N.T., Distinguishing Antonyms and Synonyms in a Pattern-based Neural Network, Proc. of the 15th Conference of the European Chapter of the Association for Computational Linguistics: Volume 1, Long Papers, pp. 76-85, (2005); Weeds J., Clarke D., Reffin J., Weir D., Keller B., Learning to Distinguish Hypernym and Co-Hyponym, Proc. of COLING 2014, the 25th International Conference on Computational Linguistics: Technical Papers, pp. 2249-2259, (2014); Anke L.E., Collados J.C., Bovi C.D., Saggion H., Supervised Distributional Hypernym Discovery via Domain Adaptation, Proc. of the 2016 Conference on Empirical Methods in Natural Language Processing, pp. 424-435, (2016); Santus E., Yung F., Lenci A., Huang C.R., EVALution 1.0: An Evolving Semantic Dataset for Training and Evaluation of Distributional Semantic Models, Proc. of the 4th Workshop on Linked Data in Linguistics (LDL) associated to Association for Computational Linguistics and Asian Federation of Natural Language Processing, pp. 64-69, (2015); Yu Z., Wang H., Lin X., Wang M., Learning Term Embeddings for Hypernymy Identification, Proc. of the 24th International Conference on Artificial Intelligence, pp. 1390-1397, (2015); Shwartz V., Goldberg Y., Dagan I., Improving Hypernymy Detection with an Integrated Path-Based and Distributional Method, Proc. of the 54th Annual Meeting of the Association for Computational Linguistics, 1, pp. 2389-2398, (2016); Balikas G., Dias G., Moraliyski R., Akhmouch H., Amini M.R., Learning Lexical-Semantic Relations Using Intuitive Cognitive Links, Proc. of European Conference on Information Retrieval ECIR 2019. Lecture Notes in Computer Science, pp. 3-18, (2019); Grave E., Bojanowski P., Gupta P., Joulin A., Mikolov T., Learning word Vectors for 157 Languages, Proc. of the International Conference on Language Resources and Evaluation, (2018); Al-Zamil M.G.H., Al-Radaideh Q., Automatic Extraction of Ontological Relations from Arabic Text, Journal of King Saud University-Computer and Information Sciences, 26, pp. 462-472, (2014); Sahin G., Diri B., Yildiz T., Pattern and semantic similarity based automatic extraction of hyponym-hypernym relation from Turkish corpus, Proc. of the 23nd Signal Processing and Communications Applications Conference (SIU), pp. 674-677, (2015); Baroni M., Bernardi R., Do N.Q., Shan C.C., Entailment above the word level in distributional semantics, Proc. of the 13th Conference of the European Chapter of the Association for Computational Linguistics, pp. 23-32, (2012); Vylomova E., Rimell L., Cohn T., Baldwin T., Take and took, gaggle and goose, book and read: Evaluating the utility of vector differences for lexical relation learning, Proc. of the 54th Annual Meeting of the Association for Computational Linguistics, pp. 1671-1682, (2016); Lample G., Conneau A., Denoyer L., Ranzato M., Unsupervised Machine Translation Using Monolingual Corpora Only, Proc. of the 6th International Conference on Learning Representations ICLR 2018, (2018); Upadhyay S., Faruqui M., Dyer C., Roth D., Cross-lingual Models of Word Embeddings: An Empirical Comparison, Proc. of the 54th Annual Meeting of the Association for Computational Linguistics, pp. 1661-1670, (2016)</t>
  </si>
  <si>
    <t>R.W. Sholikah; Informatics Department, Faculty of Information and Communication Technology, Institut Teknologi Sepuluh Nopember, Surabaya, Indonesia; email: rizka16@mhs.if.its.ac.id</t>
  </si>
  <si>
    <t>Intelligent Network and Systems Society</t>
  </si>
  <si>
    <t>2185310X</t>
  </si>
  <si>
    <t>Int. J. Intelligent Eng. Syst.</t>
  </si>
  <si>
    <t>2-s2.0-85087085843</t>
  </si>
  <si>
    <t>Qin Y.; Lin Y.; Takanobu R.; Liu Z.; Li P.; Ji H.; Huang M.; Sun M.; Zhou J.</t>
  </si>
  <si>
    <t>Qin, Yujia (57218918509); Lin, Yankai (57155321900); Takanobu, Ryuichi (57204471237); Liu, Zhiyuan (57191691341); Li, Peng (57211755481); Ji, Heng (35240121900); Huang, Minlie (7404260571); Sun, Maosong (7403180987); Zhou, Jie (57211746430)</t>
  </si>
  <si>
    <t>57218918509; 57155321900; 57204471237; 57191691341; 57211755481; 35240121900; 7404260571; 7403180987; 57211746430</t>
  </si>
  <si>
    <t>ERICA: Improving entity and relation understanding for pre-trained language models via contrastive learning</t>
  </si>
  <si>
    <t>ACL-IJCNLP 2021 - 59th Annual Meeting of the Association for Computational Linguistics and the 11th International Joint Conference on Natural Language Processing, Proceedings of the Conference</t>
  </si>
  <si>
    <t>3350.0</t>
  </si>
  <si>
    <t>3363.0</t>
  </si>
  <si>
    <t>87.0</t>
  </si>
  <si>
    <t>https://www.scopus.com/inward/record.uri?eid=2-s2.0-85115854364&amp;partnerID=40&amp;md5=1faff745afce7ad10159e0a4c29a66eb</t>
  </si>
  <si>
    <t>Department of Computer Science and Technology, Tsinghua University, Beijing, China; University of Illinois at Urbana-Champaign, United States; Pattern Recognition Center, WeChat AI, Tencent Inc</t>
  </si>
  <si>
    <t>Qin Y., Department of Computer Science and Technology, Tsinghua University, Beijing, China, University of Illinois at Urbana-Champaign, United States, Pattern Recognition Center, WeChat AI, Tencent Inc; Lin Y., Pattern Recognition Center, WeChat AI, Tencent Inc; Takanobu R., Department of Computer Science and Technology, Tsinghua University, Beijing, China, Pattern Recognition Center, WeChat AI, Tencent Inc; Liu Z., Department of Computer Science and Technology, Tsinghua University, Beijing, China; Li P., Pattern Recognition Center, WeChat AI, Tencent Inc; Ji H., University of Illinois at Urbana-Champaign, United States; Huang M., Department of Computer Science and Technology, Tsinghua University, Beijing, China; Sun M., Department of Computer Science and Technology, Tsinghua University, Beijing, China; Zhou J., Pattern Recognition Center, WeChat AI, Tencent Inc</t>
  </si>
  <si>
    <t>Pre-trained Language Models (PLMs) have shown superior performance on various downstream Natural Language Processing (NLP) tasks. However, conventional pre-training objectives do not explicitly model relational facts in text, which are crucial for textual understanding. To address this issue, we propose a novel contrastive learning framework ERICA to obtain a deep understanding of the entities and their relations in text. Specifically, we define two novel pre-training tasks to better understand entities and relations: (1) the entity discrimination task to distinguish which tail entity can be inferred by the given head entity and relation; (2) the relation discrimination task to distinguish whether two relations are close or not semantically, which involves complex relational reasoning. Experimental results demonstrate that ERICA can improve typical PLMs (BERT and RoBERTa) on several language understanding tasks, including relation extraction, entity typing and question answering, especially under low-resource settings. ¬© 2021 Association for Computational Linguistics</t>
  </si>
  <si>
    <t>Computational linguistics; Learning systems; Discrimination tasks; Down-stream; Language model; Language understanding; Learning frameworks; Performance; Pre-training; Relation extraction; Relation understanding; Relational reasoning; Natural language processing systems</t>
  </si>
  <si>
    <t>Beijing Academy of Artificial Intelligence; Pattern Recognition Center; Tencent Inc.; National Key Research and Development Program of China, NKRDPC, (2020AAA0106501)</t>
  </si>
  <si>
    <t>This work is supported by the National Key Research and Development Program of China (No. 2020AAA0106501) and Beijing Academy of Artificial Intelligence (BAAI). This work is also supported by the Pattern Recognition Center, WeChat AI, Tencent Inc.</t>
  </si>
  <si>
    <t>Dai Andrew M, Le Quoc V, Semi-supervised sequence learning, Advances in neural information processing systems, pp. 3079-3087, (2015); Devlin Jacob, Chang Ming-Wei, Lee Kenton, Toutanova Kristina, BERT: Pre-training of deep bidirectional transformers for language understanding, Proceedings of the 2019 Conference of the North American Chapter of the Association for Computational Linguistics: Human Language Technologies, NAACL-HLT 2019, 1, pp. 4171-4186, (2018); Eberts Markus, Ulges Adrian, Span-based joint entity and relation extraction with transformer pre-training, (2019); Fedus William, Zoph Barret, Shazeer Noam, Switch transformers: Scaling to trillion parameter models with simple and efficient sparsity, (2021); Fisch Adam, Talmor Alon, Jia Robin, Seo Minjoon, Choi Eunsol, Chen Danqi, MRQA 2019 shared task: Evaluating generalization in reading comprehension, Proceedings of the 2nd Workshop on Machine Reading for Question Answering, pp. 1-13, (2019); Gurulingappa Harsha, Rajput Abdul Mateen, Roberts Angus, Fluck Juliane, Hofmann-Apitius Martin, Toldo Luca, Development of a benchmark corpus to support the automatic extraction of drug-related adverse effects from medical case reports, Journal of biomedical informatics, 45, 5, pp. 885-892, (2012); Hadsell Raia, Chopra Sumit, LeCun Yann, Dimensionality reduction by learning an invariant mapping, 2006 IEEE Computer Society Conference on Computer Vision and Pattern Recognition (CVPR'06), 2, pp. 1735-1742, (2006); He Bin, Zhou Di, Xiao Jinghui, Jiang Xin, Liu Qun, Yuan Nicholas Jing, Xu Tong, BERT-MK: Integrating graph contextualized knowledge into pre-trained language models, Findings of the Association for Computational Linguistics: EMNLP 2020, pp. 2281-2290, (2020); Hendrickx Iris, Kim Su Nam, Kozareva Zornitsa, Nakov Preslav, Seaghdha Diarmuid O, Pado Sebastian, Pennacchiotti Marco, Romano Lorenza, Szpakowicz Stan, SemEval-2010 Task 8: Multi-way classification of semantic relations between pairs of nominals, Proceedings of the Workshop on Semantic Evaluations: Recent Achievements and Future Directions (SEW-2009), pp. 94-99, (2019); Hinton Geoffrey E, Roweis Sam, Stochastic neighbor embedding, Advances in neural information processing systems 15: 16th Annual Conference on Neural Information Processing Systems 2002. Proceedings of a meeting held September 12, 2002, 15, pp. 857-864, (2002); Hochreiter Sepp, Schmidhuber Jurgen, Long short-term memory, Neural computation, 9, 8, pp. 1735-1780, (1997); Howard Jeremy, Ruder Sebastian, Universal language model fine-tuning for text classification, Proceedings of the 56th Annual Meeting of the Association for Computational Linguistics, 1, pp. 328-339, (2018); Jiang Yichen, Bansal Mohit, Avoiding reasoning shortcuts: Adversarial evaluation, training, and model development for multi-hop qa, Proceedings of the 57th Annual Meeting of the Association for Computational Linguistics, ACL 2019, pp. 2726-2736, (2019); Joshi Mandar, Chen Danqi, Liu Yinhan, Weld Daniel S., Zettlemoyer Luke, Levy Omer, SpanBERT: Improving pre-training by representing and predicting spans, Transactions of the Association for Computational Linguistics, 8, pp. 64-77, (2020); Joshi Mandar, Choi Eunsol, Weld Daniel, Zettlemoyer Luke, TriviaQA: A large scale distantly supervised challenge dataset for reading comprehension, Proceedings of the 55th Annual Meeting of the Association for Computational Linguistics, 1, pp. 1601-1611, (2017); Kingma Diederik P, Ba Jimmy, Adam: A method for stochastic optimization, 3rd International Conference on Learning Representations, ICLR 2015, (2014); Kong Lingpeng, de Masson d'Autume Cyprien, Yu Lei, Ling Wang, Dai Zihang, Yogatama Dani, A mutual information maximization perspective of language representation learning, Proceedings of 8th International Conference on Learning Representations, ICLR 2020, Virtual Conference, (2020); Kwiatkowski Tom, Palomaki Jennimaria, Red-field Olivia, Collins Michael, Parikh Ankur, Alberti Chris, Epstein Danielle, Polosukhin Illia, Devlin Jacob, Lee Kenton, Et al., Natural questions: a benchmark for question answering research, Transactions of the Association for Computational Linguistics, 7, pp. 453-466, (2019); Lan Zhenzhong, Chen Mingda, Goodman Sebastian, Gimpel Kevin, Sharma Piyush, Soricut Radu, ALBERT: A lite BERT for self-supervised learning of language representations, Proceedings of 8th International Conference on Learning Representations, ICLR 2020, Virtual Conference, (2020); Ling Xiao, Singh Sameer, Weld Daniel S, Design challenges for entity linking, Transactions of the Association for Computational Linguistics, 3, pp. 315-328, (2015); Liu Yinhan, Ott Myle, Goyal Naman, Du Jingfei, Joshi Mandar, Chen Danqi, Levy Omer, Lewis Mike, Zettlemoyer Luke, Stoyanov Veselin, RoBERTa: A robustly optimized BERT pretraining approach, (2019); Loshchilov Ilya, Hutter Frank, Decoupled weight decay regularization, Proceedings of 7th International Conference on Learning Representations, (2017); McCloskey Michael, Cohen Neal J, Catastrophic interference in connectionist networks: the sequential learning problem, Psychology of learning and motivation, 24, pp. 109-165, (1989); Peng Hao, Gao Tianyu, Han Xu, Lin Yankai, Li Peng, Liu Zhiyuan, Sun Maosong, Zhou Jie, Learning from context or names? an empirical study on neural relation extraction, Proceedings of the 2020 Conference on Empirical Methods in Natural Language Processing (EMNLP), pp. 3661-3672, (2020); Peters Matthew E, Neumann Mark, Logan Robert L, Schwartz Roy, Joshi Vidur, Singh Sameer, Smith Noah A, Knowledge enhanced contextual word representations, Proceedings of the 2019 Conference on Empirical Methods in Natural Language Processing and the 9th International Joint Conference on Natural Language Processing (EMNLP-IJCNLP), (2019); Radford Alec, Narasimhan Karthik, Salimans Tim, Sutskever Ilya, Improving language understanding by generative pre-training, (2018); Raffel Colin, Shazeer Noam, Roberts Adam, Lee Katherine, Narang Sharan, Matena Michael, Zhou Yanqi, Li Wei, Liu Peter J, Exploring the limits of transfer learning with a unified text-to-text transformer, Journal of Machine Learning Research, 21, pp. 1-67, (2020); Rajpurkar Pranav, Zhang Jian, Lopyrev Konstantin, Liang Percy, SQuAD: 100,000+ questions for machine comprehension of text, Proceedings of the 2016 Conference on Empirical Methods in Natural Language Processing, pp. 2383-2392, (2016); Roth Dan, Yih Wen-tau, A linear programming formulation for global inference in natural language tasks, Proceedings of the Eighth Conference on Computational Natural Language Learning (CoNLL-2004) at HLT-NAACL 2004, pp. 1-8, (2004); Sang Erik F, De Meulder Fien, Introduction to the conll-2003 shared task: Language-independent named entity recognition, Proceedings of the Seventh Conference on Natural Language Learning at HLT-NAACL 2003, (2003); Seo Minjoon, Kembhavi Aniruddha, Farhadi Ali, Hajishirzi Hannaneh, Bidirectional attention flow for machine comprehension, Proceedings of 5th International Conference on Learning Representations, ICLR 2017, (2016); Soares Livio Baldini, FitzGerald Nicholas, Ling Jeffrey, Kwiatkowski Tom, Matching the blanks: Distributional similarity for relation learning, Proceedings of the 57th Annual Meeting of the Association for Computational Linguistics, pp. 2895-2905, (2019); Song Kaitao, Tan Xu, Qin Tao, Lu Jianfeng, Liu Tie-Yan, Mass: Masked sequence to sequence pre-training for language generation, Proceedings of International Conference on Machine Learning, pp. 5926-5936, (2019); Sun Tianxiang, Shao Yunfan, Qiu Xipeng, Guo Qipeng, Hu Yaru, Huang Xuanjing, Zhang Zheng, CoLAKE: Contextualized language and knowledge embedding, Proceedings of the 28th International Conference on Computational Linguistics, pp. 3660-3670, (2020); Sun Yu, Wang Shuohuan, Li Yukun, Feng Shikun, Chen Xuyi, Zhang Han, Tian Xin, Zhu Danxiang, Tian Hao, Wu Hua, Ernie: Enhanced representation through knowledge integration, (2019); Talmor Alon, Berant Jonathan, MultiQA: An empirical investigation of generalization and transfer in reading comprehension, Proceedings of the 57th Annual Meeting of the Association for Computational Linguistics, pp. 4911-4921, (2019); Tang Hengzhu, Cao Yanan, Zhang Zhenyu, Cao Jiangxia, Fang Fang, Wang Shi, Yin Pengfei, Hin: Hierarchical inference network for document-level relation extraction, Advances in Knowledge Discovery and Data Mining-24th Pacific-Asia Conference, PAKDD 2020, Singapore, May 11, 2020, Proceedings, Part I, volume 12084 of Lecture Notes in Computer Science, pp. 197-209, (2020); Vaswani Ashish, Shazeer Noam, Parmar Niki, Uszkoreit Jakob, Jones Llion, Gomez Aidan N, Kaiser Lukasz, Polosukhin Illia, Attention is all you need, Advances in Neural Information Processing Systems 30: Annual Conference on Neural Information Processing Systems 2017, pp. 5998-6008, (2017); Wang Alex, Singh Amanpreet, Michael Julian, Hill Felix, Levy Omer, Bowman Samuel R, GLUE: A multi-task benchmark and analysis platform for natural language understanding, Proceedings of the 2018 EMNLP Workshop BlackboxNLP: Analyzing and Interpreting Neural Networks for NLP1, (2018); Wang Ruize, Tang Duyu, Duan Nan, Wei Zhongyu, Huang Xuanjing, Cao Cuihong, Jiang Daxin, Zhou Ming, Et al., K-adapter: Infusing knowledge into pre-trained models with adapters, (2020); Wang Xiaozhi, Gao Tianyu, Zhu Zhaocheng, Liu Zhiyuan, Li Juanzi, Tang Jian, KEPLER: A unified model for knowledge embedding and pre-trained language representation, Transactions of the Association for Computational Linguistics, (2019); Weissenborn Dirk, Wiese Georg, Seiffe Laura, Making neural QA as simple as possible but not simpler, Proceedings of the 21st Conference on Computational Natural Language Learning (CoNLL 2017), pp. 271-280, (2017); Welbl Johannes, Stenetorp Pontus, Riedel Sebastian, Constructing datasets for multi-hop reading comprehension across documents, Transactions of the Association for Computational Linguistics, 6, pp. 287-302, (2018); Xiong Wenhan, Du Jingfei, Wang William Yang, Stoyanov Veselin, Pretrained encyclopedia: Weakly supervised knowledge-pretrained language model, Proceedings of 8th International Conference on Learning Representations, ICLR 2020, Virtual Conference, (2019); Yamada Ikuya, Asai Akari, Shindo Hiroyuki, Takeda Hideaki, Matsumoto Yuji, LUKE: Deep contextualized entity representations with entity-aware self-attention, Proceedings of the 2020 Conference on Empirical Methods in Natural Language Processing (EMNLP), (2020); Yang Zhilin, Dai Zihang, Yang Yiming, Carbonell Jaime, Salakhutdinov Russ R, Le Quoc V, XLNet: Generalized autoregressive pretraining for language understanding, Advances in Neural Information Processing Systems 32: Annual Conference on Neural Information Processing Systems 2019, NeurIPS 2019, (2019); Yao Yuan, Ye Deming, Li Peng, Han Xu, Lin Yankai, Liu Zhenghao, Liu Zhiyuan, Huang Lixin, Zhou Jie, Sun Maosong, DocRED: A large-scale document-level relation extraction dataset, Proceedings of the 57th Conference of the Association for Computational Linguistics, ACL 2019, 1, pp. 764-777, (2019); Ye Deming, Lin Yankai, Du Jiaju, Liu Zhenghao, Sun Maosong, Liu Zhiyuan, Coreferential reasoning learning for language representation, Proceedings of the 2020 Conference on Empirical Methods in Natural Language Processing (EMNLP), pp. 7170-7186, (2020); Zeng Daojian, Liu Kang, Lai Siwei, Zhou Guangyou, Zhao Jun, Relation classification via convolutional deep neural network, Proceedings of COLING 2014, the 25th International Conference on Computational Linguistics: Technical Papers, pp. 2335-2344, (2014); Zhang Yuhao, Zhong Victor, Chen Danqi, Angeli Gabor, Manning Christopher D, Position-aware attention and supervised data improve slot filling, Proceedings of the 2017 Conference on Empirical Methods in Natural Language Processing, pp. 35-45, (2017); Zhang Zhengyan, Han Xu, Liu Zhiyuan, Jiang Xin, Sun Maosong, Liu Qun, ERNIE: Enhanced language representation with informative entities, Proceedings of the 57th Annual Meeting of the Association for Computational Linguistics, pp. 1441-1451, (2019)</t>
  </si>
  <si>
    <t>Y. Qin; Department of Computer Science and Technology, Tsinghua University, Beijing, China; email: yujiaqin16@gmail.com</t>
  </si>
  <si>
    <t>Joint Conference of the 59th Annual Meeting of the Association for Computational Linguistics and the 11th International Joint Conference on Natural Language Processing, ACL-IJCNLP 2021</t>
  </si>
  <si>
    <t>1 August 2021 through 6 August 2021</t>
  </si>
  <si>
    <t>173030.0</t>
  </si>
  <si>
    <t>978-195408552-7</t>
  </si>
  <si>
    <t>ACL-IJCNLP - Annu. Meet. Assoc. Comput. Linguist. Int. Jt. Conf. Nat. Lang. Process., Proc. Conf.</t>
  </si>
  <si>
    <t>2-s2.0-85115854364</t>
  </si>
  <si>
    <t>Zhang N.; Deng S.; Sun Z.; Chen J.; Zhang W.; Chen H.</t>
  </si>
  <si>
    <t>Zhang, Ningyu (55923601900); Deng, Shumin (57201556430); Sun, Zhanlin (57215718398); Chen, Jiaoyan (55827415100); Zhang, Wei (57775688000); Chen, Huajun (35268022500)</t>
  </si>
  <si>
    <t>55923601900; 57201556430; 57215718398; 55827415100; 57775688000; 35268022500</t>
  </si>
  <si>
    <t>Relation Adversarial Network for Low Resource Knowledge Graph Completion</t>
  </si>
  <si>
    <t>The Web Conference 2020 - Proceedings of the World Wide Web Conference, WWW 2020</t>
  </si>
  <si>
    <t>59.0</t>
  </si>
  <si>
    <t>10.1145/3366423.3380089</t>
  </si>
  <si>
    <t>https://www.scopus.com/inward/record.uri?eid=2-s2.0-85086578892&amp;doi=10.1145%2f3366423.3380089&amp;partnerID=40&amp;md5=fc9881b498c6f1ab95f32d5c982b2fc6</t>
  </si>
  <si>
    <t>Alibaba Group, AZFT Joint Lab for Knowledge Engine, China; Zhejiang University, AZFT Joint Lab for Knowledge Engine, China; Carnegie Mellon University, United States; University of Oxford, United Kingdom</t>
  </si>
  <si>
    <t>Zhang N., Alibaba Group, AZFT Joint Lab for Knowledge Engine, China; Deng S., Zhejiang University, AZFT Joint Lab for Knowledge Engine, China; Sun Z., Carnegie Mellon University, United States; Chen J., University of Oxford, United Kingdom; Zhang W., Alibaba Group, AZFT Joint Lab for Knowledge Engine, China; Chen H., Zhejiang University, AZFT Joint Lab for Knowledge Engine, China</t>
  </si>
  <si>
    <t>Knowledge Graph Completion (KGC) has been proposed to improve Knowledge Graphs by filling in missing connections via link prediction or relation extraction. One of the main difficulties for KGC is a low resource problem. Previous approaches assume sufficient training triples to learn versatile vectors for entities and relations, or a satisfactory number of labeled sentences to train a competent relation extraction model. However, low resource relations are very common in KGs, and those newly added relations often do not have many known samples for training. In this work, we aim at predicting new facts under a challenging setting where only limited training instances are available. We propose a general framework called Weighted Relation Adversarial Network, which utilizes an adversarial procedure to help adapt knowledge/features learned from high resource relations to different but related low resource relations. Specifically, the framework takes advantage of a relation discriminator to distinguish between samples from different relations, and help learn relation-invariant features more transferable from source relations to target relations. Experimental results show that the proposed approach outperforms previous methods regarding low resource settings for both link prediction and relation extraction. ¬© 2020 ACM.</t>
  </si>
  <si>
    <t>Adversarial Transfer Learning; Knowledge Graphs; Link Prediction; Low Resource Knowledge Graph Completion; Relation Extraction</t>
  </si>
  <si>
    <t>Extraction; World Wide Web; Adversarial networks; Filling in; Invariant features; Knowledge graphs; Link prediction; Low-resource settings; Relation extraction; Forecasting</t>
  </si>
  <si>
    <t>NSFC91846204/U19B2027 and national key research program SQ2018YFC000004</t>
  </si>
  <si>
    <t>We want to express gratitude to the anonymous reviewers for their hard work. This work is funded by NSFC91846204/U19B2027 and national key research program SQ2018YFC000004</t>
  </si>
  <si>
    <t>Bollacker K., Evans C., Paritosh P., Sturge T., Taylor J., Freebase: A collaboratively created graph database for structuring human knowledge, Proceedings of the 2008 ACM SIGMOD International Conference on Management of Data. AcM, pp. 1247-1250, (2008); Bordes A., Usunier N., Garcia-Duran A., Weston J., Yakhnenko O., Translating embeddings for modeling multi-relational data, NIPS, pp. 2787-2795, (2013); Cai L., Yang Wang W., Kbgan: Adversarial Learning for Knowledge Graph Embeddings, (2017); Cao Z., Long M., Wang J., Jordan M.I., Kliss M., Partial Transfer Learning with Selective Adversarial Networks, (2017); Cao Z., Ma L., Long M., Wang J., Partial adversarial domain adaptation, Proceddings of ECCV, 1, (2018); Chen M., Zhang W., Zhang W., Chen Q., Chen H., Meta Relational Learning for Few-shot Link Prediction in Knowledge Graphs, (2019); Chen Q., Liu Y., Wang Z., Wassell I., Chetty K., Re-weighted adversarial adaptation network for unsupervised domain adaptation, Proceedings of the IEEE Conference on Computer Vision and Pattern Recognition, pp. 7976-7985, (2018); Dettmers T., Minervini P., Stenetorp P., Riedel S., Convolutional 2d knowledge graph embeddings, AAAI, pp. 1811-1818, (2018); Devlin J., Chang M., Lee K., Toutanova K., Bert: Pre-training of deep bidirectional transformers for language understanding, Proceedings of the 2019 Conference of the North American Chapter of the Association for Computational Linguistics: Human Language Technologies, 1, pp. 4171-4186, (2019); Fu L., Huu Nguyen T., Min B., Grishman R., Domain adaptation for relation extraction with domain adversarial neural network, Proceedings of IJCNLP, 2, pp. 425-429, (2017); Ganin Y., Lempitsky V., Unsupervised Domain Adaptation by Backpropagation, (2014); Ganin Y., Ustinova E., Ajakan H., Germain P., Larochelle H., Laviolette F., Marchand M., Lempitsky V., Domain-adversarial training of neural networks, JMLR, 17, 1, pp. 2030-2096, (2016); Goodfellow I., Pouget-Abadie J., Mirza M., Xu B., Warde-Farley D., Ozair S., Courville A., Bengio Y., Generative adversarial nets, Processing of NIPS, pp. 2672-2680, (2014); He Z., Chen W., Li Z., Zhang M., Zhang W., Zhang M., See: Syntax-aware entity embedding for neural relation extraction, Proceedings of AAAI, (2018); Ji G., He S., Xu L., Liu K., Zhao J., Knowledge graph embedding via dynamic mapping matrix, Proceedings of ACL, pp. 687-696, (2015); Ji G., Liu K., He S., Zhao J., Et al., Distant supervision for relation extraction with sentence-level attention and entity descriptions, AAAI, pp. 3060-3066, (2017); Lin Y., Liu Z., Sun M., Liu Y., Zhu X., Learning entity and relation embeddings for knowledge graph completion, AAAI, pp. 2181-2187, (2015); Lin Y., Shen S., Liu Z., Luan H., Sun M., Neural relation extraction with selective attention over instances, Proceedings of ACL, 1, pp. 2124-2133, (2016); Liu H., Wu Y., Yang Y., Analogical inference for multi-relational embeddings, Proceedings ICML, pp. 2168-2178, (2017); Mahdisoltani F., Biega J., Suchanek F.M., Yago3: A Knowledge Base from Multilingual Wikipedias, (2013); Mansour Y., Mohri M., Rostamizadeh A., Domain Adaptation: Learning Bounds and Algorithms, (2009); Luan Nguyen M., Tsang I.W., Kian Ming C.A., Leong Chieu H., Robust domain adaptation for relation extraction via clustering consistency, Proceedings of ACL, 1, pp. 807-817, (2014); Huu Nguyen T., Grishman R., Employing word representations and regularization for domain adaptation of relation extraction, Proceedings of ACL, 2, pp. 68-74, (2014); Huu Nguyen T., Grishman R., Combining neural networks and log-linear models to improve relation extraction, Proceedings of IJCAI Workshop DLAI, (2016); Huu Nguyen T., Plank B., Grishman R., Semantic representations for domain adaptation: A case study on the tree kernel-based method for relation extraction, Proceedings of ACL, 1, pp. 635-644, (2015); Nickel M., Tresp V., Kriegel H., A three-way model for collective learning on multi-relational data, Proceedings of ICML, pp. 809-816, (2011); Pennington J., Socher R., Manning C., Glove: Global vectors for word representation, Proceedings of EMNLP, pp. 1532-1543, (2014); Peters M., Neumann M., Iyyer M., Gardner M., Clark C., Lee K., Zettlemoyer L., Deep contextualized word representations, Proceedings of the 2018 Conference of the North American Chapter of the Association for Computational Linguistics: Human Language Technologies, 1, pp. 2227-2237, (2018); Plank B., Moschitti A., Embedding semantic similarity in tree kernels for domain adaptation of relation extraction, Proceedings of ACL, 1, pp. 1498-1507, (2013); Qin P., Xu W., Yang Wang W., Dsgan: Generative adversarial training for distant supervision relation extraction, Proceedings of the 56th Annual Meeting of the Association for Computational Linguistics (Volume 1: Long Papers), pp. 496-505, (2018); Rosenstein M.T., Marx Z., Pack Kaelbling L., Dietterich T.G., To transfer or not to transfer, NIPS 2005 Workshop on Transfer Learning, 898, pp. 1-4, (2005); Shah D.J., Lei T., Moschitti A., Romeo S., Nakov P., Adversarial Domain Adaptation for Duplicate Question Detection, (2018); Shen J., Qu Y., Zhang W., Yu Y., Wasserstein distance guided representation learning for domain adaptation, Proceddings of AAAI, (2018); Shu Y., Cao Z., Long M., Wang J., Transferable Curriculum for Weakly-Supervised Domain Adaptation, (2019); Sorokin D., Gurevych I., Context-aware representations for knowledge base relation extraction, Proceedings of EMNLP, pp. 1784-1789, (2017); Sun Z., Hong Deng Z., Yun Nie J., Tang J., Rotate: Knowledge graph embedding by relational rotation in complex space, Proceedings of ICLR, (2019); Toutanova K., Chen D., Pantel P., Poon H., Choudhury P., Gamon M., Representing text for joint embedding of text and knowledge bases, Proceedings of the 2015 Conference on Empirical Methods in Natural Language Processing, pp. 1499-1509, (2015); Trouillon T., Welbl J., Riedel S., Gaussier E., Bouchard G., Complex embeddings for simple link prediction, Proceedings ICML, pp. 2071-2080, (2016); Tzeng E., Hoffman J., Saenko K., Darrell T., Adversarial discriminative domain adaptation, Proceddings of CVPR, 1, (2017); Vrandeic D., Krotzsch M., Wikidata: A free collaborative knowledgebase, Commun. ACM, 57, 10, pp. 78-85, (2014); Wang H., Zhang F., Zhao M., Li W., Xie X., Guo M., Multi-task feature learning for knowledge graph enhanced recommendation, WWW. ACM, pp. 2000-2010, (2019); Wang X., Li L., Ye W., Long M., Wang J., Transferable Attention for Domain Adaptation, (2019); Wang Z., Zhang J., Feng J., Chen Z., Knowledge graph embedding by translating on hyperplanes, Proceedings of AAAI, pp. 1112-1119, (2014); Xiong W., Yu M., Chang S., Guo X., Yang Wang W., One-shot Relational Learning for Knowledge Graphs, (2018); Yang B., Tau Yih W., He X., Gao J., Deng L., Embedding entities and relations for learning and inference in knowledge bases, Proceedings of ICLR, (2015); Yao L., Mao C., Luo Y., KG-BERT: BERT for Knowledge Graph Completion, (2019); Ye H., Chao W., Luo Z., Li Z., Jointly extracting relations with class ties via effective deep ranking, Proceedings of ACL, 1, pp. 1810-1820, (2017); Yu M., Yin W., Saidul Hasan K., Dos Santos C., Xiang B., Zhou B., Improved neural relation detection for knowledge base question answering, Proceedings of the 55th Annual Meeting of the Association for Computational Linguistics (Volume 1: Long Papers), pp. 571-581, (2017); Zeng D., Liu K., Chen Y., Zhao J., Distant supervision for relation extraction via piecewise convolutional neural networks, Proceedings of EMNLP, pp. 1753-1762, (2015); Zeng D., Liu K., Lai S., Zhou G., Zhao J., Relation classification via convolutional deep neural network, Proceedings of COLING, pp. 2335-2344, (2014); Zeng W., Lin Y., Liu Z., Sun M., Incorporating relation paths in neural relation extraction, Proceddings of EMNLP, (2017); Zeng X., He S., Liu K., Zhao J., Large scaled relation extraction with reinforcement learning, Processings of AAAI, 2, 3, (2018); Zhang D., Wang D., Relation Classification Via Recurrent Neural Network, (2015); Zhang J., Ding Z., Li W., Ogunbona P., Importance weighted adversarial nets for partial domain adaptation, Proceedings of CVPR, pp. 8156-8164, (2018); Zhang N., Deng S., Sun Z., Chen J., Zhang W., Chen H., Transfer Learning for Relation Extraction Via Relation-Gated Adversarial Learning, (2019); Zhang N., Deng S., Sun Z., Chen X., Zhang W., Chen H., Attention-based capsule networks with dynamic routing for relation extraction, Proceedings of EMNLP, (2018); Zhang N., Deng S., Sun Z., Wang G., Chen X., Zhang W., Chen H., Long-tail relation extraction via knowledge graph embeddings and graph convolution networks, Proceedings of the 2019 Conference of the North American Chapter of the Association for Computational Linguistics: Human Language Technologies, 1, pp. 3016-3025, (2019); Zhang N., Deng S., Sun Z., Wang G., Chen X., Zhang W., Chen H., Long-tail Relation Extraction Via Knowledge Graph Embeddings and Graph Convolution Networks, (2019); Zhang W., Paudel B., Wang L., Chen J., Zhu H., Zhang W., Bernstein A., Chen H., Iteratively learning embeddings and rules for knowledge graph reasoning, WWW. ACM, pp. 2366-2377, (2019); Zhang Z., Han X., Liu Z., Jiang X., Sun M., Liu Q., Ernie: Enhanced language representation with informative entities, Proceedings of the 57th Annual Meeting of the Association for Computational Linguistics, pp. 1441-1451, (2019)</t>
  </si>
  <si>
    <t>Chunghwa Telecom; et al.; Microsoft; Quanta Computer; Taiwan Mobile; ZOOM</t>
  </si>
  <si>
    <t>29th International World Wide Web Conference, WWW 2020</t>
  </si>
  <si>
    <t>20 April 2020 through 24 April 2020</t>
  </si>
  <si>
    <t>160505.0</t>
  </si>
  <si>
    <t>978-145037023-3</t>
  </si>
  <si>
    <t>Web Conf. - Proc. World Wide Web Conf., WWW</t>
  </si>
  <si>
    <t>2-s2.0-85086578892</t>
  </si>
  <si>
    <t>Yang X.; Zhang X.; Zuo J.; Wilson S.; Petzold L.</t>
  </si>
  <si>
    <t>Yang, Xianjun (57467893700); Zhang, Xinlu (57222956421); Zuo, Julia (57210283219); Wilson, Stephen (55612462800); Petzold, Linda (7005581592)</t>
  </si>
  <si>
    <t>57467893700; 57222956421; 57210283219; 55612462800; 7005581592</t>
  </si>
  <si>
    <t>An Analysis of Relation Extraction within Sentences from Wet Lab Protocols</t>
  </si>
  <si>
    <t>Proceedings - 2021 IEEE International Conference on Big Data, Big Data 2021</t>
  </si>
  <si>
    <t>562.0</t>
  </si>
  <si>
    <t>570.0</t>
  </si>
  <si>
    <t>10.1109/BigData52589.2021.9671781</t>
  </si>
  <si>
    <t>https://www.scopus.com/inward/record.uri?eid=2-s2.0-85125359405&amp;doi=10.1109%2fBigData52589.2021.9671781&amp;partnerID=40&amp;md5=ccc49e5ca02bea94af56d2f693e97259</t>
  </si>
  <si>
    <t>University of California, Santa Barbara, Department of Computer Science, Santa Barbara, United States; Materials Department, Santa Barbara, University of California, Santa Barbara, United States</t>
  </si>
  <si>
    <t>Yang X., University of California, Santa Barbara, Department of Computer Science, Santa Barbara, United States; Zhang X., University of California, Santa Barbara, Department of Computer Science, Santa Barbara, United States; Zuo J., Materials Department, Santa Barbara, University of California, Santa Barbara, United States; Wilson S., Materials Department, Santa Barbara, University of California, Santa Barbara, United States; Petzold L., University of California, Santa Barbara, Department of Computer Science, Santa Barbara, United States</t>
  </si>
  <si>
    <t>Wet lab protocols (WLPs) are sets of instructions written in domain-specific natural language for step-by-step biological experimental processes. There have been efforts to annotate WLPs for shallow semantic parsing to enable reproducible procedures, text mining, and automatic conversion into a machine-readable format. However, current methods have not fully exploited the relation extraction sub-task on the protocol corpus. Neural approaches have the potential to deal with the various noise and in-domain jargon in the texts. To explore the viability of neural methods for this task, we perform a thorough analysis of both graph and nongraph neural approaches. We find that both graph neural networks with generated parameters (GP-GNNs) and Context-Aware models show advantages in relation extraction and are well suited to our goal. Specifically, the GP-GNNs and Context-Aware models demonstrate similar performance on all three WLPs datasets when the full training set is used, both outperforming the previous best results significantly. This can be explained by the observation that considering multiple relations in a sentence enhances the predictive ability. In addition, our extensive experiments demonstrate that the Context-Aware approach in particular can achieve good results even with a limited amount of training data, providing new insights for low-resource scenarios. ¬© 2021 IEEE.</t>
  </si>
  <si>
    <t>Context-Aware; Graph neural networks; Relation extraction; Text mining; Wet lab protocols</t>
  </si>
  <si>
    <t>Data mining; Extraction; Natural language processing systems; Semantics; Syntactics; Context-Aware; Context-aware models; Domain specific; Graph neural networks; Lab protocols; Natural languages; Relation extraction; Shallow semantic parsing; Text-mining; Wet lab protocol; Graph neural networks</t>
  </si>
  <si>
    <t>UC Santa Barbara NSF; National Science Foundation, NSF, (DMR-1906325); National Science Foundation, NSF</t>
  </si>
  <si>
    <t>Funding text 1: This work is supported by UC Santa Barbara NSF Quantum Foundry funded via the Q-AMASE-i program under NSF award DMR-1906325.; Funding text 2: We gratefully acknowledge support from the UC Santa Barbara NSF Quantum Foundry funded via the Q-AMASE-i program under NSF award DMR-1906325. Any opinion or conclusions expressed in this material are those of the author(s) and do not necessarily reflect the views of the National Science Foundation.</t>
  </si>
  <si>
    <t>Grishman R., Adaptive information extraction and sublanguage analysis, Proc. of IJCAI 2001, pp. 1-4, (2001); Grishman R., Kittredge R., Analyzing Language in Restricted Domains: Sublanguage Description and Processing, (2014); Kulkarni C., Xu W., Ritter A., Machiraju R., An Annotated Corpus for Machine Reading of Instructions in Wet Lab Protocols, (2018); King R.D., Rowland J., Oliver S.G., Young M., Aubrey W., Byrne E., Liakata M., Markham M., Pir P., Soldatova L.N., Et al., The automation of science, Science, 324, 5923, pp. 85-89, (2009); Soldatova L.N., Nadis D., King R.D., Basu P.S., Haddi E., Baumle V., Saunders N.J., Marwan W., Rudkin B.B., Exact2: The semantics of biomedical protocols, BMC Bioinformatics, 15, 14, pp. 1-11, (2014); Vasilev V., Liu C., Haddock T., Bhatia S., Adler A., Yaman F., Beal J., Babb J., Weiss R., Densmore D., Et al., A software stack for specification and robotic execution of protocols for synthetic biological engineering, 3rd International Workshop on Bio-design Automation, (2011); Shatkay H., Feldman R., Mining the biomedical literature in the genomic era: An overview, Journal of Computational Biology, 10, 6, pp. 821-855, (2003); Tafti A.P., Badger J., LaRose E., Shirzadi E., Mahnke A., Mayer J., Ye Z., Page D., Peissig P., Adverse drug event discovery using biomedical literature: A big data neural network adventure, JMIR Medical Informatics, 5, 4, (2017); Cano G., Garcia-Rodriguez J., Garcia-Garcia A., Perez-Sanchez H., Benediktsson J.A., Thapa A., Barr A., Automatic selection of molecular descriptors using random forest: Application to drug discovery, Expert Systems with Applications, 72, pp. 151-159, (2017); Bollini M., Tellex S., Thompson T., Roy N., Rus D., Interpreting and executing recipes with a cooking robot, Experimental Robotics, pp. 481-495, (2013); Bates M., Berliner A.J., Lachoff J., Jaschke P.R., Groban E.S., Wet lab accelerator: A web-based application democratizing laboratory automation for synthetic biology, ACS Synthetic Biology, 6, 1, pp. 167-171, (2017); Kim E., Huang K., Saunders A., McCallum A., Ceder G., Olivetti E., Materials synthesis insights from scientific literature via text extraction and machine learning, Chemistry of Materials, 29, 21, pp. 9436-9444, (2017); Swarup D., Bajaj A., Mysore S., O'Gorman T., Das R., Mc-Callum A., An instance level approach for shallow semantic parsing in scientific procedural text, Proceedings of the 2020 Conference on Empirical Methods in Natural Language Processing: Findings, pp. 3010-3017, (2020); Friedrich A., Adel H., Tomazic F., Hingerl J., Benteau R., Marusczyk A., Lange L., The sofc-exp corpus and neural approaches to information extraction in the materials science domain, Proceedings of the 58th Annual Meeting of the Association for Computational Linguistics, pp. 1255-1268, (2020); Kulkarni C., Chan J., Fosler-Lussier E., Machiraju R., Learning latent structures for cross action phrase relations in wet lab protocols, Proceedings of the 59th Annual Meeting of the Association for Computational Linguistics and the 11th International Joint Conference on Natural Language Processing, pp. 6737-6750, (2021); Tabassum J., Lee S., Xu W., Ritter A., Wnut-2020 Task 1 Overview: Extracting Entities and Relations from Wet Lab Protocols, (2020); Borthwick A.E., A Maximum Entropy Approach to Named Entity Recognition, (1999); Kambhatla N., Combining lexical, syntactic, and semantic features with maximum entropy models for information extraction, Proceedings of the ACL Interactive Poster and Demonstration Sessions, pp. 178-181, (2004); Devlin J., Chang M.-W., Lee K., Toutanova K., Bert: Pre-training of Deep Bidirectional Transformers for Language Understanding, (2018); Sorokin D., Gurevych I., Context-aware representations for knowledge base relation extraction, Proceedings of the 2017 Conference on Empirical Methods in Natural Language Processing, pp. 1784-1789, (2017); Zhu H., Lin Y., Liu Z., Fu J., Chua T.-S., Sun M., Graph Neural Networks with Generated Parameters for Relation Extraction, (2019); Zhang Y., Chen Q., Yang Z., Lin H., Lu Z., Biowordvec, improving biomedical word embeddings with subword information and mesh, Scientific Data, 6, 1, pp. 1-9, (2019); Moen S., Ananiadou T.S.S., Distributional semantics resources for biomedical text processing, Proceedings of LBM, pp. 39-44, (2013); Pedregosa F., Varoquaux G., Gramfort A., Michel V., Thirion B., Grisel O., Blondel M., Prettenhofer P., Weiss R., Dubourg V., Et al., Scikit-learn: Machine learning in python, The Journal of Machine Learning Research, 12, pp. 2825-2830, (2011); Sohrab M.G., Nguyen A.-K.D., Miwa M., Takamura H., Mgsohrab at wnut 2020 shared task-1: Neural exhaustive approach for entity and relation recognition over wet lab protocols, Proceedings of the Sixth Workshop on Noisy User-generated Text (W-NUT 2020), pp. 290-298, (2020); Zeng D., Liu K., Lai S., Zhou G., Zhao J., Relation classification via convolutional deep neural network, Proceedings of COLING 2014, the 25th International Conference on Computational Linguistics: Technical Papers, pp. 2335-2344, (2014); Zeng D., Liu K., Chen Y., Zhao J., Distant supervision for relation extraction via piecewise convolutional neural networks, Proceedings of the 2015 Conference on Empirical Methods in Natural Language Processing, pp. 1753-1762, (2015); Muneeb T., Sahu S., Anand A., Evaluating distributed word representations for capturing semantics of biomedical concepts, Proceedings of BioNLP, 15, pp. 158-163, (2015); Hochreiter S., Schmidhuber J., Long short-term memory, Neural Computation, 9, 8, pp. 1735-1780, (1997); Schlichtkrull M., Kipf T.N., Bloem P., Berg Den Van R., Titov I., Welling M., Modeling relational data with graph convolutional networks, European Semantic Web Conference, pp. 593-607, (2018); Zhang Y., Qi P., Manning C.D., Graph Convolution over Pruned Dependency Trees Improves Relation Extraction, (2018); Sahu S.K., Christopoulou F., Miwa M., Ananiadou S., Intersentence Relation Extraction with Document-level Graph Convolutional Neural Network, (2019); Luan Y., Wadden D., He L., Shah A., Ostendorf M., Hajishirzi H., A General Framework for Information Extraction Using Dynamic Span Graphs, (2019); Kingma D.P., Ba J., Adam: A Method for Stochastic Optimization, (2014); Gu Y., Tinn R., Cheng H., Lucas M., Usuyama N., Liu X., Naumann T., Gao J., Poon H., Domain-specific Language Model Pretraining for Biomedical Natural Language Processing, (2020); Mysore S., Jensen Z., Kim E., Huang K., Chang H.-S., Strubell E., Flanigan J., McCallum A., Olivetti E., The Materials Science Procedural Text Corpus: Annotating Materials Synthesis Procedures with Shallow Semantic Structures, (2019); Chen Y., Wang D.Z., Goldberg S., Scalekb: Scalable learning and inference over large knowledge bases, The VLDB Journal, 25, 6, pp. 893-918, (2016)</t>
  </si>
  <si>
    <t>Chen Y.; Ludwig H.; Tu Y.; Fayyad U.; Zhu X.; Hu X.T.; Byna S.; Liu X.; Zhang J.; Pan S.; Papalexakis V.; Wang J.; Cuzzocrea A.; Ordonez C.</t>
  </si>
  <si>
    <t>Ankura Collaboration Drives Results; IEEE; IEEE Computer Society; Lyve Cloud; NSF; Seagate</t>
  </si>
  <si>
    <t>2021 IEEE International Conference on Big Data, Big Data 2021</t>
  </si>
  <si>
    <t>15 December 2021 through 18 December 2021</t>
  </si>
  <si>
    <t>176404.0</t>
  </si>
  <si>
    <t>978-166543902-2</t>
  </si>
  <si>
    <t>2-s2.0-85125359405</t>
  </si>
  <si>
    <t>Nugumanova A.; Baiburin Y.; Apayev K.</t>
  </si>
  <si>
    <t>Nugumanova, Aliya (55864815200); Baiburin, Yerzhan (56111999400); Apayev, Kurmash (57184396000)</t>
  </si>
  <si>
    <t>55864815200; 56111999400; 57184396000</t>
  </si>
  <si>
    <t>An Intelligent Web-Service for Automatic Concept Map Generation</t>
  </si>
  <si>
    <t>Communications in Computer and Information Science</t>
  </si>
  <si>
    <t>1573 CCIS</t>
  </si>
  <si>
    <t>44.0</t>
  </si>
  <si>
    <t>10.1007/978-3-031-15168-2_4</t>
  </si>
  <si>
    <t>https://www.scopus.com/inward/record.uri?eid=2-s2.0-85137983555&amp;doi=10.1007%2f978-3-031-15168-2_4&amp;partnerID=40&amp;md5=789995dd0ffbc4c37edac2633df5df4a</t>
  </si>
  <si>
    <t>Sarsen Amanzholov East Kazakhstan University, Shakarim 148, Ust-Kamenogorsk, 070000, Kazakhstan; D. Serikbayev East Kazakhstan Technical University, Serikbayev 19, Ust-Kamenogorsk, 070000, Kazakhstan</t>
  </si>
  <si>
    <t>Nugumanova A., Sarsen Amanzholov East Kazakhstan University, Shakarim 148, Ust-Kamenogorsk, 070000, Kazakhstan; Baiburin Y., Sarsen Amanzholov East Kazakhstan University, Shakarim 148, Ust-Kamenogorsk, 070000, Kazakhstan; Apayev K., D. Serikbayev East Kazakhstan Technical University, Serikbayev 19, Ust-Kamenogorsk, 070000, Kazakhstan</t>
  </si>
  <si>
    <t>Automatic generation of concept maps from texts is yet another research challenge at the intersection of Natural Language Processing (NLP) and Knowledge Engineering, that has not been fully resolved. Concept maps are knowledge visualization tools representing texts at the conceptual level. They are intended to show systemic relations between key concepts of a given text and contribute to its deeper understanding and appreciation. In this work, we present a web service for automatic generation of concept maps. The service provides both a simple web interface and API access. It takes an input text in Kazakh, Russian or English languages and generates a concept map, using one of two existing algorithms at the user‚Äôs choice. Our service in a sense eliminates the need for human effort in creating concept maps, and can be useful in teaching, developing research, and exploring texts. In addition to the proposed web service, the contribution of our paper consists in the adaptation of the used algorithms originally developed for texts in English, to Kazakh, which is recognized as low resource language in NLP. ¬© 2022, The Author(s), under exclusive license to Springer Nature Switzerland AG.</t>
  </si>
  <si>
    <t>Automatic generation of concept maps; Concept map mining; Knowledge graph; Relation extraction; Web-service</t>
  </si>
  <si>
    <t>Application programming interfaces (API); Knowledge graph; Natural language processing systems; Websites; Automatic Generation; Automatic generation of concept map; Concept map mining; Concept maps; Knowledge graphs; Language processing; Natural languages; Relation extraction; Webs services; Web services</t>
  </si>
  <si>
    <t>Novak J.D., Canas A., Theoretical origins of concept maps, how to construct them, and uses in education, Reflecting Educ, 3, 1, pp. 29-42, (2007); Liao Y., Et al., Knowledge graph and its applications in MOOC and SPOC, 2019 2Nd International Conference on Contemporary Education and Economic Development (CEED), pp. 301-305, (2019); Goyal N., Et al., CON2KG-a large-scale domain-specific knowledge graph, Proceedings of the 30Th ACM Conference on Hypertext and Social Media, pp. 287-288, (2019); Kertkeidkachorn N., Ichise R., An automatic knowledge graph creation framework from natural language text, IEICE Trans. Inf. Syst., 101, 1, pp. 90-98, (2018); Pellissier Tanon T., Vrandecic D., Schaffert S., Steiner T., Pintscher L., From freebase to Wikidata: The great migration, Proceedings of the 25Th International Conference on WWW, pp. 1419-1428, (2016); Tiddi I., Lecue F., Hitzler P., (eds.): Knowledge Graphs for Explainable Artificial Intelligence: Foundations, Applications and Challenges, 47, (2020); Bader S.R., Grangel-Gonzalez I., Nanjappa P., Vidal M.-E., Maleshkova M., A knowledge graph for Industry 4.0, ESWC 2020. LNCS, Vol. 12123, pp. 465-480, (2020); Razniewski S., Suchanek F., Nutt W., But what do we know?, Proceedings of the 5Th Workshop on Automated Knowledge Base Construction, pp. 40-44, (2016); Vaswani A., Et al., Attention is all you need, Proceedings of Advances in Neural Information Processing Systems, pp. 5998-6008, (2017); Kim T., Yun Y., Kim N., Deep learning-based knowledge graph generation for COVID-19, Sustainability, 13, 4, (2021); Yang X., Et al., Clinical Relation Extraction Using Transformer-Based Models. Arxiv Preprint Arxiv, 2107, (2021); Qiao B., Zou Z., Huang Y., Fang K., Zhu X., Chen Y., A joint model for entity and relation extraction based on BERT, Neural Comput. Appl., 34, pp. 3471-3481, (2021); Pang N., Qian L., Lyu W., Yang J.D., Transfer learning for scientific data chain extraction in small chemical corpus with joint BERT-CRF model, Proceedings of BIRNDL@ SIGIR, pp. 28-41, (2019); Fader A., Soderland S., Etzioni O., Identifying relations for open information extraction, Proceedings of the 2011 Conference on Empirical Methods in Natural Language Processing, pp. 1535-1545, (2011); Soares L.B., Fitzgerald N., Ling J., Kwiatkowski T., Matching the Blanks: Distributional Similarity for Relation Learning. Arxiv Preprint Arxiv, 1906, (2019)</t>
  </si>
  <si>
    <t>A. Nugumanova; Sarsen Amanzholov East Kazakhstan University, Ust-Kamenogorsk, Shakarim 148, 070000, Kazakhstan; email: yalisha@yandex.kz</t>
  </si>
  <si>
    <t>Burnaev E.; Ivanov S.; Panchenko A.; Ignatov D.I.; Kuznetsov S.O.; Khachay M.; Koltsova O.; Kutuzov A.; Loukachevitch N.; Napoli A.; Pardalos P.M.; Saram√§ki J.; Savchenko A.V.; Tsymbalov E.; Tutubalina E.</t>
  </si>
  <si>
    <t>10th International Conference on Analysis of Images, Social Networks, and Texts, AIST 2021</t>
  </si>
  <si>
    <t>16 December 2021 through 18 December 2021</t>
  </si>
  <si>
    <t>282519.0</t>
  </si>
  <si>
    <t>978-303115167-5</t>
  </si>
  <si>
    <t>Commun. Comput. Info. Sci.</t>
  </si>
  <si>
    <t>2-s2.0-85137983555</t>
  </si>
  <si>
    <t>Kocaman V.; Pirge G.; Polat B.; Talby D.</t>
  </si>
  <si>
    <t>Kocaman, Veysel (57220950496); Pirge, Gursev (6506652498); Polat, Bunyamin (57876297700); Talby, David (56636947700)</t>
  </si>
  <si>
    <t>57220950496; 6506652498; 57876297700; 56636947700</t>
  </si>
  <si>
    <t>Biomedical Named Entity Recognition in Eight Languages with Zero Code Changes</t>
  </si>
  <si>
    <t>https://www.scopus.com/inward/record.uri?eid=2-s2.0-85137325062&amp;partnerID=40&amp;md5=63fe95d0b22fb3edebb0ba67bd472936</t>
  </si>
  <si>
    <t>John Snow Labs Inc., 16192 Coastal Highway, Lewes, 19958, DE, United States</t>
  </si>
  <si>
    <t>Kocaman V., John Snow Labs Inc., 16192 Coastal Highway, Lewes, 19958, DE, United States; Pirge G., John Snow Labs Inc., 16192 Coastal Highway, Lewes, 19958, DE, United States; Polat B., John Snow Labs Inc., 16192 Coastal Highway, Lewes, 19958, DE, United States; Talby D., John Snow Labs Inc., 16192 Coastal Highway, Lewes, 19958, DE, United States</t>
  </si>
  <si>
    <t>Named entity recognition (NER) is one of the most important building blocks of NLP tasks in the medical domain by extracting meaningful chunks from clinical notes and reports, which are then fed to downstream tasks like assertion status detection, entity resolution, relation extraction, and de-identification. Due to the growing volume of healthcare data in unstructured format, an increasingly important challenge is providing high accuracy implementations of state-of-the-art deep learning (DL) algorithms at scale. On the other hand, when it comes to low-resource languages, collecting high quality annotated data sets in the biomedical domain is still a big challenge. In this study, we train production-grade biomedical NER models on eight different biomedical datasets published within the LivingNER competition [1]. Transformer based Bert for token classification and BiLSTM-CNN-Char based NER algorithms from Spark NLP library are utilized during this study and we trained 28 different NER models in total with decent accuracies (0.9243 F1 test score in Spanish) without changing the underlying DL architecture. The trained models are available within a production-grade code base as part of the Spark NLP library; can scale up for training and inference in any Spark cluster; has GPU support and libraries for popular programming languages such as Python, R, Scala and Java. ¬© 2020 Copyright for this paper by its authors. Use permitted under Creative Commons License Attribution 4.0 International (CC BY 4.0).</t>
  </si>
  <si>
    <t>deep learning; Named entity recognition; NER; NLP; Spark NLP</t>
  </si>
  <si>
    <t>Bioinformatics; Cluster computing; Codes (symbols); Deep learning; High level languages; Biomedical named entity recognition; Building blockes; Code changes; Deep learning; Eight languages; Medical domains; Named entity recognition; Recognition models; Spark NLP; Natural language processing systems</t>
  </si>
  <si>
    <t>Natural Language Processing (NLP) systems in Spanish and other Iberian languages, (2022); Young T., Hazarika D., Poria S., Cambria E., Recent trends in deep learning based natural language processing, IEEE Computational Intelligence Magazine, 8; Kocaman V., Talby D., Spark NLP: Natural Language Understanding at Scale, (2021); Li J., Sun A., Han J., Li C., A Survey on Deep Learning for Named Entity Recognition, IEEE Transactions on Knowledge and Data Engineering, 34, 1, (2022); Uzuner O., South B. R., Shen S., DuVall S. L., 2010 i2b2/VA challenge on concepts, assertions, and relations in clinical text, Journal of the American Medical Informatics Association, 18, 5, pp. 552-556, (2011); Tzitzivacos D., International Classification of Diseases 10th edition (ICD-10):: main article, CME: Your SA Journal of CPD, 25, 1, pp. 8-10, (2007); Uzuner O., Luo Y., Szolovits P., Evaluating the state-of-the-art in automatic deidentification, Journal of the American Medical Informatics Association, 14, 5, pp. 550-563, (2007); Liu S., Tang B., Chen Q., Wang X, Effects of semantic features on machine learning-based drug name recognition systems: word embeddings vs. manually constructed dictionaries, Information, 6, 4, pp. 848-865, (2015); Kocaman V., Talby D., Biomedical named entity recognition at scale; Chiu J. P., Nichols E., Named entity recognition with bidirectional lstm-cnns, Transactions of the Association for Computational Linguistics, 4, pp. 357-370, (2016); Kocaman V., Talby D., Improving Clinical Document Understanding on COVID-19 Research with Spark NLP; Schweter S., Ahmed S., Deep-eos: General-purpose neural networks for sentence boundary detection, KONVENS, (2019); Qi P., Zhang Y., Zhang Y., Bolton J., Manning C.D., Stanza: A Python natural language processing toolkit for many human languages, Stanford NLP, (2020); Neumann M., King D., Beltagy I., Ammar W., SciSpaCy: fast and robust models for biomedical natural language processing, Proceedings of the 18th BioNLP Workshop and Shared Task, 2019, 8, (2019); LivingNER: Named entity recognition, normalization &amp; classification of species, pathogens and food, (2022); The Spanish National Bioinformatics Institute; Medical NER Annotator; Embeddings Scielo 300 dims; Word2Vec Embeddings in Spanish (300d); Labs John Snow, Roberta Clinical Word Embeddings (Spanish); Spanish BERT Base Cased Embeddings; Medical NER Approach Annotator</t>
  </si>
  <si>
    <t>Montes-y-Gomez M.; Gonzalo J.; Rangel F.; Casavantes M.; Alvarez-Carmona M.A.; Bel-Enguix G.; Escalante H.J.; Freitas L.; Miranda-Escalada A.; Rodriguez-Sanchez F.; Rosa A.; Sobrevilla-Cabezudo M.A.; Taule M.; Valencia-Garcia R.</t>
  </si>
  <si>
    <t>2022 Iberian Languages Evaluation Forum, IberLEF 2022</t>
  </si>
  <si>
    <t>A Coruna</t>
  </si>
  <si>
    <t>182341.0</t>
  </si>
  <si>
    <t>2-s2.0-85137325062</t>
  </si>
  <si>
    <t>Sun Y.; Wang L.; Chen C.; Xia T.; Zhao X.</t>
  </si>
  <si>
    <t>Sun, Yuan (55737730600); Wang, Like (57204673736); Chen, Chaofan (57214112468); Xia, Tianci (57209269483); Zhao, Xiaobing (55705190700)</t>
  </si>
  <si>
    <t>55737730600; 57204673736; 57214112468; 57209269483; 55705190700</t>
  </si>
  <si>
    <t>Improved distant supervised model in tibetan relation extraction using elmo and attention</t>
  </si>
  <si>
    <t>2019.0</t>
  </si>
  <si>
    <t>173054.0</t>
  </si>
  <si>
    <t>173062.0</t>
  </si>
  <si>
    <t>10.1109/ACCESS.2019.2955977</t>
  </si>
  <si>
    <t>https://www.scopus.com/inward/record.uri?eid=2-s2.0-85078296114&amp;doi=10.1109%2fACCESS.2019.2955977&amp;partnerID=40&amp;md5=9c482ab56dbf83c4cd6d4a92dbad54d3</t>
  </si>
  <si>
    <t>School of Information Engineering, Minzu University of China, Beijing, 100081, China; Minority Language Branch, National Language Resource and Monitoring Research Center, Minzu University of China, Beijing, 100081, China</t>
  </si>
  <si>
    <t>Sun Y., School of Information Engineering, Minzu University of China, Beijing, 100081, China, Minority Language Branch, National Language Resource and Monitoring Research Center, Minzu University of China, Beijing, 100081, China; Wang L., School of Information Engineering, Minzu University of China, Beijing, 100081, China, Minority Language Branch, National Language Resource and Monitoring Research Center, Minzu University of China, Beijing, 100081, China; Chen C., School of Information Engineering, Minzu University of China, Beijing, 100081, China, Minority Language Branch, National Language Resource and Monitoring Research Center, Minzu University of China, Beijing, 100081, China; Xia T., School of Information Engineering, Minzu University of China, Beijing, 100081, China, Minority Language Branch, National Language Resource and Monitoring Research Center, Minzu University of China, Beijing, 100081, China; Zhao X., School of Information Engineering, Minzu University of China, Beijing, 100081, China, Minority Language Branch, National Language Resource and Monitoring Research Center, Minzu University of China, Beijing, 100081, China</t>
  </si>
  <si>
    <t>The task of relation extraction is classifying the relations between two entities in a sentence. Distant supervision relation extraction can automatically align entities in texts based on Knowledge Base without labeled training data. For low-resource language relation extraction, such as Tibetan, the main problem is the lack of labeled training data. In this paper, we propose an improved distant supervised relation extraction model based on Piecewise Convolutional Neural Network (PCNN) to expand the Tibetan corpus. We add self-attention mechanism and soft-label method to decrease wrong labels, and use Embeddings from Language Models (ELMo) to solve the semantic ambiguity problem. Meanwhile, according to the Tibetan characteristics, we combine the word vector and part of speech vector to extract deeply feature of words. Finally, the experimental results show that P@avg value increases by 14.4% than baseline. ¬© 2013 IEEE.</t>
  </si>
  <si>
    <t>attention; Distant supervision; Elmo; Relation extraction; Tibetan</t>
  </si>
  <si>
    <t>Extraction; Knowledge based systems; Neural networks; Semantics; attention; Distant supervision; Elmo; Relation extraction; Tibetans; Data mining</t>
  </si>
  <si>
    <t>National Nature Science Foundation of China; National Natural Science Foundation of China, NSFC, (61331013, 61501529, 61972436)</t>
  </si>
  <si>
    <t>Funding text 1: This work was supported by the National Nature Science Foundation of China under Grant 61972436; Funding text 2: This work was supported by the National Nature Science Foundation of China under Grant 61972436, Grant 61501529, and Grant 61331013.</t>
  </si>
  <si>
    <t>Mintz M., Bills S., Snow R., Jurafsky D., Distant supervision for relation extraction without labeled data, Proc. ACL, Singapore, pp. 1003-1011, (2009); Zeng D., Liu K., Chen Y., Zhao J., Distant supervision for relation extraction via piecewise convolutional neural networks, Proc. EMNLP, Lisbon, Portugal, pp. 1753-1762, (2015); Peters M.E., Neumann M., Iyyer M., Gardner M., Clark C., Lee K., Zettlemoyer L., Deep contextualized word representations, Proc. NAACL-HLT, pp. 2227-2237, (2018); Hendrickx I., Kim S.N., Kozareva Z., Nakov P., Seaghdha D.O., Pado S., Pennacchiotti M., Romano L., Szpakowicz S., SemEval-2010 task 8: Multi-way classification of semantic relations between pairs of nominal, Proc. HLT-NAACL, pp. 94-99, (2009); Girju R., Nakov P., Nastase V., Szpakowicz S., Turney P., Yuret D., Classification of semantic relations between nominal, Proc. SemEval, pp. 13-18, (2009); Han X., Zhu H., Yu P., Wang Z., Yao Y., Liu Z., Sun M., FewRel: A large-scale supervised few-shot relation classification dataset with state-of-The-Art evaluation, Proc. EMNLP, pp. 4803-4809, (2018); Liu C., Sun W., Sun W., Che W., Convolution neural network for relation extraction, Proc. ADMA, pp. 231-242, (2013); Zeng D., Liu K., Lai S., Zhou G., Zhao J., Relation classification via convolutional deep neural network, Proc. COLING, pp. 2335-2344, (2014); Nguyen T.H., Grishman R., Relation extraction: Perspective from convolutional neural networks, Proc. NAACL-HLT, pp. 39-48, (2015); Dos Santos C.N., Bing X., Zhou B., Classifying relations by ranking with convolutional neural networks, Proc. ACL, pp. 26-31, (2015); Zhang R., Meng F., Zhou Y., Liu B., Relation classification via recurrent neural network with attention and tensor layers, Big Data Mining Anal, 1, 3, pp. 234-244, (2018); Zhou P., Shi W., Tian J., Qi Z., Li B., Hao H., Xu B., Attention-based bidirectional long short-Term memory networks for relation classification, Proc. ACL, pp. 207-212, (2016); Hoffart J., Suchanek F.M., Berberich K., Weikum G., YAGO2: A spatially and temporally enhanced knowledge base from Wikipedia, Proc. IJCAI, pp. 28-61, (2013); Yue B., Gui M., Guo J., Yang Z., Wei J.-M., You S., An effective framework for question answering over Freebase via reconstructing natural sequences, Proc WWW, pp. 865-866, (2017); Ritze D., Bizer C., MatchingWeb tables to DBpedia-A feature utility study, Proc. EDBT, Venice, Italy, pp. 21-24, (2017); Riedel S., Yao L., McCallum A., Modeling relations and their mentions without labeled text, Proc. ECML/PKDD, pp. 148-163, (2010); Dietterich T.G., Lathrop R.H., Lozano-Perez T., Solving the multiple instance problem with axis-parallel rectangles, Artif. Intell, 89, 1-2, pp. 31-71, (1997); Takamatsu S., Sato I., Nakagawa H., Reducing wrong labels in distant supervision for relation extraction, Proc. ACL, Jeju, pp. 721-729, (2012); Lin Y., Shen S., Liu Z., Luan H., Sun M., Neural relation extraction with selective attention over instances, Proc. ACL, pp. 2124-2133, (2016); Jiang X., Wang Q., Li P., Wang B., Relation extraction with multiinstance multi-label convolutional neural networks, Proc. CONLL, pp. 1471-1480, (2016); Feng X., Guo J., Qin B., Liu T., Liu Y., Effective deep memory networks for distant supervised relation extraction, Proc. IJCAI, pp. 4002-4008, (2017); Jat S., Khandelwal S., Talukdar P., Improving distantly supervised relation extraction using word and entity based attention, arXiv:1804.06987, (2018); Liu T., Wang K., Chang B., Sui Z., A soft-label method for noise-Tolerant distantly supervised relation extraction, Proc. EMNLP, pp. 1790-1795, (2017); Vaswani A., Shazeer N., Parmar N., Uszkoreit J., Jones L., Gomez Kaiser A.N., Polosukhin I., Attention is all you need, Proc. NIPS, pp. 5998-6008, (2017); Mikolov T., Sutskever I., Chen K., Corrado G.S., Dean J., Distributed representations of words and phrases and their compositionality, Proc. NIPS, pp. 3111-3119, (2013); Pennington J., Socher R., Manning C.D., Glove: Global vectors for word representation, Proc. EMNLP, pp. 1532-1543, (2014); Turian J., Ratinov L., Bengio Y., Word representations: A simple and general method for semi-supervised learning, Proc. ACL, pp. 384-394, (2010); Mikolov T., Chen K., Corrado G., Dean J., Efficient estimation of word representations in vector space, arXiv:1301.3781, (2013); Joulin A., Grave E., Bojanowski P., Mikolov T., Bag of tricks for ef-cient text classification, arXiv:1607.01759, (2016); Neelakantan A., Shankar J., Passos A., McCallum A., Ef-cient nonparametric estimation of multiple embeddings per word in vector space, Proc. EMNLP, pp. 1059-1069, (2014); Wieting J., Bansal M., Gimpel K., Livescu K., Charagram: Embeddingwords and sentences via character n-grams, Proc. EMNLP, pp. 1504-1515, (2016); Bojanowski P., Grave E., Joulin A., Mikolov T., Enriching word vectors with subword information, Trans. Assoc. Comput. Linguistics, 5, 10, pp. 135-146, (2017); Melamud O., Goldberger J., Dagan I., Context2vec: Learning generic context embedding with bidirectional LSTM, Proc. CoNLL, pp. 51-61, (2016); McCann B., Bradbury J., Xiong C., Socher R., Learned in translation: Contextualized word vectors, Proc. NIPS, pp. 6297-6308, (2017); Zhu Z., Sun Y., Tibetan person attribute extraction based on SVM and pattern, J. Chin. Inf. Process, 29, 6, pp. 220-227, (2016); Long C.J., Liu H.D., Nuo M.H., Wu J., Tibetan POS tagging based on syllable tagging, J. Chin. Inf. Process, 29, 5, pp. 211-216, (2015)</t>
  </si>
  <si>
    <t>Y. Sun; School of Information Engineering, Minzu University of China, Beijing, 100081, China; email: tracy.yuan.sun@gmail.com</t>
  </si>
  <si>
    <t>2-s2.0-85078296114</t>
  </si>
  <si>
    <t>Chia Y.K.; Bing L.; Poria S.; Si L.</t>
  </si>
  <si>
    <t>Chia, Yew Ken (57216870236); Bing, Lidong (24314897600); Poria, Soujanya (55316592700); Si, Luo (7006717974)</t>
  </si>
  <si>
    <t>57216870236; 24314897600; 55316592700; 7006717974</t>
  </si>
  <si>
    <t>RelationPrompt: Leveraging Prompts to Generate Synthetic Data for Zero-Shot Relation Triplet Extraction</t>
  </si>
  <si>
    <t>57.0</t>
  </si>
  <si>
    <t>72.0</t>
  </si>
  <si>
    <t>https://www.scopus.com/inward/record.uri?eid=2-s2.0-85130498212&amp;partnerID=40&amp;md5=a1ba1fe18fc35fde3f3938230f43fb28</t>
  </si>
  <si>
    <t>DAMO Academy, Alibaba Group, China; Singapore University of Technology and Design, Singapore</t>
  </si>
  <si>
    <t>Chia Y.K., DAMO Academy, Alibaba Group, China, Singapore University of Technology and Design, Singapore; Bing L., DAMO Academy, Alibaba Group, China; Poria S., Singapore University of Technology and Design, Singapore; Si L., DAMO Academy, Alibaba Group, China</t>
  </si>
  <si>
    <t>Despite the importance of relation extraction in building and representing knowledge, less research is focused on generalizing to unseen relations types. We introduce the task setting of Zero-Shot Relation Triplet Extraction (ZeroRTE) to encourage further research in low-resource relation extraction methods. Given an input sentence, each extracted triplet consists of the head entity, relation label, and tail entity where the relation label is not seen at the training stage. To solve ZeroRTE, we propose to synthesize relation examples by prompting language models to generate structured texts. Concretely, we unify language model prompts and structured text approaches to design a structured prompt template for generating synthetic relation samples when conditioning on relation label prompts (RelationPrompt). To overcome the limitation for extracting multiple relation triplets in a sentence, we design a novel Triplet Search Decoding method. Experiments on FewRel and Wiki-ZSL datasets show the efficacy of RelationPrompt for the ZeroRTE task and zero-shot relation classification. Our code and data are available at github.com/declare-lab/RelationPrompt. ¬© 2022 Association for Computational Linguistics.</t>
  </si>
  <si>
    <t>Classification (of information); Computational linguistics; Zero-shot learning; Decoding methods; Extraction method; In-buildings; Language model; Relation classifications; Relation extraction; Structured text; Synthetic data; Extraction</t>
  </si>
  <si>
    <t>Aly Rami, Vlachos Andreas, McDonald Ryan, Leveraging type descriptions for zero-shot named entity recognition and classification, Proc. of ACL., (2021); Bengio Yoshua, Ducharme Rejean, Vincent Pascal, Janvin Christian, A neural probabilistic language model, Proc. of NeurIPS., (2001); Chen Chih-Yao, Li Cheng-Te, Zs-bert: Towards zero-shot relation extraction with attribute representation learning, Proc. of NAACL., (2021); Cui Leyang, Wu Yu, Liu Jian, Yang Sen, Zhang Yue, Template-based named entity recognition using BART, Findings of ACL-IJCNLP, (2021); Ding Bosheng, Liu Linlin, Bing Lidong, Kruengkrai Canasai, Nguyen Thien Hai, Joty Shafiq, Si Luo, Miao Chunyan, DAGA: Data augmentation with a generation approach for low-resource tagging tasks, Proc. of EMNLP., (2020); Han Xu, Zhu Hao, Yu Pengfei, Wang Ziyun, Yao Yuan, Liu Zhiyuan, Sun Maosong, Fewrel: A large-scale supervised few-shot relation classification dataset with state-of-the-art evaluation, Proc. of EMNLP., (2018); Hinton Geoffrey E., Vinyals Oriol, Dean Jeffrey, Distilling the knowledge in a neural network, CoRR, (2015); Huang Lifu, Ji Heng, Cho Kyunghyun, Dagan Ido, Riedel Sebastian, Voss Clare, Zero-shot transfer learning for event extraction, Proc. of ACL., (2018); Ji Guoliang, Liu Kang, He Shizhu, Zhao Jun, Distant supervision for relation extraction with sentence-level attention and entity descriptions, Proc. of AAAI., (2017); Keskar Nitish Shirish, McCann Bryan, Varshney Lav R, Xiong Caiming, Socher Richard, Ctrl: A conditional transformer language model for controllable generation, CoRR, (2019); Kobayashi Sosuke, Contextual augmentation: Data augmentation by words with paradigmatic relations, Proc. of NAACL., (2018); Lee Kenton, Guu Kelvin, He Luheng, Dozat Tim, Chung Hyung Won, Neural data augmentation via example extrapolation, CoRR, (2021); Levy Omer, Seo Minjoon, Choi Eunsol, Zettlemoyer Luke, Zero-shot relation extraction via reading comprehension, Proc. of CoNLL., (2017); Lewis Mike, Liu Yinhan, Goyal Naman, Ghazvininejad Marjan, Mohamed Abdelrahman, Levy Omer, Stoyanov Veselin, Zettlemoyer Luke, Bart: Denoising sequence-to-sequence pre-training for natural language generation, translation, and comprehension, Proc. of ACL., (2020); Li Xiaoya, Yin Fan, Sun Zijun, Li Xiayu, Yuan Arianna, Chai Duo, Zhou Mingxin, Li Jiwei, Entity-relation extraction as multi-turn question answering, Proc. of ACL., (2019); Lin Yankai, Liu Zhiyuan, Sun Maosong, Liu Yang, Zhu Xuan, Learning entity and relation embeddings for knowledge graph completion, Proc. of AAAI., (2015); Liu Pengfei, Yuan Weizhe, Fu Jinlan, Jiang Zhengbao, Hayashi Hiroaki, Neubig Graham, Pretrain, prompt, and predict: A systematic survey of prompting methods in natural language processing, CoRR, (2021); Loshchilov Ilya, Hutter Frank, Decoupled weight decay regularization, Proc. of ICLR., (2019); Meng Yu, Huang Jiaxin, Zhang Yu, Han Jiawei, Generating training data with language models: Towards zero-shot language understanding, CoRR, (2022); Nayak Tapas, Ng Hwee Tou, Effective modeling of encoder-decoder architecture for joint entity and relation extraction, Proc. of AAAI., (2020); Obamuyide Abiola, Vlachos Andreas, Zero-shot relation classification as textual entailment, Proc. of FEVER., (2018); Paolini Giovanni, Athiwaratkun Ben, Krone Jason, Ma Jie, Achille Alessandro, Anubhai Rishita, dos Santos Cicero Nogueira, Xiang Bing, Soatto Stefano, Structured prediction as translation between augmented natural languages, Proc. of ICLR., (2020); Papanikolaou Yannis, Pierleoni Andrea, DARE: data augmented relation extraction with GPT-2, CoRR, (2020); Petroni Fabio, Rocktaschel Tim, Riedel Sebastian, Lewis Patrick, Bakhtin Anton, Wu Yuxiang, Miller Alexander, Language models as knowledge bases?, Proc. of EMNLP-IJCNLP., (2019); Puri Raul, Catanzaro Bryan, Zero-shot text classification with generative language models, (2019); Pushp Pushpankar Kumar, Srivastava Muktabh Mayank, Train once, test anywhere: Zero-shot learning for text classification, CoRR, (2017); Radford Alec, Wu Jeffrey, Child Rewon, Luan David, Amodei Dario, Sutskever Ilya, Et al., Language models are unsupervised multitask learners, OpenAI, (2019); Reynolds Laria, McDonell Kyle, Prompt programming for large language models: Beyond the few-shot paradigm, Proc. of CHI., (2021); Roberts Adam, Raffel Colin, Shazeer Noam, How much knowledge can you pack into the parameters of a language model?, Proc. of EMNLP., (2020); Rocktaschel Tim, Grefenstette Edward, Hermann Karl Moritz, Kocisky Tomas, Blunsom Phil, Reasoning about entailment with neural attention, Proc. of ICLR., (2016); Smirnova Alisa, Cudre-Mauroux Philippe, Relation extraction using distant supervision: A survey, CSUR, 51, 5, (2018); Wang Jue, Lu Wei, Two are better than one: Joint entity and relation extraction with table-sequence encoders, Proc. of EMNLP., (2020); Wang Wei, Zheng Vincent W., Yu Han, Miao Chunyan, A survey of zero-shot learning: Settings, methods, and applications, TIST, 10, 2, (2019); Wei Jason, Zou Kai, Eda: Easy data augmentation techniques for boosting performance on text classification tasks, Proc. of EMNLP-IJCNLP., (2019); Wu Shanchan, He Yifan, Enriching pre-trained language model with entity information for relation classification, Proc. of CIKM., (2019); Xie Qizhe, Dai Zihang, Hovy Eduard, Luong Thang, Le Quoc, Unsupervised data augmentation for consistency training, Proc. of NeurIPS., (2020); Xu Kun, Reddy Siva, Feng Yansong, Huang Songfang, Zhao Dongyan, Question answering on freebase via relation extraction and textual evidence, Proc. of ACL., (2016); Xu Lu, Chia Yew Ken, Bing Lidong, Learning span-level interactions for aspect sentiment triplet extraction, Proc. of ACL., (2021); Ye Jiacheng, Gao Jiahui, Li Qintong, Xu Hang, Feng Jiangtao, Wu Zhiyong, Yu Tao, Kong Lingpeng, Zerogen: Efficient zero-shot learning via dataset generation, CoRR, (2022); Zhao Zihao, Wallace Eric, Feng Shi, Klein Dan, Singh Sameer, Calibrate before use: Improving few-shot performance of language models, Proc. of ICML., (2021); Zhong Ruiqi, Lee Kristy, Zhang Zheng, Klein Dan, Meta-tuning language models to answer prompts better, Findings of EMNLP, (2021); Zhong Zexuan, Chen Danqi, A frustratingly easy approach for entity and relation extraction, Proc. of NAACL., (2021)</t>
  </si>
  <si>
    <t>L. Bing; DAMO Academy, Alibaba Group, China; email: l.bing@alibaba-inc.com</t>
  </si>
  <si>
    <t>Muresan S.; Nakov P.; Villavicencio A.</t>
  </si>
  <si>
    <t>Amazon Science; Bloomberg Engineering; et al.; Google Research; Liveperson; Meta</t>
  </si>
  <si>
    <t>60th Annual Meeting of the Association for Computational Linguistics, ACL 2022</t>
  </si>
  <si>
    <t>22 May 2022 through 27 May 2022</t>
  </si>
  <si>
    <t>181734.0</t>
  </si>
  <si>
    <t>978-195591725-4</t>
  </si>
  <si>
    <t>2-s2.0-85130498212</t>
  </si>
  <si>
    <t>Taghizadeh N.; Faili H.</t>
  </si>
  <si>
    <t>Taghizadeh, Nasrin (55676344000); Faili, Heshaam (27367722500)</t>
  </si>
  <si>
    <t>55676344000; 27367722500</t>
  </si>
  <si>
    <t>Cross-lingual Adaptation Using Universal Dependencies</t>
  </si>
  <si>
    <t>10.1145/3448251</t>
  </si>
  <si>
    <t>https://www.scopus.com/inward/record.uri?eid=2-s2.0-85111026083&amp;doi=10.1145%2f3448251&amp;partnerID=40&amp;md5=21524a1eb6906275462c0d6d94f2c7da</t>
  </si>
  <si>
    <t>School of Electrical and Computer Engineering, College of Engineering, University of Tehran, Tehran, Iran; School of Computer Science, Institute for Research in Fundamental Sciences (IPM), Tehran, Iran</t>
  </si>
  <si>
    <t>Taghizadeh N., School of Electrical and Computer Engineering, College of Engineering, University of Tehran, Tehran, Iran; Faili H., School of Electrical and Computer Engineering, College of Engineering, University of Tehran, Tehran, Iran, School of Computer Science, Institute for Research in Fundamental Sciences (IPM), Tehran, Iran</t>
  </si>
  <si>
    <t>We describe a cross-lingual adaptation method based on syntactic parse trees obtained from the Universal Dependencies (UD), which are consistent across languages, to develop classifiers in low-resource languages. The idea of UD parsing is to capture similarities as well as idiosyncrasies among typologically different languages. In this article, we show that models trained using UD parse trees for complex NLP tasks can characterize very different languages. We study two tasks of paraphrase identification and relation extraction as case studies. Based on UD parse trees, we develop several models using tree kernels and show that these models trained on the English dataset can correctly classify data of other languages, e.g., French, Farsi, and Arabic. The proposed approach opens up avenues for exploiting UD parsing in solving similar cross-lingual tasks, which is very useful for languages for which no labeled data is available.  ¬© 2021 Association for Computing Machinery.</t>
  </si>
  <si>
    <t>cross-lingual learning; low resource language; tree kernel; Universal dependencies</t>
  </si>
  <si>
    <t>Classification (of information); Forestry; Trees (mathematics); Adaptation methods; Cross-lingual; Cross-lingual learning; Dependency parser; Dependency parsing; Low resource languages; Parse trees; Syntactic parse tree; Tree kernels; Universal dependency; Syntactics</t>
  </si>
  <si>
    <t>Institute for Research in Fundamental Sciences, IPM, (CS1399-04-192)</t>
  </si>
  <si>
    <t>This work was partially supported by the Institute for Research in Fundamental Sciences (IPM) under grant CS1399-04-192. Authors‚Äô addresses: N. Taghizadeh, School of Electrical and Computer Engineering, College of Engineering, University of Tehran, Tehran, Iran; email: nsr.taghizadeh@ut.ac.ir; H. Faili (corresponding author), School of Electrical and Computer Engineering, College of Engineering, University of Tehran, Tehran, Iran, School of Computer Science, Institute for Research in Fundamental Sciences (IPM), Tehran, Iran; email: hfaili@ut.ac.ir. Permission to make digital or hard copies of all or part of this work for personal or classroom use is granted without fee provided that copies are not made or distributed for profit or commercial advantage and that copies bear this notice and the full citation on the first page. Copyrights for components of this work owned by others than ACM must be honored. Abstracting with credit is permitted. To copy otherwise, or republish, to post on servers or to redistribute to lists, requires prior specific permission and/or a fee. Request permissions from permissions@acm.org. ¬© 2021 Association for Computing Machinery. 2375-4699/2021/05-ART65 $15.00 https://doi.org/10.1145/3448251</t>
  </si>
  <si>
    <t>Agarwal B., Ramampiaro H., Langseth H., Ruocco M., A deep network model for paraphrase detection in short text messages, Inf. Proc. Manag., 54, 6, pp. 922-937, (2018); Ammar W., Mulcaire G., Tsvetkov Y., Lample G., Dyer C., Smith N.A., Massively Multilingual Word Embeddings, (2016); Bokharaeian B., Diaz A., Taghizadeh N., Chitsaz H., Chavoshinejad R., SNPPhenA: A corpus for extracting ranked associations of single-nucleotide polymorphisms and phenotypes from literature, J. Biomed. Semant., 8, 1, (2017); Cai R., Zhang X., Wang H., Bidirectional recurrent convolutional neural network for relation classification, Proceedings of the 54th Meeting of the Association for Computational Linguistics., pp. 756-765, (2016); Cer D., Diab M., Agirre E., Lopez-Gazpio I., Specia L., SemEval-2017 Task 1: Semantic textual similarity multilingual and crosslingual focused evaluation, Proceedings of the 11th International Workshop on Semantic Evaluation (SemEval'17)., pp. 1-14, (2017); Conneau A., Lample G., Ranzato M., Denoyer L., Jegou H., Word Translation without Parallel Data, (2017); Croce D., Moschitti A., Basili R., Structured lexical similarity via convolution kernels on dependency trees, Proceedings of the Conference on Empirical Methods in Natural Language Processing (EMNLP'11)., pp. 1034-1046, (2011); De Marneffe M., Dozat T., Silveira N., Haverinen K., Ginter F., Nivre J., Manning C.D., Universal Stanford dependencies: A cross-linguistic typology, Proceedings of the 9th International Conference on Language Resources and Evaluation (LREC'14)., pp. 4585-4592, (2014); Dehghan M.H., Mohammadmolla-Abbasi, Faili H., Toward amulti-representation Persian treebank, Proceedings of the 9th International Symposium on Telecommunication (ISP'18), (2018); Dey K., Shrivastava R., Kaushik S., A paraphrase and semantic similarity detection system for user generated short-text content on microblogs, Proceedings of the 26th International Conference on Computational Linguistics (COLING'16)., pp. 2880-2890, (2016); Doddington G.R., Mitchell A., Przybocki M.A., Ramshaw L.A., Strassel S., Weischedel R.M., The automatic content extraction (ACE) program-tasks, data, and evaluation, Proceedings of the International Conference on Language Resources and Evaluation (LREC'04)., pp. 837-840, (2004); Dolan B., Quirk C., Brockett C., Unsupervised construction of large paraphrase corpora: Exploiting massively parallel news sources, Proceedings of the 20th International Conference on Computational Linguistics. Association for Computational Linguistics, (2004); Ferreira R., Cavalcanti C. G.D., Freitas F., Dueire Lins R., Simske S.J., Riss M., Combining sentence similarities measures to identify paraphrases, Comput. Speech Lang., 47, pp. 59-73, (2018); Filice S., Castellucci G., Croce D., Basili R., KeLP: A kernel-based learning platform for natural language processing, Proceedings of the Joint Conference of the Meeting of the Association for Computational Linguistics and the International Joint Conference on Natural Language Processing (ACL-IJCNLP'15)., pp. 19-24, (2015); Filice S., Da San Martino G., Moschitti A., Structural representations for learning relations between pairs of texts, Proceedings of the Meeting of the Association for Computational Linguistics., pp. 1003-1013, (2015); Girju R., Nakov P., Nastase V., Szpakowicz S., Turney P., Yuret D., Semeval-2007 task 04: Classification of semantic relations between nominals, Proceedings of the 4th International Workshop on Semantic Evaluations, (2007); Grieshaber D., Thang Vu N., Maucher J., Low-resource text classification using domainadversarial learning, Comput. Speech Lang., 62, (2020); Guo J., Che W., Yarowsky D., Wang H., Liu T., Cross-lingual dependency parsing based on distributed representations, Proceedings of the 53rdMeeting of the Association for Computational Linguistics and the 7th International Joint Conference on Natural Language Processing., pp. 1234-1244, (2015); Hashimoto K., Stenetorp P., Miwa M., Tsuruoka Y., Task-oriented learning of word embeddings for semantic relation classification, Proceedings of the 19th Conference on Computational Natural Language Learning, (2015); Hendrickx I., Nam Kim S., Kozareva Z., Nakov P., Seaghdha D.O., Pado S., Pennacchiotti M., Romano L., Szpakowicz S., Semeval-2010 task 8: Multi-way classification of semantic relations between pairs of nominals, Proceedings of the Workshop on Semantic Evaluations: Recent Achievements and Future Directions., pp. 94-99s, (2010); Hu B., Lu Z., Li H., Chen Q., Convolutional neural network architectures formatching natural language sentences, Adv. Neural Inf. Proc. Syst., 27, pp. 2042-2050, (2014); Indurkhya N., Damerau F.J., Handbook of Natural Language Processing, 2, (2010); Ji Y., Eisenstein J., Discriminative improvements to distributional sentence similarity, Proceedings of the Conference on Empirical Methods in Natural Language Processing. Seattle, Washington, pp. 891-896, (2013); Kahane S., Courtin M., Gerdes K., Multi-word annotation in syntactic treebanks-propositions for universal dependencies, Proceedings of the 16th International Workshop on Treebanks and Linguistic Theories., pp. 181-189, (2017); Kenter T., De Rijke M., Short text similarity with word embeddings, Proceedings of the 24th ACM International on Conference on Information and Knowledge Management., pp. 1411-1420, (2015); Kim J., Kim Y., Sarikaya R., Fosler-Lussier E., Cross-lingual transfer learning for POS tagging without cross-lingual resources, Proceedings of the Conference on Empirical Methods in Natural Language Processing., pp. 2832-2838, (2017); Kipf T.N., Welling M., Semi-supervised classification with graph convolutional networks, Proceedings of the International Conference on Learning Representations, (2017); Komninos A., Manandhar S., Dependency based embeddings for sentence classification tasks, Proceedings of the Conference of the North American Chapter of the Association for Computational Linguistics (NAACL: HLT'16)., pp. 1490-1500, (2016); Lahbib W., Bounhas I., Elayeb B., Evrard F., Slimani Y., A hybrid approach for Arabic semantic relation extraction, Proceedings of the 26th International Florida Artificial Intelligence Research Society Conference., pp. 315-320, (2013); Lai S., Xu L., Liu K., Zhao J., Recurrent convolutional neural networks for text classification, Proceedings of the 29th AAAI Conference on Artificial Intelligence., pp. 2267-2273, (2015); Quynh Le H., Cat Can D., Thuy Ha Q., Collier N., A richer-but-smarter shortest dependency path with attentive augmentation for relation extraction, Proceedings of the Conference of the North American Chapter of the Association for Computational Linguistics, Vol. 1. Association for Computational Linguistics, pp. 2902-2912, (2019); Li Z., He S., Zhang Z., Zhao H., Joint learning of pos and dependencies for multilingual universal dependency parsing, Proceedings of the CoNLL 2018 Shared Task: Multilingual Parsing from Raw Text to Universal Dependencies., pp. 65-73, (2018); Madnani N., Tetreault J., Chodorow M., Re-examining machine translationmetrics for paraphrase identification, Proceedings of the Conference of the North American Chapter of the Association for Computational Linguistics: Human Language Technologies., pp. 182-190, (2012); McDonald R., Nivre J., Quirmbach-Brundage Y., Goldberg Y., Das D., Ganchev K., Hall K., Petrov S., Zhang H., Tackstrom O., Et al., Universal dependency annotation formultilingual parsing, Proceedings of the 51st Meeting of the Association for Computational Linguistics (ACL'13)., pp. 92-97, (2013); McDonald R., Nivre J., Quirmbach-Brundage Y., Goldberg Y., Das D., Ganchev K., Hall K., Petrov S., Zhang H., Tackstrom O., Et al., Universal dependency annotation formultilingual parsing, Proceedings of the 51st Meeting of the Association for Computational Linguistics., pp. 92-97, (2013); Moschitti A., A study on convolution kernels for shallow semantic parsing, Proceedings of the 42nd Meeting on the Association for Computational Linguistics (ACL'04), (2004); Moschitti A., Efficient convolution kernels for dependency and constituent syntactic trees, Proceedings of the 17th European Conference on Machine Learning (ECML'06)., pp. 318-329, (2006); Nguyen T.T., Moschitti A., Riccardi G., Convolution kernels on constituent, dependency and sequential structures for relation extraction, Proceedings of the Conference on Empirical Methods in Natural Language Processing (EMNLP'09)., pp. 1378-1387, (2009); Nivre J., Universal dependencies: A cross-linguistic perspective on grammar and lexicon, Proceedings of the Workshop on Grammar and Lexicon: Interactions and Interfaces (GramLex'16)., pp. 38-40, (2016); Nivre J., Fang C., Universal dependency evaluation, Proceedings of the NoDaLiDaWorkshop on Universal Dependencies., pp. 86-95, (2017); Pagliardini M., Gupta P., Jaggi M., Unsupervised Learning of Sentence Embeddings Using Compositional N-gram Features, (2017); Petrov S., Das D., McDonald R., A universal part-of-speech tagset, Proceedings of the 8th International Conference on Language Resources and Evaluation (LREC'12)., pp. 2089-2096, (2012); Qin P., Xu W., Guo J., An empirical convolutional neural network approach for semantic relation classification, Neurocomputing, 190, pp. 1-9, (2016); Qin P., Xu W., Guo J., Designing an adaptive attention mechanism for relation classification, Proceedings of the International Joint Conference on Neural Networks (IJCNN'17)., pp. 4356-4362, (2017); Samvelian P., Faghiri P., Introducing PersPred, a syntactic and semantic database for Persian complex predicates, Proceedings of the 9thWorkshop on Multiword Expressions. Association for Computational Linguistics, pp. 11-20, (2013); Schuster S., Manning C.D., Enhanced English universal dependencies: An improved representation for natural language understanding tasks, Proceedings of the 10th International Conference on Language Resources and Evaluation (LREC'16)., pp. 2371-2378, (2016); Shen D., Wang G., Wang W., Renqiang Min M., Su Q., Zhang Y., Li C., Henao R., Carin L., Baseline Needs More Love: On Simple Word-embedding-based Models and Associated Pooling Mechanisms, (2018); Straka M., Hajic J., Strakova J., Hajic J., Parsing universal dependency treebanks using neural networks and search-based oracle, Proceedings of the International Workshop on Treebanks and Linguistic Theories (TLT'15)., pp. 208-220, (2015); Subburathinam A., Lu D., Ji H., May J., Chang S., Sil A., Voss C., Cross-lingual structure transfer for relation and event extraction, Proceedings of the Conference on Empirical Methods in Natural Language Processing and the 9th International Joint Conference on Natural Language Processing (EMNLP-IJCNLP'19)., pp. 313-325, (2019); Taghizadeh N., Faili H., AutomaticWordNet development for low-resource languages using crosslingual WSD, J. Artif. Intell. Res., 56, pp. 61-87, (2016); Taghizadeh N., Faili H., Maleki J., Cross-language learning for arabic relation extraction, Procedia Comput. Sci., 142, pp. 190-197, (2018); Sheng Tai K., Socher R., Manning C.D., Improved semantic representations from treestructured long short-term memory networks, Proceedings of the 53rd Meeting of the Association for Computational Linguistics and the 7th International Joint Conference on Natural Language Processing., pp. 1556-1566, (2015); Tiedemann J., Cross-lingual dependency parsing with universal dependencies and predicted PoS labels, Proceedings of the 3rd International Conference on Dependency Linguistics (Depling'15)., pp. 340-349, (2015); Tiedemann J., Agic Z., Synthetic treebanking for cross-lingual dependency parsing, J. Artif. Intell. Res., 55, pp. 209-248, (2016); Walker C., Strassel S., Medero J., Maeda K., ACE 2005 Multilingual Training Corpus-linguistic Data Consortium, (2005); Wang L., Cao Z., De Melo G., Liu Z., Relation classification via multi-level attention CNNs, Proceedings of the 54th Meeting of the Association for Computational Linguistics., pp. 1298-1307, (2016); Wang Z., Mi H., Ittycheriah A., Sentence similarity learning by lexical decomposition and composition, Proceedings of the 26th International Conference on Computational Linguistics (COLING'16)., pp. 1340-1349, (2016); Xu K., Feng Y., Huang S., Zhao D., Semantic relation classification via convolutional neural networks with simple negative sampling, Proceedings of the Conference on Empirical Methods in Natural Language Processing., pp. 536-540, (2015); Zeman D., Hajic J., Popel M., Potthast M., Straka M., Ginter F., Nivre J., Petrov S., CoNLL 2018 shared task: Multilingual parsing from raw text to universal dependencies, Proceedings of the CoNLL 2018 Shared Task: Multilingual Parsing from Raw Text to Universal Dependencies., pp. 1-21, (2018); Zhou J., Liu G., Sun H., Paraphrase identification based on weighted URAE, unit similarity and context correlation feature, Proceedings of the CCF International Conference on Natural Language Processing and Chinese Computing. Springer, pp. 41-53, (2018); Zhou P., Shi W., Tian J., Qi Z., Li B., Hao H., Xu B., Attention-based bidirectional long short-term memory networks for relation classification, Proceedings of the 54th Meeting of the Association for Computational Linguistics (ACL'16)., pp. 207-212, (2016)</t>
  </si>
  <si>
    <t>H. Faili; School of Electrical and Computer Engineering, College of Engineering, University of Tehran, Tehran, Iran; email: hfaili@ut.ac.ir</t>
  </si>
  <si>
    <t>2-s2.0-85111026083</t>
  </si>
  <si>
    <t>Madi N.; Al-Matham R.; Al-Khalifa H.</t>
  </si>
  <si>
    <t>Madi, Nora (57205123323); Al-Matham, Rawan (57201314939); Al-Khalifa, Hend (16241119700)</t>
  </si>
  <si>
    <t>57205123323; 57201314939; 16241119700</t>
  </si>
  <si>
    <t>Grammar checking and relation extraction in text: approaches, techniques and open challenges</t>
  </si>
  <si>
    <t>Data Technologies and Applications</t>
  </si>
  <si>
    <t>373.0</t>
  </si>
  <si>
    <t>394.0</t>
  </si>
  <si>
    <t>10.1108/DTA-01-2019-0001</t>
  </si>
  <si>
    <t>https://www.scopus.com/inward/record.uri?eid=2-s2.0-85067887366&amp;doi=10.1108%2fDTA-01-2019-0001&amp;partnerID=40&amp;md5=8a99e016041dbbf71a28391b95f7d859</t>
  </si>
  <si>
    <t>Department of Information Technology, King Saud University, Riyadh, Saudi Arabia</t>
  </si>
  <si>
    <t>Madi N., Department of Information Technology, King Saud University, Riyadh, Saudi Arabia; Al-Matham R., Department of Information Technology, King Saud University, Riyadh, Saudi Arabia; Al-Khalifa H., Department of Information Technology, King Saud University, Riyadh, Saudi Arabia</t>
  </si>
  <si>
    <t>Purpose: The purpose of this paper is to provide an overall review of grammar checking and relation extraction (RE) literature, their techniques and the open challenges associated with them; and, finally, suggest future directions. Design/methodology/approach: The review on grammar checking and RE was carried out using the following protocol: we prepared research questions, planed for searching strategy, addressed paper selection criteria to distinguish relevant works, extracted data from these works, and finally, analyzed and synthesized the data. Findings: The output of error detection models could be used for creating a profile of a certain writer. Such profiles can be used for author identification, native language identification or even the level of education, to name a few. The automatic extraction of relations could be used to build or complete electronic lexical thesauri and knowledge bases. Originality/value: Grammar checking is the process of detecting and sometimes correcting erroneous words in the text, while RE is the process of detecting and categorizing predefined relationships between entities or words that were identified in the text. The authors found that the most obvious challenge is the lack of data sets, especially for low-resource languages. Also, the lack of unified evaluation methods hinders the ability to compare results. ¬© 2019, Emerald Publishing Limited.</t>
  </si>
  <si>
    <t>Approaches; Evaluation; Grammar_checking; Relation_extraction; Review; Techniques</t>
  </si>
  <si>
    <t>Approach; Design/methodology/approach; Evaluation; Grammar_checking; Paper selections; Relation extraction; Research questions; Searching strategy; Selection criteria; Technique; Extraction</t>
  </si>
  <si>
    <t>Abacha A.B., Zweigenbaum P., Automatic extraction of semantic relations between medical entities: a rule based approach: a rule based approach, Journal of Biomedical Semantics, 2, 5, pp. 1-11, (2011); Automatic content extraction 2008 evaluation plan (ACE08), (2008); The ACE 2005 (ACE05) evaluation plan evaluation of the detection and recognition of ACE, Personnel, 2007, pp. 1-20, (2007); Agichtein E., Gravano L., Snowball: extracting relations from large plain-text collections, Proceedings of the Fifth ACM Conference on Digital Libraries, pp. 85-94, (2000); AlMaayah M., Sawalha M., Abushariah M.A., Towards an automatic extraction of synonyms for Quranic Arabic WordNet, International Journal of Speech Technology, 19, 2, pp. 177-189, (2016); Al-Yahya M., Al-Malak S., Aldhubayi L., Ontological lexicon enrichment: the Badea system for semi-automated extraction of antonymy relations from Arabic language corpora, Malaysian Journal of Computer Science, 29, 1, pp. 56-73, (2016); Baroni M., Bernardini S., Ferraresi A., Zanchetta E., The WaCky wide web: a collection of very large linguistically processed web-crawled corpora, Lang Resources &amp; Evaluation, 43, 3, pp. 209-226, (2009); Batita M.A., Zrigui M., The enrichment of Arabic Wordnet antonym relations, International Conference on Computational Linguistics and Intelligent Text Processing, pp. 342-353, (2017); Bentrcia R., Zidat S., Marir F., Extracting semantic relations from the Quranic Arabic based on Arabic conjunctive patterns, Journal of King Saud University-Computer and Information Sciences, 30, 3, pp. 382-390, (2018); Bick E., DanProof: pedagogical spell and grammar checking for Danish, Recent Advances in Natural Language Processing, pp. 55-62, (2015); Bird S., Dale R., Dorr B.J., Gibson B., Joseph M.T., Kan M.-Y., Lee D., Powley B., Radev D.R., Tan Y.F., The ACL anthology reference corpus: a reference data set for bibliographic research in computational linguistics, Proceedings of the Sixth International Language Resources and Evaluation, pp. 1-5, (2008); Bojanowski P., Grave E., Joulin A., Mikolov T., Enriching word vectors with subword information, Journal of Transactions of the Association for Computational Linguistics, 5, 10, pp. 135-146, (2016); Camacho-Collados J., Deli Bovi C., EspinosaAnke L., Oramas S., Pasini T., Santus E., Scwartz V., Navigli R., Saggion H., SemEval-2018 task 9: Hypernym discovery, Proceedings of the 12th International Workshop on Semantic Evaluation, pp. 712-724, (2018); Chaitanya G.K., (2017); Chun H.-W., Jeong C.-H., Song S.-K., Choi Y.-S., Choi S.-P., Sung W.-K., Relation extraction based on composite kernel combining pattern similarity of predicate-argument structure, International Conference on U-and E-Service, Science and Technology, pp. 269-273, (2011); Dahlmeier D., Ng H.T., Wu S.M., Building a large annotated corpus of learner English: the NUS corpus of learner English, Proceedings of the Eighth Workshop on Innovative use of NLP for Building Educational Applications, pp. 22-31, (2013); Dale R., Kilgarriff A., Helping our own: the HOO 2011 Pilot shared task, (2011); Dale R., Anisimoff I., Narroway G., HOO 2012: a report on the preposition and determiner error correction shared task, (2012); Daudaravicius V., Banchs R.E., Volodina E., Napoles C., A report on the automatic evaluation of scientific writing shared task, (2016); De Felice R., Pulman S.G., A classifier-based approach to preposition and determiner error correction in L2 English, 22nd International Conference on Computational Linguistics (Coling 2008), pp. 169-176, (2008); De Vine L., Geva S., Bruza P., Efficient analogy completion with word embedding clusters, Proceedings of the 22nd Australasian Document Computing Symposium, (2017); Deksne D., A new phase in the development of a grammar checker for Latvian, Seventh International Conference Baltik HLT 2016, pp. 147-152, (2016); Doddington G.R., Mitchell A., Przybocki M.A., Ramshaw L.A., Strassel S., Weischedel R.M., The automatic content extraction (ACE) program-tasks, data, and evaluation, LREC, (2004); Dou Z., Wei W., Wan X., Improving word embeddings for antonym detection using thesauri and SentiWordNet, CCF International Conference on Natural Language Processing and Chinese Computing, pp. 67-79, (2018); El-salam S.M.A., El Houby E.M., Al Sammak A.K., El-Shishtawy T.A., Extracting Arabic relations from the web, International Journal of Computer Science &amp; Information Technology (IJCSIT), 8, 1, pp. 85-102, (2016); Gabor K., Buscaldi D., Schumann A.-K., QasemiZadeh B., Zargayouna H., Charnois T., Semeval-2018 task 7: semantic relation extraction and classification in scientific papers, (2018); Gakis P., Panagiotakopoulos C., Sgarbas K., Tsalidis C., Verykios V., Design and construction of the Greek grammar checker, Digital Scholarship in the Humanities, 32, 3, pp. 554-576, (2016); Gebru A.T., (2013); Girju R., Nakov P., Nastase V., Szpakowicz S., Turney P., Yuret D., Semeval-2007 task 04: classification of semantic relations between nominals, Proceedings of the 4th International Workshop on Semantic Evaluations, pp. 13-18, (2007); Go M.P., Borra A., Developing an unsupervised grammar checker for Filipino using hybrid N-grams as grammar rules, 30th Pacific Asia Conference on Language, Information and Computation: Oral Papers, pp. 105-113, (2016); Go M.P., Nocon N., Borra A., Gramatika: a grammar checker for the low-resourced Filipino language, 2017 IEEE Region 10 Conference (TENCON), pp. 471-475, (2017); Goldberg Y., Neural network methods for natural language processing, Synthesis Lectures on Human Language Technologies, 10, 1, pp. 1-309, (2017); Goldstein O., Zero-Shot relation extraction from word embeddings, (2018); Han N.-R., Chodorow M., Leacock C., Detecting errors in English article usage by non-native speakers, Natural Language Engineering, 12, 2, pp. 115-129, (2006); Hasegawa T., Sekine S., Grishman R., Discovering relations among named entities from large corpora, Proceedings of the 42nd Annual Meeting on Association for Computational Linguistics, (2004); Hearst M.A., Automatic acquisition of hyponyms from large text corpora, Proceedings of the 14th Conference on Computational Linguistics, Vol. 2, pp. 539-545, (1992); Hendrickx I., Kim S.N., Kozareva Z., Nakov P., O Seaghdha D., Pado S., Pennacchiotti M., Romano L., Szpakowicz S., Semeval-2010 task 8: multi-way classification of semantic relations between pairs of nominals, Proceedings of the Workshop on Semantic Evaluations: Recent Achievements and Future Directions, pp. 94-99, (2009); Hernandez S.D., Calvo H., CoNLL 2014 shared task: grammatical error correction with a syntactic n-gram language model from a big corpora, Proceedings of the Eighteenth Conference on Computational Natural Language Learning: Shared Task, pp. 53-59, (2014); Ji J., Wang Q., Toutanova K., Gong Y., Truong S., Gao J., A nested attention neural hybrid model for grammatical error correction, 55th Annual Meeting of the Association for Computational Linguistics, pp. 753-762, (2017); Kambhatla N., Combining lexical, syntactic, and semantic features with maximum entropy models for extracting relations, Proceedings of the ACL 2004 on Interactive Poster and Demonstration Sessions, (2004); Kaur J., Garg K., Tech M., Hybrid approach for spell checker and grammar checker for Punjabi, International Journal of Advanced Research in Computer Science and Software Engineering, 4, 6, pp. 2277-2128, (2014); Kumar S., A survey of deep learning methods for relation extraction, (2017); Leacock C., Chodorow M., Gamon M., Tetreault J., Automated grammatical error detection for language learners, Synthesis Lectures on Human Language Technologies, 7, 1, pp. 1-170, (2014); Leeuwenberg A., Vela M., Dehdari J., van Genabith J., A minimally supervised approach for synonym extraction with word embeddings, The Prague Bulletin of Mathematical Linguistics, 105, 1, pp. 111-142, (2016); Levy O., Goldberg Y., Linguistic regularities in sparse and explicit word representations, Proceedings of the Eighteenth Conference on Computational Natural Language Learning, pp. 171-180, (2014); Liu C., Sun W., Chao W., Che W., Convolution neural network for relation extraction, Advanced Data Mining and Applications, pp. 231-242, (2013); Liu Z.-R., Liu Y., Exploiting unlabeled data for neural grammatical error detection, Journal of Computer Science and Technology, 32, 4, pp. 758-767, (2017); Madi N., Al-khalifa H.S., Grammatical error checking systems: a review of approaches and emerging directions, International Conference on Digital Information Management (ICDIM), (2018); Majumder G., Pakray P., Avendano D.E.P., Measuring semantic textual similarity using modified information content of WordNet and Trigram Language model, International Journal of Computational Linguistics Research, 8, 4, pp. 171-177, (2017); Maynard D., Bontcheva K., Augenstein I., Natural language processing for the semantic web, Synthesis Lectures on the Semantic Web: Theory and Technology, 6, 2, pp. 1-194, (2016); Mikolov T., Sutskever I., Chen K., Corrado G.S., Dean J., Distributed representations of words and phrases and their compositionality, Advances in Neural Information Processing Systems, pp. 3111-3119, (2013); Mintz M., Bills S., Snow R., Jurafsky D., Distant supervision for relation extraction without labeled data, Proceedings of the Joint Conference of the 47th Annual Meeting of the ACL and the 4th International Joint Conference on Natural Language Processing of the AFNLP: Vol. 2, pp. 1003-1011, (2009); Mohamed R., El-Makky N.M., Nagi K., ArabRelat: Arabic relation extraction using distant supervision, KEOD, pp. 410-417, (2015); Moncecchi G., Minel J.-L., Wonsever D., A survey of kernel methods for relation extraction, (2010); Ng H.T., Wu S.M., Wu Y., Hadiwinoto C., Tetreault J., The CoNLL-2013 shared task on grammatical error correction, Seventeenth Conference on Computational Natural Language Learning: Shared Task, pp. 1-12, (2013); Nguyen K.A., im Walde S.S., Vu N.T., Integrating distributional lexical contrast into word embeddings for antonym‚Äìsynonym distinction, (2016); Ono M., Miwa M., Sasaki Y., Word embedding-based antonym detection using thesauri and distributional information, Proceedings of the 2015 Conference of the North American Chapter of the Association for Computational Linguistics: Human Language Technologies, pp. 984-989, (2015); Oramas S., Espinosa-Anke L., Sordo M., Saggion H., Serra X., ELMD: an automatically generated entity linking gold standard dataset in the music domain, 10th International Conference on Language Resources and Evaluation LREC 2016, pp. 3312-3317, (2016); Pantel P., Pennacchiotti M., Espresso: leveraging generic patterns for automatically harvesting semantic relations, Proceedings of the 21st International Conference on Computational Linguistics and the 44th Annual Meeting of the Association for Computational Linguistics, pp. 113-120, (2006); Pawar S., Palshikar G.K., Bhattacharyya P., Relation extraction: a survey, (2017); Rei M., Yannakoudakis H., Compositional sequence labeling models for error detection in learner writing, 54th Annual Meeting of the Association for Computational Linguistics, pp. 1181-1191, (2016); Rei M., Crichton G.K.O., Pyysalo S., Attending to characters in neural sequence labeling models, COLING 2016, the 26th International Conference on Computational Linguistics: Technical Papers, pp. 309-318, (2016); Riedel S., Yao L., McCallum A., Modeling relations and their mentions without labeled text, Joint European Conference on Machine Learning and Knowledge Discovery in Databases, pp. 148-163, (2010); Rozovskaya A., Chang K.-W., Sammons M., Roth D., The University of Illinois System in the CoNLL-2013 shared task, Seventeenth Conference on Computational Natural Language Learning: Shared Task, pp. 13-19, (2013); Rozovskaya A., Chang K.-W., Sammons M., Roth D., Habash N., The Illinois-Columbia system in the CoNLL-2014 shared task, Eighteenth Conference on Computational Natural Language Learning: Shared Task, pp. 34-42, (2014); Rzepka R., Takizawa M., VallverdIJu J., Ptaszynski M., Dybala P., Araki K., From words to emoticons: deep emotion recognition in text and its wider implications, International Journal of Computational Linguistics Research, 9, 1, pp. 10-28, (2018); Sahin G., Classification of Turkish semantic relation pairs using different sources, International Journal of Computer Engineering and Information Technology, 8, 10, pp. 196-202, (2016); Sahin G., Diri B., Yildiz T., Extraction of Turkish semantic relation pairs using corpus analysis tool, Extraction, 5, 6, pp. 491-499, (2016); Santus E., Gladkova A., Evert S., Lenci A., The CogALex-V shared task on the corpus-based identification of semantic relations, Proceedings of the 5th Workshop on Cognitive Aspects of the Lexicon (CogALex-V), pp. 69-79, (2016); Sarhan I., El-Sonbaty Y., El-Nasr M.A., Semi-supervised pattern based algorithm for Arabic relation extraction, 2016 IEEE 28th International Conference on Tools with Artificial Intelligence (ICTAI), pp. 177-183, (2016); Saveski M., Trajkovski I., Automatic construction of wordnets by using machine translation and language modeling, 13th Multiconference Information Society 2019, (2010); Schmaltz A., Kim Y., Rush A.M., Shieber S.M., Sentence-level grammatical error identification as sequence-to-sequence correction, Proceedings of the 11th Workshop on Innovative Use of NLP for Building Educational Applications, pp. 242-251, (2016); Schmaltz A., Kim Y., Rush A.M., Shieber S.M., Adapting sequence models for sentence correction, 2017 Conference on Empirical Methods in Natural Language Processing, pp. 2807-2813, (2017); Shaalan K.F., Arabic GramCheck: a grammar checker for Arabic, Software Practice and Experience, 35, 7, pp. 643-665, (2005); Singh Gill M., Singh Lehal G., A grammar checking system for Punjabi, (2008); Strassel S., Mitchell A., Huang S., Multilingual resources for entity extraction, (2003); Tian F., Yuan C., Ren F., Hyponym extraction from the web by bootstrapping, IEEJ Transactions on Electrical and Electronic Engineering, 7, 1, pp. 62-68, (2012); Tomeh N., Habash N., Eskander R., Le Roux J., A pipeline approach to supervised error correction for the QALB-2014 shared task, (2014); Wang P., Jia Z., Zhao H., Grammatical error detection and correction using a single maximum entropy model, Eighteenth Conference on Computational Natural Language Learning: Shared Task, pp. 74-82, (2014); Wu Y., Zhang M., Overview of the NLPCC 2017 shared task: Chinese word semantic relation classification, National CCF Conference on Natural Language Processing and Chinese Computing, pp. 919-925, (2017); Xiang Y., Zhang Y., Wang X., Wei C., Zheng W., Zhou X., Hu Y., Qin Y., Grammatical error correction using feature selection and confidence tuning, Sixth International Joint Conference on Natural Language Processing, IJCNLP 2013, pp. 1067-1071, (2013); Xie Z., Avati A., Arivazhagan N., Jurafsky D., Ng A.Y., Neural language correction with character-based attention, (2016); Yannakoudakis H., Briscoe T., Medlock B., A new dataset and method for automatically grading ESOL texts, 49th Annual Meeting of the Association for Computational Linguistics, pp. 180-189, (2011); Yannakoudakis M., Rei H., Andersen O.E., Yuan Z., Neural sequence-labelling models for grammatical error correction, 2017 Conference on Empirical Methods in Natural Language Processing, pp. 2795-2806, (2017); Yuan Z., Briscoe T., Grammatical error correction using neural machine translation, 2016 Conference of the North American Chapter of the Association for Computational Linguistics: Human Language Technologies, pp. 380-386, (2016); Yuan Z., Felice M., Constrained grammatical error correction using statistical machine translation, Proceedings of the Seventeenth Conference on Computational Natural Language Learning: Shared Task, (2013); Zeng D., Liu K., Lai S., Zhou G., Zhao J., Relation classification via convolutional deep neural network, Proceedings of COLING 2014, the 25th International Conference on Computational Linguistics: Technical Papers, pp. 2335-2344, (2014); Zhang C., Xu W., Ma Z., Gao S., Li Q., Guo J., Construction of semantic bootstrapping models for relation extraction, Knowledge-Based Systems, 83, pp. 128-137, (2015); Zhang D., Wang D., Relation classification via recurrent neural network, (2015); Zhang L., Wang H., A unified framework for grammar error correction, Eighteenth Conference on Computational Natural Language Learning: Shared Task, pp. 96-102, (2014); Zhang L., Li J., Wang C., Automatic synonym extraction using Word2Vec and spectral clustering, 36th Chinese Control Conference (CCC), pp. 5629-5632, (2017); Zhao S., Grishman R., Extracting relations with integrated information using kernel methods, Proceedings of the 43rd Annual Meeting on Association for Computational Linguistics, pp. 419-426, (2005)</t>
  </si>
  <si>
    <t>H. Al-Khalifa; Department of Information Technology, King Saud University, Riyadh, Saudi Arabia; email: hendk@ksu.edu.sa</t>
  </si>
  <si>
    <t>Emerald Publishing</t>
  </si>
  <si>
    <t>Data Technol. Appl.</t>
  </si>
  <si>
    <t>Review</t>
  </si>
  <si>
    <t>2-s2.0-85067887366</t>
  </si>
  <si>
    <t>Yang S.; Zhang Y.; Niu G.; Zhao Q.; Pu S.</t>
  </si>
  <si>
    <t>Yang, Shan (57224810582); Zhang, Yongfei (34874069700); Niu, Guanglin (57191197891); Zhao, Qinhua (57224829136); Pu, Shiliang (56462199300)</t>
  </si>
  <si>
    <t>57224810582; 34874069700; 57191197891; 57224829136; 56462199300</t>
  </si>
  <si>
    <t>Entity Concept-enhanced Few-shot Relation Extraction</t>
  </si>
  <si>
    <t>987.0</t>
  </si>
  <si>
    <t>991.0</t>
  </si>
  <si>
    <t>55.0</t>
  </si>
  <si>
    <t>https://www.scopus.com/inward/record.uri?eid=2-s2.0-85115883524&amp;partnerID=40&amp;md5=798590d94e0cba98713c992165758664</t>
  </si>
  <si>
    <t>Beijing Key Laboratory of Digital Media, School of Computer Science and Engineering, BeiHang University, Beijing, 100191, China; State Key Laboratory of Virtual Reality Technology and Systems, BeiHang University, Beijing, 100191, China; Pengcheng Laboratory, Shenzhen, 518055, China; State Key Laboratory of Software Development Environment School of Computer Science and Engineering, BeiHang University, Beijing, 100191, China; Hikvision Research Institute, Hangzhou, 311500, China</t>
  </si>
  <si>
    <t>Yang S., Beijing Key Laboratory of Digital Media, School of Computer Science and Engineering, BeiHang University, Beijing, 100191, China; Zhang Y., Beijing Key Laboratory of Digital Media, School of Computer Science and Engineering, BeiHang University, Beijing, 100191, China, State Key Laboratory of Virtual Reality Technology and Systems, BeiHang University, Beijing, 100191, China, Pengcheng Laboratory, Shenzhen, 518055, China; Niu G., Beijing Key Laboratory of Digital Media, School of Computer Science and Engineering, BeiHang University, Beijing, 100191, China; Zhao Q., State Key Laboratory of Software Development Environment School of Computer Science and Engineering, BeiHang University, Beijing, 100191, China; Pu S., Hikvision Research Institute, Hangzhou, 311500, China</t>
  </si>
  <si>
    <t>Few-shot relation extraction (FSRE) is of great importance in long-tail distribution problem, especially in special domain with low-resource data. Most existing FSRE algorithms fail to accurately classify the relations merely based on the information of the sentences together with the recognized entity pairs, due to limited samples and lack of knowledge. To address this problem, in this paper, we proposed a novel entity CONCEPTenhanced FEw-shot Relation Extraction scheme (ConceptFERE), which introduces the inherent concepts of entities to provide clues for relation prediction and boost the relations classification performance. Firstly, a conceptsentence attention module is developed to select the most appropriate concept from multiple concepts of each entity by calculating the semantic similarity between sentences and concepts. Secondly, a self-attention based fusion module is presented to bridge the gap of concept embedding and sentence embedding from different semantic spaces. Extensive experiments on the FSRE benchmark dataset FewRel have demonstrated the effectiveness and the superiority of the proposed ConceptFERE scheme as compared to the state-of-the-art baselines. Code is available at https://github.com/LittleGuoKe/ConceptFERE. ¬© 2021 Association for Computational Linguistics.</t>
  </si>
  <si>
    <t>Classification (of information); Computational linguistics; Extraction; Semantics; Classification performance; Distribution problem; Embeddings; Extraction algorithms; Fusion modules; Long-tail distribution; Relation classifications; Relation extraction; Semantic similarity; Semantic Space; Embeddings</t>
  </si>
  <si>
    <t>Cong Xin, Yu Bowen, Liu Tingwen, Cui Shiyao, Tang Hengzhu, Wang Bin, Inductive unsupervised domain adaptation for fewshot classification via clustering, (2020); Devlin Jacob, Chang Ming-Wei, Lee Kenton, Toutanova Kristina, Bert: Pre-training of deep bidirectional transformers for language understanding, (2018); Gao Tianyu, Han Xu, Liu Zhiyuan, Sun Maosong, Hybrid attention-based prototypical networks for noisy few-shot relation classification, Proceedings of the AAAI Conference on Artificial Intelligence, 33, pp. 6407-6414, (2019); Gao Tianyu, Han Xu, Zhu Hao, Liu Zhiyuan, Li Peng, Sun Maosong, Zhou Jie, Fewrel 2.0: Towards more challenging few-shot relation classification, (2019); Garcia Victor, Bruna Joan, Few-shot learning with graph neural networks, (2017); Geng Xiaoqing, Chen Xiwen, Zhu Kenny Q, Shen Libin, Zhao Yinggong, Mick: A metalearning framework for few-shot relation classification with small training data, Proceedings of the 29th ACM International Conference on Information &amp; Knowledge Management, pp. 415-424, (2020); Han Xu, Gao Tianyu, Lin Yankai, Peng Hao, Yang Yaoliang, Xiao Chaojun, Liu Zhiyuan, Li Peng, Sun Maosong, Zhou Jie, More data, more relations, more context and more openness: A review and outlook for relation extraction, (2020); Han Xu, Zhu Hao, Yu Pengfei, Wang Ziyun, Yao Yuan, Liu Zhiyuan, Sun Maosong, Fewrel: A large-scale supervised few-shot relation classification dataset with state-of-the-art evaluation, (2018); Koch Gregory, Zemel Richard, Salakhutdinov Ruslan, Siamese neural networks for one-shot image recognition, ICML deep learning workshop, 2, (2015); Mishra Nikhil, Rohaninejad Mostafa, Chen Xi, Abbeel Pieter, A simple neural attentive metalearner, (2017); Qu Meng, Gao Tianyu, Xhonneux Louis-Pascal, Tang Jian, Few-shot relation extraction via bayesian meta-learning on relation graphs, International Conference on Machine Learning, pp. 7867-7876, (2020); Shalaby Walid, Zadrozny Wlodek, Jin Hongxia, Beyond word embeddings: Learning entity and concept representations from large scale knowledge bases, Information Retrieval Journal, 22, 6, pp. 525-542, (2019); Snell Jake, Swersky Kevin, Zemel Richard, Prototypical networks for few-shot learning, Advances in neural information processing systems, pp. 4077-4087, (2017); Wang Yingyao, Bao Junwei, Liu Guangyi, Wu Youzheng, He Xiaodong, Zhou Bowen, Zhao Tiejun, Learning to decouple relations: Fewshot relation classification with entity-guided attention and confusion-aware training, (2020); Yang Kaijia, Zheng Nantao, Dai Xinyu, He Liang, Huang Shujian, Chen Jiajun, Enhance prototypical network with text descriptions for few-shot relation classification, Proceedings of the 29th ACM International Conference on Information &amp; Knowledge Management, pp. 2273-2276, (2020); Ye Zhi-Xiu, Ling Zhen-Hua, Multilevel matching and aggregation network for few-shot relation classification, (2019); Zhang Ningyu, Deng Shumin, Sun Zhanlin, Wang Guanying, Chen Xi, Zhang Wei, Chen Huajun, Long-tail relation extraction via knowledge graph embeddings and graph convolution networks, (2019)</t>
  </si>
  <si>
    <t>S. Yang; Beijing Key Laboratory of Digital Media, School of Computer Science and Engineering, BeiHang University, Beijing, 100191, China; email: Shanyang@buaa.edu.cn</t>
  </si>
  <si>
    <t>173031.0</t>
  </si>
  <si>
    <t>2-s2.0-85115883524</t>
  </si>
  <si>
    <t>Yu C.; Xue H.; Wang M.; An L.</t>
  </si>
  <si>
    <t>Yu, Chuanming (35788256300); Xue, Haodong (57226548200); Wang, Manyi (57226554435); An, Lu (7102775271)</t>
  </si>
  <si>
    <t>35788256300; 57226548200; 57226554435; 7102775271</t>
  </si>
  <si>
    <t>Towards an entity relation extraction framework in the cross-lingual context</t>
  </si>
  <si>
    <t>Electronic Library</t>
  </si>
  <si>
    <t>411.0</t>
  </si>
  <si>
    <t>434.0</t>
  </si>
  <si>
    <t>10.1108/EL-10-2020-0304</t>
  </si>
  <si>
    <t>https://www.scopus.com/inward/record.uri?eid=2-s2.0-85111940292&amp;doi=10.1108%2fEL-10-2020-0304&amp;partnerID=40&amp;md5=218b89f788b3775def8c5ee8078bf7e3</t>
  </si>
  <si>
    <t>School of Information and Safety Engineering, Zhongnan University of Economics and Law, Wuhan, China; School of Statistics and Mathematics, Zhongnan University of Economics and Law, Wuhan, China; School of Information Management, Wuhan University, Wuhan, China</t>
  </si>
  <si>
    <t>Yu C., School of Information and Safety Engineering, Zhongnan University of Economics and Law, Wuhan, China; Xue H., School of Information and Safety Engineering, Zhongnan University of Economics and Law, Wuhan, China; Wang M., School of Statistics and Mathematics, Zhongnan University of Economics and Law, Wuhan, China; An L., School of Information Management, Wuhan University, Wuhan, China</t>
  </si>
  <si>
    <t>Purpose: Owing to the uneven distribution of annotated corpus among different languages, it is necessary to bridge the gap between low resource languages and high resource languages. From the perspective of entity relation extraction, this paper aims to extend the knowledge acquisition task from a single language context to a cross-lingual context, and to improve the relation extraction performance for low resource languages. Design/methodology/approach: This paper proposes a cross-lingual adversarial relation extraction (CLARE) framework, which decomposes cross-lingual relation extraction into parallel corpus acquisition and adversarial adaptation relation extraction. Based on the proposed framework, this paper conducts extensive experiments in two tasks, i.e. the English-to-Chinese and the English-to-Arabic cross-lingual entity relation extraction. Findings: The Macro-F1 values of the optimal models in the two tasks are 0.880 1 and 0.789 9, respectively, indicating that the proposed CLARE framework for CLARE can significantly improve the effect of low resource language entity relation extraction. The experimental results suggest that the proposed framework can effectively transfer the corpus as well as the annotated tags from English to Chinese and Arabic. This study reveals that the proposed approach is less human labour intensive and more effective in the cross-lingual entity relation extraction than the manual method. It shows that this approach has high generalizability among different languages. Originality/value: The research results are of great significance for improving the performance of the cross-lingual knowledge acquisition. The cross-lingual transfer may greatly reduce the time and cost of the manual construction of the multi-lingual corpus. It sheds light on the knowledge acquisition and organization from the unstructured text in the era of big data. ¬© 2021, Emerald Publishing Limited.</t>
  </si>
  <si>
    <t>Cross-lingual; Deep learning; Entity relation extraction; Generative adversarial network; Knowledge acquisition</t>
  </si>
  <si>
    <t>article; big data; controlled study; decomposition; deep learning; extraction; human; human experiment; language</t>
  </si>
  <si>
    <t>Zhongnan University of Economics and Law, ZUEL, (2722021AJ011); National Natural Science Foundation of China, NSFC, (71790612, 71921002, 71974202); Ministry of Education of the People's Republic of China, MOE, (19YJC870029); Fundamental Research Funds for the Central Universities</t>
  </si>
  <si>
    <t>This research was supported by the National Natural Science Foundation of China (Grant No. 71974202, 71921002 and 71790612), the project of the Ministry of Education of China (Grant No. 19YJC870029) and the Fundamental Research Funds for the Central Universities, Zhongnan University of Economics and Law (Grant No. 2722021AJ011).</t>
  </si>
  <si>
    <t>Ahmad Z., Jindal R., Ekbal A., Bhattachharyya P., Borrow from rich cousin: transfer learning for emotion detection using cross-lingual embedding, Expert Systems with Applications, 139, (2020); Artetxe M., Labaka G., Agirre E., A robust self-learning method for fully unsupervised cross-lingual mappings of word embeddings, Proceedings of the 56th Annual Meeting of the Association for Computational Linguistics, Melbourne, Australia, pp. 789-798, (2018); Balu B., Jeyakumar N., Enrique H.L., Automatic extraction of gene-disease associations from literature using joint ensemble learning, PloS One, 13, 7, (2018); Bundschus M., Dejori M., Stetter M., Tresp V., Kriegel H.P., Extraction of semantic biomedical relations from text using conditional random fields, BMC Bioinformatics, 9, 1, pp. 1-14, (2008); Catelli R., Gargiulo F., Casola V., De Pietro G., Fujita H., Esposito M., Crosslingual named entity recognition for clinical de-identification applied to a COVID-19 Italian data set, Applied Soft Computing, 97, (2020); Choi S.P., Lee S., Jung H., Song S.K., An intensive case study on kernel-based relation extraction, Multimedia Tools and Applications, 71, 2, pp. 741-767, (2014); Christopoulou F., Tran T.T., Sahu S.K., Miwa M., Ananiadou S., Adverse drug events and medication relation extraction in electronic health records with ensemble deep learning methods, Journal of the American Medical Informatics Association, 27, 1, pp. 39-46, (2020); Conneau A., Lample G., Ranzato M., Denoyer L., Jegou H., Word translation without parallel data, Proceedings of the International Conference on Learning Representations, Vancouver, BC, Canada, pp. 1-14, (2018); Das P., Das A.K., Nayak J., Pelusi D., Ding W., A graph based clustering approach for relation extraction from crime data, IEEE Access, 7, pp. 101269-101282, (2019); Deriu J., Lucchi A., De Luca V., Severyn A., Muller S., Cieliebak M., Hofmann T., Jaggi M., Leveraging large amounts of weakly supervised data for multi-language sentiment classification, Proceedings of the 26th International World Wide Web, Perth, Australia, pp. 1045-1052, (2017); Faruqui M., Kumar S., Multilingual open relation extraction using cross-lingual projection, Proceedings of the Conference of the North American Chapter of the Association for Computational Linguistics: Human Language Technologies, Denver, CO, pp. 1351-1356, (2015); Fei H., Zhang M., Li F., Ji D., Cross-lingual semantic role labeling with model transfer, IEEE/ACM Transactions on Audio, Speech, and Language Processing, 28, pp. 2427-2437, (2020); Gfeller B., Schogol V., Hall K.B., Cross-lingual projection for class-based language models, Proceedings of the 54th Annual Meeting of the Association for Computational Linguistics, Berlin, Germany, pp. 83-88, (2016); Goodfellow I.J., On distinguishability criteria for estimating generative models, (2014); Gupta P., Roth B., Schutze H., Joint bootstrapping machines for high confidence relation extraction, Proceedings of the Conference of the North American Chapter of the Association for Computational Linguistics: Human Language Technologies, New Orleans, LA, pp. 26-36, (2018); He Z., Chen W., Li Z., Zhang M., Zhang W., Zhang M., SEE: Syntax-aware entity embedding for neural relation extraction, Proceedings of Association for the Advance of Artificial Intelligence, New Orleans, LA, pp. 5795-5802, (2018); Hoffmann R., Zhang C., Ling X., Zettlemoyer L., Weld D.S., Knowledge-based weak supervision for information extraction of overlapping relations, Proceedings of the 49th Annual Meeting of the Association for Computational Linguistics: Human Language Technologies, pp. 541-550, (2011); Hu K., Introducing Corpus-Based Translation Studies, (2016); Hu Y., Hui H., Qian L., Bilingual co-training for relation classification via machine translation, Application Research of Computers, 32, 3, pp. 662-665, (2015); Jettakul A., Wichadakul D., Vateekul P., Relation extraction between bacteria and biotopes from biomedical texts with attention mechanisms and domain specific contextual representations, BMC Bioinformatics, 20, 1, pp. 1471-2105, (2019); Ji G., Liu K., He S., Zhao J., Distant supervision for relation extraction with sentence-level attention and entity descriptions, Proceeding of the 31st Association for the Advance of Artificial Intelligence Conference on Artificial Intelligence, San Francisco, CA, pp. 3060-3066, (2017); Kaity M., Balakrishnan V., Sentiment lexicons and non-English languages: a survey, Knowledge and Information Systems, 62, 12, pp. 1-36, (2020); Katiyar A., Cardie C., Going out on a limb: joint extraction of entity mentions and relations without dependency trees, Proceedings of the 55th Annual Meeting of the Association for Computational Linguistics, Vancouver, Canada, pp. 917-928, (2017); Khan Z., Vorley T., Big data text analytics: an enabler of knowledge management, Journal of Knowledge Management, 21, 1, pp. 18-34, (2017); Khatri D., Use of social media information sources: a systematic literature review, Online Information Review, (2021); Kim S., Jeong M., Lee J., Lee G.G., Cross-lingual annotation projection for weakly-supervised relation extraction, ACM Transactions on Asian Language Information Processing, 13, 1, pp. 1-26, (2014); Lample G., Conneau A., Denoyer L., Ranzato M., Unsupervised machine translation using monolingual corpora only, Proceedings of the International Conference on Learning Representations, Vancouver, BC, Canada, pp. 1-14, (2018); Lee I., Big data: dimensions, evolution, impacts, and challenges, Business Horizons, 60, 3, pp. 293-303, (2017); Li J., Tang L., Wang S., Forecasting crude oil price with multilingual search engine data, Physica A: Statistical Mechanics and Its Applications, 551, pp. 1-14, (2020); Li Q., Li L., Wang W., Li Q., Zhong J., A comprehensive exploration of semantic relation extraction via pre-trained CNNs, Knowledge-Based Systems, 194, (2020); Lin Y., Liu Z., Sun M., Multilingual relation extraction using compositional universal schema, Proceedings of the 55th Annual Meeting of the Association for Computational Linguistics, Vancouver, Canada, pp. 34-43, (2017); Lin Y., Liu Z., Sun M., Neural relation extraction with multi-lingual attention, Proceedings of the Conference of Association for Computational Linguistics, Vancouver, Canada, pp. 34-43, (2017); Lin Y., Shen S., Liu Z., Luan H., Sun M., Neural relation extraction with selective attention over instances, Proceedings of the 54th Annual Meeting of the Association for Computational Linguistics, Berlin, Germany, pp. 2124-2133, (2016); Litschko R., Glava G., Vulic I., Dietz L., Evaluating resource-lean cross-lingual embedding models in unsupervised retrieval, Proceedings of the 42nd International ACM SIGIR Conference on Research and Development in Information Retrieval, Paris, France, pp. 1109-1102, (2019); Liu X., Fu H., Du Z., Support vector machine with ensemble tree kernel for relation extraction, Computational Intelligence and Neuroscience, 2016, pp. 1-9, (2016); McAfee A., Brynjolfsson E., Big data: the management revolution, Harvard Business Review, 9, 10, pp. 60-68, (2012); Ma X., Guo J., Yu Z., Mao C., Xian Y., Chen W., Extracting hyponymy of domain entity using cascaded conditional random fields, Pattern Recognition and Image Analysis, 27, 3, pp. 637-644, (2017); Masumura R., Shinohara Y., Higashinaka R., Aono Y., Adversarial training for multi-task and multi-lingual joint modeling of utterance intent classification, Proceedings of the Conference on Empirical Methods in Natural Language Processing, Brussels, Belgium, pp. 633-639, (2018); Min B., Shi S., Grishman R., Lin C.Y., Towards large-scale unsupervised relation extraction from the web, International Journal on Semantic Web and Information Systems, 8, 3, pp. 1-23, (2012); Mintz M., Bills S., Snow R., Jurafsky D., Distant supervision for relation extraction without labeled data, Proceedings of the Joint Conference of the 47th Annual Meeting of the ACL and the 4th International Joint Conference on Natural Language Processing of the AFNLP, Suntec, Singapore, pp. 1003-1011, (2009); Mulcaire P., Swayamdipta S., Smith N.A., Polyglot semantic role labeling, Proceedings of the 56th Annual Meeting of the Association for Computational Linguistics, Melbourne, Australia, pp. 667-672, (2018); Nguyen M.L., Tsang I.W., Chai K.M.A., Chieu H.L., Robust domain adaptation for relation extraction via clustering consistency, Proceedings of the 52nd Annual Meeting of the Association for Computational Linguistics, Baltimore, MD, pp. 807-817, (2014); Nguyen T.H., Grishman R., Relation extraction: perspective from convolutional neural networks, Proceedings of the 1st Workshop on Vector Space Modeling for Natural Language Processing, Denver, CO, pp. 39-48, (2015); Ni J., Florian R., Neural cross-lingual relation extraction based on bilingual word embedding mapping, Proceedings of the Conference on Empirical Methods in Natural Language Processing and the 9th International Joint Conference on Natural Language Processing (EMNLP-IJCNLP ‚Äò19), Hong Kong, pp. 399-409, (2019); Pessutto L.R.C., Vargas D.S., Moreira V.P., Multilingual aspect clustering for sentiment analysis, Knowledge-Based Systems, 192, pp. 1-15, (2020); Qin P., Xu W., Wang W., DSGAN: generative adversarial training for distant supervision relation extraction, Proceedings of the 56th Annual Meeting of the Association for Computational Linguistics, Melbourne, Australia, pp. 496-505, (2018); Rettinger A., Schumilin A., Thoma S., Ell B., Learning a cross-lingual semantic representation of relations expressed in text, Proceedings of the 12th Extended Semantic Web Conference (ESWC ‚Äò15), New York, NY, pp. 337-352, (2015); Roller R., Stevenson M., Self-supervised relation extraction using UMLS, Proceedings of the 37th International ACM SIGIR Conference on Research and Development in Information Retrieval, Gold Coast, Queensland, Australia, pp. 116-127, (2014); Rozenfeld B., Feldman R., Self-supervised relation extraction from the web, Knowledge and Information Systems, 17, 1, pp. 17-33, (2008); Ru C., Tang J., Li S., Xie S., Wang T., Using semantic similarity to reduce wrong labels in distant supervision for relation extraction, Information Processing and Management, 54, 4, pp. 593-608, (2018); Santos C., Xiang B., Zhou B., Classifying relations by ranking with convolutional neural networks, Proceedings of the 53rd Annual Meeting of the Association for Computational Linguistics and the 7th International Joint Conference on Natural Language Processing, Beijing, China, pp. 626-634, (2015); Shigeto Y., Suzuki I., Hara K., Shimbo M., Matsumoto Y., Ridge regression, hubness, and zero-shot learning, Proceedings of Joint European Conference on Machine Learning and Knowledge Discovery in Databases, Porto, Portugal, pp. 135-151, (2015); Tourille J., Ferret O., Neveol A., Tannier X., Neural architecture for temporal relation extraction: a bi-LSTM approach for detecting narrative containers, Proceedings of the 55th Annual Meeting of the Association for Computational Linguistics, Vancouver, Canada, pp. 224-230, (2017); Tran K., Bisazza A., Zero-shot dependency parsing with pre-trained multilingual sentence representations, Proceedings of the 2nd Workshop on Deep Learning Approaches for Low-Resource NLP (DeepLo ‚Äò19), Hong Kong, P.R.C., pp. 281-288, (2019); Upadhyay S., Gupta N., Dan R., Joint multilingual supervision for cross-lingual entity linking, Proceedings of the Conference on Empirical Methods in Natural Language Processing, Brussels, Belgium, pp. 2486-2495, (2018); Verga P., Belanger D., Strubell E., Roth B., McCallum A., Multilingual relation extraction using compositional universal schema, Proceedings of the Conference of the North American Chapter of the Association for Computational Linguistics: Human Language Technologies, San Diego, CA, pp. 886-896, (2016); Wang X., Han X., Lin Y., Liu Z., Sun M., Adversarial multi-lingual neural relation extraction, Proceedings of the 27th International Conference on Computational Linguistics, Santa Fe, NM, pp. 1156-1166, (2018); Xiao Y., Tan C., Fan Z., Xu Q., Zhu W., Joint entity and relation extraction with a hybrid transformer and reinforcement learning based model, Proceedings of Association for the Advance of Artificial Intelligence, New York, NY, pp. 9314-9321, (2020); Xie Q., Zhang X., Ding Y., Song M., Monolingual and multilingual topic analysis using LDA and BERT embeddings, Journal of Informetrics, 14, 3, pp. 1-16, (2020); Yu C., Wang M., An L., Research on the model of adversarial entity relation extraction in cross-lingual context, Library and Information Service, 64, 17, pp. 131-144, (2020); Zeng D., Liu K., Chen Y., Zhao J., Distant supervision for relation extraction via piecewise convolutional neural networks, Proceedings of the Conference on Empirical Methods in Natural Language Processing, Lisbon, Portugal, pp. 1753-1762, (2015); Zeng D., Liu K., Lai S., Zhou G., Zhao J., Relation classification via convolutional deep neural network, Proceedings of the 25th International Conference on Computational Linguistics: Technical Papers, pp. 2335-2344, (2014); Zhang C., Xu W., Ma Z., Gao S., Li Q., Guo J., Construction of semantic bootstrapping models for relation extraction, Knowledge-Based Systems, 83, pp. 128-137, (2015); Zhou G., Qian L., Fan J., Tree kernel-based semantic relation extraction with rich syntactic and semantic information, Information Sciences, 180, 8, pp. 1313-1325, (2010); Zou B., Xu Z., Hong Y., Zhou G., Adversarial feature adaptation for cross-lingual relation classification, Proceedings of the 27th International Conference on Computational Linguistics, Santa Fe, NM, pp. 437-448, (2018); Hui H., Li Y., Qian L., Zhou G., Parallel corpus-based bilingual co-training for relation classification, Proceedings of the Workshop on Chinese Lexical Semantics, pp. 350-361, (2016)</t>
  </si>
  <si>
    <t>C. Yu; School of Information and Safety Engineering, Zhongnan University of Economics and Law, Wuhan, China; email: yucm@zuel.edu.cn</t>
  </si>
  <si>
    <t>Emerald Group Holdings Ltd.</t>
  </si>
  <si>
    <t>ELLID</t>
  </si>
  <si>
    <t>Electron. Libr.</t>
  </si>
  <si>
    <t>2-s2.0-85111940292</t>
  </si>
  <si>
    <t>Zhang J.; Hong Y.; Zhou W.; Yao J.; Zhang M.</t>
  </si>
  <si>
    <t>Zhang, Jingli (57203780713); Hong, Yu (36157986300); Zhou, Wenxuan (57203781359); Yao, Jianmin (7403503281); Zhang, Min (56368409100)</t>
  </si>
  <si>
    <t>57203780713; 36157986300; 57203781359; 7403503281; 56368409100</t>
  </si>
  <si>
    <t>Interactive learning for joint event and relation extraction</t>
  </si>
  <si>
    <t>International Journal of Machine Learning and Cybernetics</t>
  </si>
  <si>
    <t>449.0</t>
  </si>
  <si>
    <t>461.0</t>
  </si>
  <si>
    <t>10.1007/s13042-019-00985-8</t>
  </si>
  <si>
    <t>https://www.scopus.com/inward/record.uri?eid=2-s2.0-85069637514&amp;doi=10.1007%2fs13042-019-00985-8&amp;partnerID=40&amp;md5=c116d2303880f494e21ffe18f5e15b2b</t>
  </si>
  <si>
    <t>The school of Computer Science and Technology in Soochow University (viz., Suzhou University), Suzhou, Jiangsu, China</t>
  </si>
  <si>
    <t>Zhang J., The school of Computer Science and Technology in Soochow University (viz., Suzhou University), Suzhou, Jiangsu, China; Hong Y., The school of Computer Science and Technology in Soochow University (viz., Suzhou University), Suzhou, Jiangsu, China; Zhou W., The school of Computer Science and Technology in Soochow University (viz., Suzhou University), Suzhou, Jiangsu, China; Yao J., The school of Computer Science and Technology in Soochow University (viz., Suzhou University), Suzhou, Jiangsu, China; Zhang M., The school of Computer Science and Technology in Soochow University (viz., Suzhou University), Suzhou, Jiangsu, China</t>
  </si>
  <si>
    <t>We tackle the problems of both event and entity relation extraction, and come up with a novel method to implement joint extraction: iteratively interactive learning. This method is motivated by the empirical findings as below: the extracted event attributes (e.g., trigger and event type) can be used as the reliable features for the recognition of entity relation types, and vice versa. Accordingly, on one hand, we utilize the predicted event attributes (by a certain event extraction system) to remodel the distributed representations of features for entity relation extraction, and on the other hand, we use entity relations (recognized by a certain relation extraction system) to remodel the features for event extraction. This enables a double-channel task-independent joint model with an interactive learning: learning events for relation extraction, and meanwhile learning relations for event extraction. In practice, we perform the interactive learning in an iterative manner, so as to boost the joint model progressively. Methodologically, we take the neural network of bidirectional long short-term memory (Bi-LSTM) for learning event and relation respectively. And as usual, the attention mechanism is used. In our experiments, the automatic content extraction corpus is used for the evaluation of the proposed method. Such a corpus consists of event, entity and relation samples with gold-standard attribute tags. Experimental results show that our method outperforms the baselines (Bi-LSTMs with attention without interactive learning) in both event and relation extraction tasks, yielding performance gains of about 1.6% and 1.8% F-scores respectively, at the condition of low-resource setting. ¬© 2019, Springer-Verlag GmbH Germany, part of Springer Nature.</t>
  </si>
  <si>
    <t>Event detection; Interactive learning; Relation extraction</t>
  </si>
  <si>
    <t>Educational technology; Extraction; Information analysis; Iterative methods; Long short-term memory; Attention mechanisms; Distributed representation; Entity relation extractions; Event detection; Interactive learning; Learning relations; Low-resource settings; Relation extraction; Learning systems</t>
  </si>
  <si>
    <t>National Natural Science Foundation of China, NSFC, (2017 YFB1002104, 61672367, 61672368); National Science Fund for Distinguished Young Scholars, (61525205)</t>
  </si>
  <si>
    <t xml:space="preserve"> This work was supported by the National Science Fund for Distinguished Young Scholars (no. 61525205), and was supported by the National Natural Science Foundation of China (nos. 61672367, 61672368, and 2017 YFB1002104). </t>
  </si>
  <si>
    <t>Ahn D., The stages of event extraction, Proceedings of the Workshop on Annotating and Reasoning about Time and Events, pp. 1-8, (2006); Chen Y., Liu S., Zhang X., Liu K., Zhao J., Automatically labeled data generation for large scale event extraction, Proceedings of the 55Th Annual Meeting of the Association for Computational Linguistics (Volume 1: Long Papers), 1, pp. 409-419, (2017); Chen Y., Xu L., Liu K., Zeng D., Zhao J., Et al., Event extraction via dynamic multi-pooling convolutional neural networks, ACL, 1, pp. 167-176, (2015); Christopoulou F., Miwa M., Ananiadou S., A walk-based model on entity graphs for relation extraction, Proceedings of the 56Th Annual Meeting of the Association for Computational Linguistics, 2, pp. 81-88, (2018); Collobert R., Weston J., A unified architecture for natural language processing: Deep neural networks with multitask learning, Proceedings of the 25Th International Conference on Machine Learning, pp. 160-167, (2008); Doddington G.R., Mitchell A., Przybocki M.A., Ramshaw L.A., Strassel S., Weischedel R.M., The automatic content extraction (ACE) program-tasks, data, and evaluation, LREC, 2, (2004); Feng X., Huang L., Tang D., Ji H., Qin B., Liu T., A language-independent neural network for event detection, Proceedings of the 54Th Annual Meeting of the Association for Computational Linguistics (Volume 2: Short Papers), 2, pp. 66-71, (2016); He D., Xia Y., Qin T., Wang L., Yu N., Liu T., Ma W.Y., Dual learning for machine translation, Advances in Neural Information Processing Systems, pp. 820-828, (2016); Hong Y., Zhang J., Ma B., Yao J., Zhou G., Zhu Q., Using cross-entity inference to improve event extraction, Proceedings of the 49Th Annual Meeting of the Association for Computational Linguistics: Human Language Technologies-Volume 1. Association for Computational Linguistics, pp. 1127-1136, (2011); Hong Y., Zhou W., Zhou G., Zhu Q., Et al., Self-regulation: Employing a generative adversarial network to improve event detection, Proceedings of the 56Th Annual Meeting of the Association for Computational Linguistics, 1, pp. 515-526, (2018); Ji H., Grishman R., Refining event extraction through cross-document inference, Proceedings of ACL-08: HLT, pp. 254-262, (2008); Jinxiu C., Ji T., Unsupervised feature selection for relation extraction, (2005); Li Q., Ji H., Incremental joint extraction of entity mentions and relations, Proceedings of the 52Nd Annual Meeting of the Association for Computational Linguistics, 1, pp. 402-412, (2014); Li Q., Ji H., Huang L., Joint event extraction via structured prediction with global features, ACL (1), pp. 73-82, (2013); Liao S., Grishman R., Using document level cross-event inference to improve event extraction, Proceedings of the 48Th Annual Meeting of the Association for Computational Linguistics. Association for Computational Linguistics, pp. 789-797, (2010); Lin Y., Shen S., Liu Z., Luan H., Sun M., Neural relation extraction with selective attention over instances, Proceedings of the 54Th Annual Meeting of the Association for Computational Linguistics (Volume 1: Long Papers), 1, pp. 2124-2133, (2016); Liu J., Chen Y., Liu K., Zhao J., Event detection via gated multilingual attention mechanism, Statistics, 1000, (2018); Liu S., Chen Y., Liu K., Zhao J., Exploiting argument information to improve event detection via supervised attention mechanisms, 1, pp. 1789-1797, (2017); Mikolov T., Chen K., Corrado G., Dean J., Efficient estimation of word representations in vector space, (2013); Miwa M., Bansal M., End-to-end relation extraction using lstms on sequences and tree structures, (2016); Nguyen T.H., Cho K., Grishman R., Joint event extraction via recurrent neural networks, HLT-NAACL, pp. 300-309, (2016); Nguyen T.H., Grishman R., Event detection and domain adaptation with convolutional neural networks, ACL, 2, pp. 365-371, (2015); Pawar S., Bhattacharya P., Palshikar G.K., End-to-end relation extraction using markov logic networks, International Conference on Intelligent Text Processing and Computational Linguistics, pp. 535-551, (2016); Qian L., Zhou G., Kong F., Zhu Q., Qian P., Exploiting constituent dependencies for tree kernel-based semantic relation extraction, Proceedings of the 22Nd International Conference on Computational Linguistics, 1, pp. 697-704, (2008); Tang D., Qin B., Liu T., Document modeling with gated recurrent neural network for sentiment classification, Proceedings of the 2015 Conference on Empirical Methods in Natural Language Processing, pp. 1422-1432, (2015); Turian J., Ratinov L., Bengio Y., Word representations: A simple and general method for semi-supervised learning, Proceedings of the 48Th Annual Meeting of the Association for Computational Linguistics. Association for Computational Linguistics, pp. 384-394, (2010); Yan X., Mou L., Li G., Chen Y., Peng H., Jin Z., Classifying relations via long short term memory networks along shortest dependency path, (2015)</t>
  </si>
  <si>
    <t>Y. Hong; The school of Computer Science and Technology in Soochow University (viz., Suzhou University), Suzhou, China; email: tianxianer@gmail.com</t>
  </si>
  <si>
    <t>Intl. J. Mach. Learn. Cybern.</t>
  </si>
  <si>
    <t>2-s2.0-85069637514</t>
  </si>
  <si>
    <t>Du J.; Jiang H.; Shen J.; Ren X.</t>
  </si>
  <si>
    <t>Du, Junyi (57216613581); Jiang, He (57203858687); Shen, Jiaming (57200213994); Ren, Xiang (58619993600)</t>
  </si>
  <si>
    <t>57216613581; 57203858687; 57200213994; 58619993600</t>
  </si>
  <si>
    <t>Eliciting knowledge from experts: Automatic transcript parsing for cognitive task analysis</t>
  </si>
  <si>
    <t>ACL 2019 - 57th Annual Meeting of the Association for Computational Linguistics, Proceedings of the Conference</t>
  </si>
  <si>
    <t>4280.0</t>
  </si>
  <si>
    <t>4291.0</t>
  </si>
  <si>
    <t>https://www.scopus.com/inward/record.uri?eid=2-s2.0-85084037719&amp;partnerID=40&amp;md5=c190088f84200fd666bf72aafe37da37</t>
  </si>
  <si>
    <t>Department of Computer Science, University of Southern California, United States; Department of Computer Science, University of Illinois at Urbana-Champaign, United States</t>
  </si>
  <si>
    <t>Du J., Department of Computer Science, University of Southern California, United States; Jiang H., Department of Computer Science, University of Southern California, United States; Shen J., Department of Computer Science, University of Illinois at Urbana-Champaign, United States; Ren X., Department of Computer Science, University of Southern California, United States</t>
  </si>
  <si>
    <t>Cognitive task analysis (CTA) is a type of analysis in applied psychology aimed at eliciting and representing the knowledge and thought processes of domain experts. In CTA, often heavy human labor is involved to parse the interview transcript into structured knowledge (e.g., flowchart for different actions). To reduce human efforts and scale the process, automated CTA transcript parsing is desirable. However, this task has unique challenges as (1) it requires the understanding of long-range context information in conversational text; and (2) the amount of labeled data is limited and indirect-i.e., context-aware, noisy, and low-resource. In this paper, we propose a weakly-supervised information extraction framework for automated CTA transcript parsing. We partition the parsing process into a sequence labeling task and a text span-pair relation extraction task, with distant supervision from human-curated protocol files. To model long-range context information for extracting sentence relations, neighbor sentences are involved as a part of input. Different types of models for capturing context dependency are then applied. We manually annotate real-world CTA transcripts to facilitate the evaluation of the parsing tasks1. ¬© 2019 Association for Computational Linguistics</t>
  </si>
  <si>
    <t>Context free grammars; Job analysis; Labeled data; Cognitive task analysis; Context aware ,; Context dependency; Context information; Relation extraction; Sequence Labeling; Structured knowledge; Thought process; Syntactics</t>
  </si>
  <si>
    <t>Google Research Award, and JP Morgan AI; Schmidt Family Foundation; National Science Foundation, NSF, (SMA 18-29268); National Science Foundation, NSF</t>
  </si>
  <si>
    <t>This work has been supported in part by National Science Foundation SMA 18-29268, Schmidt Family Foundation, Amazon Faculty Award, Google Research Award, and JP Morgan AI Research Award. We would like to thank all the collaborators in INK research lab for their constructive feedback on the work. We thank the anonymous reviewers for their valuable feedback.</t>
  </si>
  <si>
    <t>Radford T.S.A., Narasimhan K., Sutskever I., Improving Language Understanding with Unsupervised Learning, (2018); Ando R.K., Zhang T., A framework for learning predictive structures from multiple tasks and unlabeled data, Journal of Machine Learning Research, 6, pp. 1817-1853, (2005); Chaplot D.S., MacLellan C., Salakhutdinov R., Koedinger K.R., Learning Cognitive Models Using Neural Networks, (2018); Clark R.E., Estes F., Cognitive task analysis for training, International Journal of Educational Research, 25, 5, pp. 403-417, (1996); Dai A.M., Le Q.V., Semi-supervised sequence learning, Advances in Neural Information Processing Systems, pp. 3079-3087, (2015); Devlin J., Chang M.-W., Lee K., Toutanova K., BERT: Pre-Training of Deep Bidirectional Transformers for Language Understanding, (2018); Finkel J.R., Grenager T., Manning C., Incorporating non-local information into information extraction systems by gibbs sampling, Proceedings of the 43rd Annual Meeting on Association for Computational Linguistics, pp. 363-370, (2005); Huang Z., Xu W., Yu K., Bidirectional Lstm-Crf Models for Sequence Tagging, (2015); Li N., Stampfer E., Cohen W., Koedinger K., General and efficient cognitive model discovery using a simulated student, Proceedings of the Annual Meeting of the Cognitive Science Society, 35, (2013); Liu L., Lu Y., Yang M., Qu Q., Zhu J., Li H., Generative Adversarial Network for Abstractive Text Summarization, (2018); Liu L., Shang J., Xu F.F., Ren X., Gui H., Peng J., Han J., Empower Sequence Labeling with Task-Aware Neural Language Model, (2017); Mikolov T., Sutskever I., Chen K., Corrado G.S., Dean J., Distributed representations of words and phrases and their compositionality, Advances in Neural Information Processing Systems, pp. 3111-3119, (2013); Nallapati R., Zhou B., Gulcehre C., Xiang B., Et al., Abstractive Text Summarization Using Sequence-to-Sequence Rnns and beyond, (2016); Park H., Nezhad H.R.M., Learning procedures from text: Codifying how-to procedures in deep neural networks, Companion Proceedings of the the Web Conference 2018, WWW'18, pp. 351-358, (2018); Pennington J., Socher R., Manning C.D., Glove: Global vectors for word representation, Empirical Methods in Natural Language Processing (EMNLP), pp. 1532-1543, (2014); Peters M.E., Neumann M., Iyyer M., Gardner M., Clark C., Lee K., Zettlemoyer L., Deep contextualized word representations, Proc. Of NAACL., (2018); Ramshaw L.A., Marcus M.P., Text chunking using transformation-based learning, Natural Language Processing Using Very Large Corpora, pp. 157-176, (1999); Roose K., Veinott E., Mueller S., The Tracer Method: The Dynamic Duo Combining Cognitive Task Analysis and Eye Tracking, (2018); Schraagen J.M., Chipman S.F., Shalin V.L., Cognitive Task Analysis, (2000); Seamster T.L., Redding R.E., Applied Cognitive Task Analysis in Aviation, (2017); Shen D., Sun J.-T., Li H., Yang Q., Chen Z., Document summarization using conditional random fields, IJCAI, 7, pp. 2862-2867, (2007); Talman A., Yli-Jyr A., Tiedemann J., Natural Language Inference with Hierarchical Bilstm Max Pooling Architecture, (2018); Woods D.D., Et al., Cognitive task analysis: An approach to knowledge acquisition for intelligent system design, Studies in Computer Science and Artificial Intelligence, 5, pp. 233-264, (1989); Zeng D., Liu K., Chen Y., Zhao J., Distant supervision for relation extraction via piecewise convolutional neural networks, Proceedings of the 2015 Conference on Empirical Methods in Natural Language Processing, pp. 1753-1762, (2015); Zeng D., Liu K., Lai S., Zhou G., Zhao J., Et al., Relation Classification Via Convolutional Deep Neural Network, (2014); Zhang Y., Zhong V., Chen D., Angeli G., Manning C.D., Position-aware attention and supervised data improve slot filling, Proceedings of the 2017 Conference on Empirical Methods in Natural Language Processing, pp. 35-45, (2017); Zhong C., Yen J., Liu P., Erbacher R., Etoty R., Garneau C., An integrated computer-aided cognitive task analysis method for tracing cyber-attack analysis processes, Proceedings of the 2015 Symposium and Boot-Camp on the Science of Security, HotSoS'15, pp. 91-911, (2015)</t>
  </si>
  <si>
    <t>Apple; ASAPP; Bloomberg Engineering; BOSCH; et al.; Expedia</t>
  </si>
  <si>
    <t>57th Annual Meeting of the Association for Computational Linguistics, ACL 2019</t>
  </si>
  <si>
    <t>28 July 2019 through 2 August 2019</t>
  </si>
  <si>
    <t>Florence</t>
  </si>
  <si>
    <t>159206.0</t>
  </si>
  <si>
    <t>978-195073748-2</t>
  </si>
  <si>
    <t>ACL - Annu. Meet. Assoc. Comput. Linguist., Proc. Conf.</t>
  </si>
  <si>
    <t>2-s2.0-85084037719</t>
  </si>
  <si>
    <t>Cross-lingual transfer learning for relation extraction using Universal Dependencies</t>
  </si>
  <si>
    <t>Computer Speech and Language</t>
  </si>
  <si>
    <t>10.1016/j.csl.2021.101265</t>
  </si>
  <si>
    <t>https://www.scopus.com/inward/record.uri?eid=2-s2.0-85111004456&amp;doi=10.1016%2fj.csl.2021.101265&amp;partnerID=40&amp;md5=142f7eb4a3acd2cd227f43e102ce2f69</t>
  </si>
  <si>
    <t>School of Electrical and Computer Engineering, College of Engineering, University of Tehran, Tehran, Iran</t>
  </si>
  <si>
    <t>Taghizadeh N., School of Electrical and Computer Engineering, College of Engineering, University of Tehran, Tehran, Iran; Faili H., School of Electrical and Computer Engineering, College of Engineering, University of Tehran, Tehran, Iran</t>
  </si>
  <si>
    <t>This paper focuses on the task of cross-language relation extraction, which aims to identify the semantic relations holding between entities in the text. The goal of the task is to train classifiers for low-resource languages by means of the annotated data from high-resource languages. Related methods usually employ parallel data or Machine Translator (MT) to project annotated data from a source to a target language. However, the availability and the quality of parallel data and MT are big challenges for low-resource languages. In this paper, a novel transfer learning method is presented for this task. The key idea is to utilize a tree-based representation of data, which is highly informative for classifying semantic relations, and also shared among different languages. All the training and test data are shown using this representation. We propose to use the Universal Dependency (UD) parsing, which is a language-agnostic formalism for representation of syntactic structures. Equipping UD parse trees with multi-lingual word embeddings makes an ideal representation for the cross-language relation extraction task. We propose two deep networks to use this representation. The first one utilizes the Shortest Dependency Path of UD trees, while the second employs the UD-based positional embeddings. Experiments are performed using SemEval 2010-task 8 training data, whereas French and Farsi are the test languages. The results show 63.9% and 56.2% F1 scores, for French and Farsi test data, respectively, which are 14.4% and 17.9% higher than the baseline. This work can be considered a simple yet powerful baseline for further investigation into the cross-language tasks. ¬© 2021</t>
  </si>
  <si>
    <t>Dependency context; Relation extraction; Tree-based models; Universal Dependency Parsing</t>
  </si>
  <si>
    <t>Embeddings; Extraction; Learning systems; Semantics; Syntactics; Transfer learning; Cross languages; Low resource languages; Parallel data; Relation extraction; Semantic relations; Syntactic structure; Target language; Transfer learning methods; Trees (mathematics)</t>
  </si>
  <si>
    <t>Ammar W., Mulcaire G., Tsvetkov Y., Lample G., Dyer C., Smith N.A., Massively multilingual word embeddings, (2016); Anon W., Introducing to universal dependencies, (2020); pp. 2895-2905, (2019); Bojanowski P., Grave E., Joulin A., Mikolov T., Enriching word vectors with subword information, (2016); Cai R., Zhang X., Wang H., pp. 756-765, (2016); Chen Z., Ji H., pp. 66-74, (2009); Choi M., Kim H., Social relation extraction from texts using a support-vector-machine-based dependency trigram kernel, Inf. Process. Manage., 49, 1, pp. 303-311, (2013); Das A., Sarkar S., A survey of the model transfer approaches to cross-lingual dependency parsing, ACM Trans. Asian Low-Resour. Lang. Inform. Process. (TALLIP), 19, 5, pp. 1-60, (2020); Devlin J., Chang M.-W., Lee K., Toutanova K., BERT: Pre-training of deep bidirectional transformers for language understanding, (2018); Doddington G.R., Mitchell A., Przybocki M.A., Ramshaw L.A., Strassel S., Weischedel R.M., The automatic content extraction (ACE) program-tasks, data, and evaluation, LREC, 2, pp. 837-840, (2004); Faruqui M., Kumar S., (2015); Geng Z., Chen G., Han Y., Lu G., Li F., Semantic relation extraction using sequential and tree-structured lstm with attention, Inform. Sci., 509, pp. 183-192, (2020); Hashimoto K., Stenetorp P., Miwa M., Tsuruoka Y., (2015); Hendrickx I., Kim S.N., Kozareva Z., Nakov P., (2010); Kim S., Jeong M., Lee J., Lee G.G., Cross-lingual annotation projection for weakly-supervised relation extraction, ACM Trans. Asian Lang. Inform. Process. (TALIP), 13, 1, (2014); Lai S., Xu L., Liu K., Zhao J., pp. 2267-2273, (2015); Longhua Q., Haotian H., Ya'nan H., Guodong Z., Qiaoming Z., pp. 582-592, (2014); Luo X., Zhou W., Wang W., Zhu Y., Deng J., Attention-based relation extraction with bidirectional gated recurrent unit and highway network in the analysis of geological data, IEEE Access, 6, pp. 5705-5715, (2017); McDonald R., Nivre J., Quirmbach-Brundage Y., Goldberg Y., Das D., Ganchev K., Hall K., Petrov S., Zhang H., Tackstrom O., Et al., pp. 92-97; Min B., Jiang Z., Freedman M., Weischedel R., pp. 674-684, (2017); Nguyen T.H., Plank B., Grishman R., pp. 635-644; Nivre J., pp. 86-95, (2017); Nivre J., Et al., (2016); Plank B., Moschitti A., pp. 1498-1507, (2013); Qin P., Xu W., Guo J., pp. 4356-4362, (2017); Rink B., Harabagiu S.U., pp. 256-259, (2010); Straka M., Hajic J., Strakova J., pp. 208-220, (2015); Straka M., Strakova J., pp. 88-99, (2017); Subburathinam A., Lu D., Ji H., May J., Chang S.-F., Sil A., Voss C., pp. 313-325, (2019); Taghizadeh N., Faili H., Cross-lingual adaptation using universal dependencies, Trans. Asian Low-Resour. Lang. Inform. Process., 20, 4, pp. 1-23, (2021); Taghizadeh N., Faili H., Maleki J., Cross-language learning for arabic relation extraction, Procedia Comput. Sci., 142, pp. 190-197, (2018); Tai K.S., Socher R., Manning C.D., Improved semantic representations from tree-structured long short-term memory networks, Proceedings of the 53rd Annual Meeting of the Association for Computational Linguistics and the 7th International Joint Conference on Natural Language Processing (Volume 1: Long Papers), pp. 1556-1566, (2015); Vu N.T., Adel H., Gupta P., Schutze H., pp. 534-539, (2016); Wang L., Cao Z., pp. 1298-1307, (2016); Wang D., Tiwari P., Garg S., Zhu H., Bruza P., Structural block driven enhanced convolutional neural representation for relation extraction, Appl. Soft Comput., 86, (2020); Xu K., Feng Y., Huang S., Zhao D., pp. 536-540, (2015); Xu Y., Jia R., Mou L., Li G., Chen Y., Lu Y., Jin Z., pp. 1461-1470, (2016); Xu Y., Mou L., Li G., Chen Y., Peng H., Jin Z., pp. 1785-1794, (2015); Zhou P., Shi W., Tian J., Qi Z., Li B., Hao H., Xu B., pp. 207-212, (2016); Zou B., Xu Z., Hong Y., Zhou G., pp. 437-448, (2018)</t>
  </si>
  <si>
    <t>N. Taghizadeh; School of Electrical and Computer Engineering, College of Engineering, University of Tehran, Tehran, Iran; email: nsr.taghizadeh@ut.ac.ir</t>
  </si>
  <si>
    <t>Academic Press</t>
  </si>
  <si>
    <t>CSPLE</t>
  </si>
  <si>
    <t>Comput Speech Lang</t>
  </si>
  <si>
    <t>2-s2.0-85111004456</t>
  </si>
  <si>
    <t>Saheb-Nassagh R.; Asgari M.; Minaei-Bidgoli B.</t>
  </si>
  <si>
    <t>Saheb-Nassagh, Raana (57218441944); Asgari, Majid (57211520698); Minaei-Bidgoli, Behrouz (57189260415)</t>
  </si>
  <si>
    <t>57218441944; 57211520698; 57189260415</t>
  </si>
  <si>
    <t>RePersian:An Efficient Open Information Extraction Tool in Persian</t>
  </si>
  <si>
    <t>2020 6th International Conference on Web Research, ICWR 2020</t>
  </si>
  <si>
    <t>93.0</t>
  </si>
  <si>
    <t>99.0</t>
  </si>
  <si>
    <t>10.1109/ICWR49608.2020.9122301</t>
  </si>
  <si>
    <t>https://www.scopus.com/inward/record.uri?eid=2-s2.0-85089181082&amp;doi=10.1109%2fICWR49608.2020.9122301&amp;partnerID=40&amp;md5=950465d2330eabb2fac889446048b1da</t>
  </si>
  <si>
    <t>Iran University of Science and Technology, Department of Computer Engineering, Tehran, Iran</t>
  </si>
  <si>
    <t>Saheb-Nassagh R., Iran University of Science and Technology, Department of Computer Engineering, Tehran, Iran; Asgari M., Iran University of Science and Technology, Department of Computer Engineering, Tehran, Iran; Minaei-Bidgoli B., Iran University of Science and Technology, Department of Computer Engineering, Tehran, Iran</t>
  </si>
  <si>
    <t>Relation extraction is the task of extracting semantic information from raw data. One of the key points in the area of open information extraction systems is the ability to extract relation information automatically for any domains, especially in web mining and web research. Many researches have been done in this field for relation extraction in different languages. Many relation extraction algorithms work based on parsing trees. The Persian language, as a low-resource language, has a dependency grammar and lexical structure which makes the dependency parsing difficult or time-consuming, and it affects the speed of relation extraction in many cases. In this paper, we will introduce RePersian which is a fast method for relation extraction in Persian. Our proposed work is based on part-of-speech (POS) tags of a sentence and particular relation patterns. To achieve these patterns, we have analyzed sentence structures in the Persian language. RePersian searches through the POS-tags for finding the relation patterns, which are given in regular expression forms. In this way, RePersian finds semantic relations by matching the correct POS pattern to a relation pattern. We test and evaluate our method on the Dadegan, Persian dependency tree dataset, with two different POS tag-sets. Our approach had on average a precision of 78.05% on finding the first argument of a relation, a precision of 80.4% in finding the second argument and precision of 54.85% on finding the right relation between the arguments. ¬© 2020 IEEE.</t>
  </si>
  <si>
    <t>Persian language; POS Tag; Regex; Relation extraction</t>
  </si>
  <si>
    <t>Context free grammars; Forestry; Formal languages; Information retrieval; Rhenium compounds; Semantics; Statistical tests; Syntactics; Information extraction systems; Information extraction tools; Low resource languages; Part-of-speech tags; Regular expressions; Relation information; Semantic information; Sentence structures; Data mining</t>
  </si>
  <si>
    <t>Banko M., Cafarella M.J., Soderland S., Broadhead M., Etzioni O., Open information extraction from the web, InIjcai, 7, pp. 2670-2676, (2007); Wu F., Weld D.S., Open information extraction using wikipedia, Proceedings of the 48th Annual Meeting of the Association for Computational Linguistics, 11, pp. 118-127, (2010); Fader A., Soderland S., Etzioni O., Identifying relations for open information extraction, Proceedings of the Conference on Empirical Methods in Natural Language Processing, 27, pp. 1535-1545, (2011); Etzioni O., Fader A., Christensen J., Soderland S., Open information extraction: The second generation, Twenty-Second International Joint Conference on Artificial Intelligence, 28, (2011); Rasooli M.S., Kouhestani M., Moloodi A., Development of a persian syntactic dependency treebank, Proceedings of the 2013 Conference of the North American Chapter of the Association for Computational Linguistics: Human Language Technologies, pp. 306-314, (2013); Bach N., Badaskar S., A review of relation extraction, Literature Review for Language and Statistics Ii. Language Technolgies Institute, Carnegie Mellon University, (2007); Banko M., Cafarella M.J., Soderland S., Broadhead M., Etzioni O., Open information extraction from the web, InIjcai, 7, pp. 2670-2676, (2007); Konstantinova N., Review of relation extraction methods: What is new out there?, International Conference on Analysis of Images, Social Networks and Texts, 10, pp. 15-28, (2014); Culotta A., Sorensen J., Dependency tree kernels for relation extraction, Proceedings of the 42nd Annual Meeting on Association for Computational Linguistics, (2004); Haghshenas A.M., Samie Gilani A., Vahidian Kamyar T., Davodi H., Zolfaghari H., Sangari M.R., Omrani G.R., Ghasempour Moghaddam H., Mirjafari S.A., Persian Language 2 (Written in Persian, (2015); Regular Expression Tutorial-Learn How to Use Regular Expressions; Mitkov R., The Oxford Handbook of Computational Linguistics, (2004); Lawson M.V., Finite Automata, 17, (2003); Watt A., Beginning Regular Expressions, 4, (2005); PyRegex, (2012); Shamsfard M., Hesabi A., Fadaei H., Mansoory N., Famian A., Bagherbeigi S., Fekri E., Monshizadeh M., Assi S.M., Semi automatic development of farsnet; The persian wordnet, Proceedings of 5th Global WordNet Conference, 29, (2010); Fadaei H., Shamsfard M., Extracting conceptual relations from persian resources, 2010 Seventh International Conference on Information Technology: New Generations, 12, pp. 244-248, (2010); Bagherbeygi S., Shamsfard M., Corpus based semi-Automatic extraction of persian compound verbs and their relations, Lrec, pp. 2863-2867, (2012); Shamsfard M., Lexico-syntactic and semantic patterns for extracting knowledge from persian texts, International Journal on Computer Sciences and Engineering, 2, 6, pp. 2190-2196, (2010); Golshan P.N., Dashti H.R., Azizi S., Safari L., A Study of Recent Contributions on Information Extraction, (2018); Socher R., Huval B., Manning C.D., Ng A.Y., Semantic compositionality through recursive matrix-vector spaces, Proceedings of the 2012 Joint Conference on Empirical Methods in Natural Language Processing and Computational Natural Language Learning, 12, pp. 1201-1211, (2012); Nguyen T.H., Grishman R., Relation extraction: Perspective from convolutional neural networks, Proceedings of the 1st Workshop on Vector Space Modeling for Natural Language Processing, pp. 39-48, (2015); Sahu S.K., Anand A., Oruganty K., Gattu M., Relation Extraction from Clinical Texts Using Domain Invariant Convolutional Neural Network, (2016); Li P., Huang H., Clinical Information Extraction Via Convolutional Neural Network, (2016); Chen P.Y., Lee Y.H., Wu Y.H., Ma W.Y., Iexm: Information extraction system for movies, Proceedings of the 26th International Conference on World Wide Web Companion, 3, pp. 189-193, (2017); Kate R.J., Mooney R.J., Joint entity and relation extraction using card-pyramid parsing, Proceedings of the Fourteenth Conference on Computational Natural Language Learning, 15, pp. 203-212, (2010)</t>
  </si>
  <si>
    <t>R. Saheb-Nassagh; Iran University of Science and Technology, Department of Computer Engineering, Tehran, Iran; email: r_sahebnassagh@comp.iust.ac.ir</t>
  </si>
  <si>
    <t>6th International Conference on Web Research, ICWR 2020</t>
  </si>
  <si>
    <t>22 April 2020 through 23 April 2020</t>
  </si>
  <si>
    <t>Tehran</t>
  </si>
  <si>
    <t>161414.0</t>
  </si>
  <si>
    <t>978-172811051-6</t>
  </si>
  <si>
    <t>Int. Conf. Web Res., ICWR</t>
  </si>
  <si>
    <t>2-s2.0-85089181082</t>
  </si>
  <si>
    <t>Paolini G.; Athiwaratkun B.; Krone J.; Ma J.; Achille A.; Anubhai R.; dos Santos C.N.; Xiang B.; Soatto S.</t>
  </si>
  <si>
    <t>Paolini, Giovanni (57193899601); Athiwaratkun, Ben (57194874763); Krone, Jason (57216692040); Ma, Jie (57219736049); Achille, Alessandro (57200414453); Anubhai, Rishita (55490569100); dos Santos, Cicero Nogueira (55665418300); Xiang, Bing (7005065960); Soatto, Stefano (7004080670)</t>
  </si>
  <si>
    <t>57193899601; 57194874763; 57216692040; 57219736049; 57200414453; 55490569100; 55665418300; 7005065960; 7004080670</t>
  </si>
  <si>
    <t>STRUCTURED PREDICTION AS TRANSLATION BETWEEN AUGMENTED NATURAL LANGUAGES</t>
  </si>
  <si>
    <t>ICLR 2021 - 9th International Conference on Learning Representations</t>
  </si>
  <si>
    <t>205.0</t>
  </si>
  <si>
    <t>https://www.scopus.com/inward/record.uri?eid=2-s2.0-85150251191&amp;partnerID=40&amp;md5=d88393da5fb053cfb15a18b4d820ce4f</t>
  </si>
  <si>
    <t>Amazon Web Services</t>
  </si>
  <si>
    <t>Paolini G., Amazon Web Services; Athiwaratkun B., Amazon Web Services; Krone J., Amazon Web Services; Ma J., Amazon Web Services; Achille A., Amazon Web Services; Anubhai R., Amazon Web Services; dos Santos C.N., Amazon Web Services; Xiang B., Amazon Web Services; Soatto S., Amazon Web Services</t>
  </si>
  <si>
    <t>We propose a new framework, Translation between Augmented Natural Languages (TANL), to solve many structured prediction language tasks including joint entity and relation extraction, nested named entity recognition, relation classification, semantic role labeling, event extraction, coreference resolution, and dialogue state tracking. Instead of tackling the problem by training task-specific discriminative classifiers, we frame it as a translation task between augmented natural languages, from which the task-relevant information can be easily extracted. Our approach can match or outperform task-specific models on all tasks, and in particular, achieves new state-of-the-art results on joint entity and relation extraction (CoNLL04, ADE, NYT, and ACE2005 datasets), relation classification (FewRel and TACRED), and semantic role labeling (CoNLL-2005 and CoNLL-2012). We accomplish this while using the same architecture and hyperparameters for all tasks and even when training a single model to solve all tasks at the same time (multi-task learning). Finally, we show that our framework can also significantly improve the performance in a low-resource regime, thanks to better use of label semantics. ¬© 2021 ICLR 2021 - 9th International Conference on Learning Representations. All rights reserved.</t>
  </si>
  <si>
    <t>Classification (of information); Learning systems; Semantics; Translation (languages); Coreference resolution; Entity extractions; Events extractions; Named entity recognition; Natural languages; Relation classifications; Relation extraction; Semantic role labeling; State tracking; Structured prediction; Extraction</t>
  </si>
  <si>
    <t>Athiwaratkun Ben, dos Santos Nogueira Cicero, Krone Jason, Xiang Bing, Augmented natural language for generative sequence labeling, Proceedings of the 2020 Conference on Empirical Methods in Natural Language Processing (EMNLP), pp. 375-385, (2020); Baevski Alexei, Edunov Sergey, Liu Yinhan, Zettlemoyer Luke, Auli Michael, Cloze-driven pretraining of self-attention networks, Proceedings of the 2019 Conference on Empirical Methods in Natural Language Processing and the 9th International Joint Conference on Natural Language Processing, EMNLP-IJCNLP 2019, pp. 5359-5368, (2019); Brown Tom B., Mann Benjamin, Ryder Nick, Subbiah Melanie, Kaplan Jared, Dhariwal Prafulla, Neelakantan Arvind, Shyam Pranav, Sastry Girish, Askell Amanda, Agarwal Sandhini, Herbert-Voss Ariel, Krueger Gretchen, Henighan Tom, Child Rewon, Ramesh Aditya, Ziegler Daniel M., Wu Jeffrey, Winter Clemens, Hesse Christopher, Chen Mark, Sigler Eric, Litwin Mateusz, Gray Scott, Chess Benjamin, Clark Jack, Berner Christopher, McCandlish Sam, Radford Alec, Sutskever Ilya, Amodei Dario, Language models are few-shot learners, (2020); Carreras Xavier, Marquez Lluis, Introduction to the conll-2005 shared task: Semantic role labeling, Proceedings of the Ninth Conference on Computational Natural Language Learning, CoNLL 2005, pp. 152-164, (2005); Changpinyo Soravit, Hu Hexiang, Sha Fei, Multi-task learning for sequence tagging: An empirical study, Proceedings of the 27th International Conference on Computational Linguistics, COLING 2018, pp. 2965-2977, (2018); Chen Jun, Hoehndorf Robert, Elhoseiny Mohamed, Zhang Xiangliang, Efficient long-distance relation extraction with dg-spanbert, CoRR, (2020); Choe Do Kook, Charniak Eugene, Parsing as language modeling, Proceedings of the 2016 Conference on Empirical Methods in Natural Language Processing, pp. 2331-2336, (2016); Collins Michael, Discriminative training methods for hidden Markov models: Theory and experiments with perceptron algorithms, Proceedings of the 2002 Conference on Empirical Methods in Natural Language Processing (EMNLP 2002), pp. 1-8, (2002); Collobert Ronan, Weston Jason, Bottou Leon, Karlen Michael, Kavukcuoglu Koray, Kuksa Pavel, Natural language processing (almost) from scratch, J. Mach. Learn. Res, 12, pp. 2493-2537, (2011); Devlin Jacob, Chang Ming-Wei, Lee Kenton, Toutanova Kristina, BERT: pre-training of deep bidirectional transformers for language understanding, Proceedings of the 2019 Conference of the North American Chapter of the Association for Computational Linguistics: Human Language Technologies, NAACL-HLT 2019, 1, pp. 4171-4186, (2019); dos Santos Cicero Nogueira, Ma Xiaofei, Nallapati Ramesh, Huang Zhiheng, Xiang Bing, Beyond [CLS] through ranking by generation, Proceedings of the 2020 Conference on Empirical Methods in Natural Language Processing (EMNLP), pp. 1722-1727, (2020); Dyer Chris, Ballesteros Miguel, Ling Wang, Matthews Austin, Smith Noah A., Transition-based dependency parsing with stack long short-term memory, Proceedings of the 53rd Annual Meeting of the Association for Computational Linguistics and the 7th International Joint Conference on Natural Language Processing (Volume 1: Long Papers), pp. 334-343, (2015); Dyer Chris, Kuncoro Adhiguna, Ballesteros Miguel, Smith Noah A., Recurrent neural network grammars, Proceedings of the 2016 Conference of the North American Chapter of the Association for Computational Linguistics: Human Language Technologies, pp. 199-209, (2016); Eberts Markus, Ulges Adrian, Span-based joint entity and relation extraction with transformer pre-training, CoRR, (2019); Eric Mihail, Goel Rahul, Paul Shachi, Sethi Abhishek, Agarwal Sanchit, Gao Shuyang, Kumar Adarsh, Goyal Anuj, Ku Peter, Hakkani-Tur Dilek, MultiWOZ 2.1: A consolidated multi-domain dialogue dataset with state corrections and state tracking baselines, Proceedings of The 12th Language Resources and Evaluation Conference, pp. 422-428, (2020); Finkel Jenny Rose, Manning Christopher D., Nested named entity recognition, Proceedings of the 2009 Conference on Empirical Methods in Natural Language Processing, EMNLP 2009, pp. 141-150, (2009); Gao Tianyu, Han Xu, Zhu Hao, Liu Zhiyuan, Li Peng, Sun Maosong, Zhou Jie, Fewrel 2.0: Towards more challenging few-shot relation classification, Proceedings of the 2019 Conference on Empirical Methods in Natural Language Processing and the 9th International Joint Conference on Natural Language Processing, EMNLP-IJCNLP 2019, pp. 6249-6254, (2019); Gupta Pankaj, Schutze Hinrich, Andrassy Bernt, Table filling multi-task recurrent neural network for joint entity and relation extraction, COLING 2016, 26th International Conference on Computational Linguistics, Proceedings of the Conference: Technical Papers, pp. 2537-2547, (2016); Gurulingappa Harsha, Rajput Abdul Mateen, Roberts Angus, Fluck Juliane, Hofmann-Apitius Martin, Toldo Luca, Development of a benchmark corpus to support the automatic extraction of drug-related adverse effects from medical case reports, J. Biomed. Informatics, 45, 5, pp. 885-892, (2012); Han Xu, Zhu Hao, Yu Pengfei, Wang Ziyun, Yao Yuan, Liu Zhiyuan, Sun Maosong, Fewrel: A large-scale supervised few-shot relation classification dataset with state-of-the-art evaluation, Proceedings of the 2018 Conference on Empirical Methods in Natural Language Processing, pp. 4803-4809, (2018); Hosseini-Asl Ehsan, McCann Bryan, Wu Chien-Sheng, Yavuz Semih, Socher Richard, A simple language model for task-oriented dialogue, CoRR, (2020); Izacard Gautier, Grave Edouard, Leveraging passage retrieval with generative models for open domain question answering, (2020); Ji Heng, Grishman Ralph, Refining event extraction through cross-document inference, Proceedings of ACL-08: HLT, pp. 254-262, (2008); Joshi Mandar, Levy Omer, Zettlemoyer Luke, Weld Daniel S., BERT for coreference resolution: Baselines and analysis, Proceedings of the 2019 Conference on Empirical Methods in Natural Language Processing and the 9th International Joint Conference on Natural Language Processing, EMNLP-IJCNLP 2019, pp. 5802-5807, (2019); Joshi Mandar, Chen Danqi, Liu Yinhan, Weld Daniel S., Zettlemoyer Luke, Levy Omer, Spanbert: Improving pre-training by representing and predicting spans, Trans. Assoc. Comput. Linguistics, 8, pp. 64-77, (2020); Kingma Diederik P., Ba Jimmy, Adam: A method for stochastic optimization, 3rd International Conference on Learning Representations, ICLR 2015, (2015); Kitaev Nikita, Kaiser Lukasz, Levskaya Anselm, Reformer: The efficient transformer, 8th International Conference on Learning Representations, ICLR 2020, (2020); Lafferty John D., McCallum Andrew, Pereira Fernando C. N., Conditional random fields: Probabilistic models for segmenting and labeling sequence data, Proceedings of the Eighteenth International Conference on Machine Learning, ICML'01, pp. 282-289, (2001); Lee Kenton, He Luheng, Lewis Mike, Zettlemoyer Luke, End-to-end neural coreference resolution, Proceedings of the 2017 Conference on Empirical Methods in Natural Language Processing, EMNLP 2017, pp. 188-197, (2017); Lee Kenton, He Luheng, Zettlemoyer Luke, Higher-order coreference resolution with coarse-to-fine inference, Proceedings of the 2018 Conference of the North American Chapter of the Association for Computational Linguistics: Human Language Technologies, Volume 2 (Short Papers), pp. 687-692, (2018); Lewis Mike, Liu Yinhan, Goyal Naman, Ghazvininejad Marjan, Mohamed Abdelrahman, Levy Omer, Stoyanov Veselin, Zettlemoyer Luke, BART: denoising sequence-to-sequence pretraining for natural language generation, translation, and comprehension, Proceedings of the 58th Annual Meeting of the Association for Computational Linguistics, ACL 2020, pp. 7871-7880, (2020); Li Cheng, Tian Ye, Downstream model design of pre-trained language model for relation extraction task, CoRR, (2020); Li Qi, Ji Heng, Huang Liang, Joint event extraction via structured prediction with global features, Proceedings of the 51st Annual Meeting of the Association for Computational Linguistics (Volume 1: Long Papers), pp. 73-82, (2013); Li Xiaoya, Feng Jingrong, Meng Yuxian, Han Qinghong, Wu Fei, Li Jiwei, A unified MRC framework for named entity recognition, CoRR, (2019); Li Xiaoya, Sun Xiaofei, Meng Yuxian, Liang Junjun, Wu Fei, Li Jiwei, Dice loss for data-imbalanced NLP tasks, CoRR, (2019); Li Xiaoya, Yin Fan, Sun Zijun, Li Xiayu, Yuan Arianna, Chai Duo, Zhou Mingxin, Li Jiwei, Entity-relation extraction as multi-turn question answering, Proceedings of the 57th Conference of the Association for Computational Linguistics, ACL 2019, 1, pp. 1340-1350, (2019); Li Zuchao, He Shexia, Zhao Hai, Zhang Yiqing, Zhang Zhuosheng, Zhou Xi, Zhou Xiang, Dependency or span, end-to-end uniform semantic role labeling, The Thirty-Third AAAI Conference on Artificial Intelligence, AAAI 2019, The Thirty-First Innovative Applications of Artificial Intelligence Conference, IAAI 2019, The Ninth AAAI Symposium on Educational Advances in Artificial Intelligence, EAAI 2019, pp. 6730-6737, (2019); Loshchilov Ilya, Hutter Frank, Decoupled weight decay regularization, 7th International Conference on Learning Representations, ICLR 2019, (2019); Luan Yi, Wadden Dave, He Luheng, Shah Amy, Ostendorf Mari, Hajishirzi Hannaneh, A general framework for information extraction using dynamic span graphs, Proceedings of the 2019 Conference of the North American Chapter of the Association for Computational Linguistics: Human Language Technologies, NAACL-HLT 2019, 1, pp. 3036-3046, (2019); McCann Bryan, Keskar Nitish Shirish, Xiong Caiming, Socher Richard, The natural language decathlon: Multitask learning as question answering, CoRR, (2018); Nayak Tapas, Ng Hwee Tou, Effective modeling of encoder-decoder architecture for joint entity and relation extraction, The Thirty-Fourth AAAI Conference on Artificial Intelligence, AAAI 2020, The Thirty-Second Innovative Applications of Artificial Intelligence Conference, IAAI 2020, The Tenth AAAI Symposium on Educational Advances in Artificial Intelligence, EAAI 2020, pp. 8528-8535, (2020); Needleman Saul B, Wunsch Christian D, A general method applicable to the search for similarities in the amino acid sequence of two proteins, Journal of molecular biology, 48, 3, pp. 443-453, (1970); Nguyen Trung Minh, Nguyen Thien Huu, One for all: Neural joint modeling of entities and events, The Thirty-Third AAAI Conference on Artificial Intelligence, AAAI 2019, The Thirty-First Innovative Applications of Artificial Intelligence Conference, IAAI 2019, The Ninth AAAI Symposium on Educational Advances in Artificial Intelligence, EAAI 2019, pp. 6851-6858, (2019); Ohta Tomoko, Tateisi Yuka, Kim Jin-Dong, Mima Hideki, Tsujii Junichi, The genia corpus: An annotated research abstract corpus in molecular biology domain, Proceedings of the second international conference on Human Language Technology Research, pp. 82-86, (2002); Peng Baolin, Li Chunyuan, Li Jinchao, Shayandeh Shahin, Liden Lars, Gao Jianfeng, SOLOIST: few-shot task-oriented dialog with A single pre-trained auto-regressive model, CoRR, (2020); Pradhan Sameer, Moschitti Alessandro, Xue Nianwen, Uryupina Olga, Zhang Yuchen, Conll-2012 shared task: Modeling multilingual unrestricted coreference in ontonotes, Joint Conference on Empirical Methods in Natural Language Processing and Computational Natural Language Learning - Proceedings of the Shared Task: Modeling Multilingual Unrestricted Coreference in OntoNotes, EMNLP-CoNLL 2012, pp. 1-40, (2012); Pradhan Sameer, Moschitti Alessandro, Xue Nianwen, Ng Hwee Tou, Bjorkelund Anders, Uryupina Olga, Zhang Yuchen, Zhong Zhi, Towards robust linguistic analysis using ontonotes, Proceedings of the Seventeenth Conference on Computational Natural Language Learning, CoNLL 2013, pp. 143-152, (2013); Radford Alec, Wu Jeffrey, Child Rewon, Luan David, Amodei Dario, Sutskever Ilya, Language models are unsupervised multitask learners, OpenAI blog, 1, 8, (2019); Raffel Colin, Shazeer Noam, Roberts Adam, Lee Katherine, Narang Sharan, Matena Michael, Zhou Yanqi, Li Wei, Liu Peter J., Exploring the limits of transfer learning with a unified text-to-text transformer, CoRR, (2019); Riedel Sebastian, Yao Limin, McCallum Andrew, Modeling relations and their mentions without labeled text, Machine Learning and Knowledge Discovery in Databases, European Conference, ECML PKDD 2010, Barcelona, Spain, September 20-24, 2010, Proceedings, Part III, volume 6323 of Lecture Notes in Computer Science, pp. 148-163; Rongali Subendhu, Soldaini Luca, Monti Emilio, Hamza Wael, Don't parse, generate! A sequence to sequence architecture for task-oriented semantic parsing, Proceedings of The Web Conference 2020, (2020); Roth Dan, Yih Wen-tau, A linear programming formulation for global inference in natural language tasks, Proceedings of the Eighth Conference on Computational Natural Language Learning, CoNLL 2004, Held in cooperation with HLT-NAACL 2004, pp. 1-8, (2004); Tjong Erik F., Sang Kim, De Meulder Fien, Introduction to the CoNLL-2003 shared task: Language-independent named entity recognition, Proceedings of the Seventh Conference on Natural Language Learning, CoNLL 2003, Held in cooperation with HLT-NAACL 2003, pp. 142-147, (2003); Schick Timo, Schutze Hinrich, It's not just size that matters: Small language models are also few-shot learners, CoRR, (2020); Shi Peng, Lin Jimmy, Simple BERT models for relation extraction and semantic role labeling, CoRR, (2019); Shibuya Takashi, Hovy Eduard H., Nested named entity recognition via second-best sequence learning and decoding, CoRR, (2019); Snell Jake, Swersky Kevin, Zemel Richard S., Prototypical networks for few-shot learning, CoRR, (2017); Soares Livio Baldini, FitzGerald Nicholas, Ling Jeffrey, Kwiatkowski Tom, Matching the blanks: Distributional similarity for relation learning, Proceedings of the 57th Conference of the Association for Computational Linguistics, ACL 2019, 1, pp. 2895-2905, (2019); Strakova Jana, Straka Milan, Hajic Jan, Neural architectures for nested NER through linearization, Proceedings of the 57th Annual Meeting of the Association for Computational Linguistics, pp. 5326-5331, (2019); Tsochantaridis Ioannis, Hofmann Thomas, Joachims Thorsten, Altun Yasemin, Support vector machine learning for interdependent and structured output spaces, Proceedings of the Twenty-First International Conference on Machine Learning, ICML'04, (2004); Vinyals Oriol, ukasz Kaiser L, Koo Terry, Petrov Slav, Sutskever Ilya, Hinton Geoffrey, Grammar as a foreign language, Advances in Neural Information Processing Systems, 28, pp. 2773-2781, (2015); Vinyals Oriol, Blundell Charles, Lillicrap Timothy, Kavukcuoglu Koray, Wierstra Daan, Matching networks for one shot learning, Advances in Neural Information Processing Systems, 29, pp. 3630-3638, (2016); Vu Tu, Wang Tong, Munkhdalai Tsendsuren, Sordoni Alessandro, Trischler Adam, Mattarella-Micke Andrew, Maji Subhransu, Iyyer Mohit, Exploring and predicting transferability across NLP tasks, CoRR, (2020); Wadden David, Wennberg Ulme, Luan Yi, Hajishirzi Hannaneh, Entity, relation, and event extraction with contextualized span representations, Proceedings of the 2019 Conference on Empirical Methods in Natural Language Processing and the 9th International Joint Conference on Natural Language Processing, EMNLP-IJCNLP 2019, pp. 5783-5788, (2019); Walker Christopher, Strassel Stephanie, Medero Julie, Maeda Kazuaki, Ace 2005 multilingual training corpus, Linguistic Data Consortium, Philadelphia, 57, (2006); Wang Sinong, Li Belinda Z., Khabsa Madian, Fang Han, Ma Hao, Linformer: Self-attention with linear complexity, CoRR, (2020); Wolf Thomas, Debut Lysandre, Sanh Victor, Chaumond Julien, Delangue Clement, Moi Anthony, Cistac Pierric, Rault Tim, Louf Remi, Funtowicz Morgan, Brew Jamie, Huggingface's transformers: State-of-the-art natural language processing, CoRR, (2019); Wu Chien-Sheng, Madotto Andrea, Hosseini-Asl Ehsan, Xiong Caiming, Socher Richard, Fung Pascale, Transferable multi-domain state generator for task-oriented dialogue systems, Proceedings of the 57th Annual Meeting of the Association for Computational Linguistics (Volume 1: Long Papers), (2019); Wu Wei, Wang Fei, Yuan Arianna, Wu Fei, Li Jiwei, Corefqa: Coreference resolution as query-based span prediction, Proceedings of the 58th Annual Meeting of the Association for Computational Linguistics, ACL 2020, pp. 6953-6963, (2020); Yu Bowen, Zhang Zhenyu, Su Jianlin, Wang Yubin, Liu Tingwen, Wang Bin, Li Sujian, Joint extraction of entities and relations based on a novel decomposition strategy, CoRR, (2019); Yuan Yue, Zhou Xiaofei, Pan Shirui, Zhu Qiannan, Song Zeliang, Guo Li, A relation-specific attention network for joint entity and relation extraction, Proceedings of the Twenty-Ninth International Joint Conference on Artificial Intelligence, IJCAI 2020, pp. 4054-4060, (2020); Zeng Xiangrong, Zeng Daojian, He Shizhu, Liu Kang, Zhao Jun, Extracting relational facts by an end-to-end neural model with copy mechanism, Proceedings of the 56th Annual Meeting of the Association for Computational Linguistics, ACL 2018, 1, pp. 506-514, (2018); Zhang Yuhao, Zhong Victor, Chen Danqi, Angeli Gabor, Manning Christopher D., Position-aware attention and supervised data improve slot filling, Proceedings of the 2017 Conference on Empirical Methods in Natural Language Processing, EMNLP 2017, pp. 35-45, (2017); Zhao Tianyang, Yan Zhao, Cao Yunbo, Li Zhoujun, Asking effective and diverse questions: A machine reading comprehension based framework for joint entity-relation extraction, Proceedings of the Twenty-Ninth International Joint Conference on Artificial Intelligence, IJCAI 2020, pp. 3948-3954, (2020)</t>
  </si>
  <si>
    <t>International Conference on Learning Representations, ICLR</t>
  </si>
  <si>
    <t>Amazon; DeepMind; et al.; Facebook AI; Microsoft; OpenAI</t>
  </si>
  <si>
    <t>9th International Conference on Learning Representations, ICLR 2021</t>
  </si>
  <si>
    <t>3 May 2021 through 7 May 2021</t>
  </si>
  <si>
    <t>186703.0</t>
  </si>
  <si>
    <t>ICLR - Int. Conf. Learn. Represent.</t>
  </si>
  <si>
    <t>2-s2.0-85150251191</t>
  </si>
  <si>
    <t>Reshadat V.; Akcay A.; Zervanou K.; Zhang Y.; De Jong E.</t>
  </si>
  <si>
    <t>Reshadat, Vahideh (55247401700); Akcay, Alp (43461118300); Zervanou, Kalliopi (35619590100); Zhang, Yingqian (57189904037); De Jong, Eelco (55841778100)</t>
  </si>
  <si>
    <t>55247401700; 43461118300; 35619590100; 57189904037; 55841778100</t>
  </si>
  <si>
    <t>Relation Representation Learning for Special Cargo Ontology</t>
  </si>
  <si>
    <t>2021 IEEE Symposium Series on Computational Intelligence, SSCI 2021 - Proceedings</t>
  </si>
  <si>
    <t>10.1109/SSCI50451.2021.9660108</t>
  </si>
  <si>
    <t>https://www.scopus.com/inward/record.uri?eid=2-s2.0-85125811298&amp;doi=10.1109%2fSSCI50451.2021.9660108&amp;partnerID=40&amp;md5=16ef4a866483d74422fc2b84570573a2</t>
  </si>
  <si>
    <t>Eindhoven University of Technology, Department of Industrial Engineering and Innovation Sciences, Eindhoven, Netherlands; Validaide B.V, Amsterdam, Netherlands</t>
  </si>
  <si>
    <t>Reshadat V., Eindhoven University of Technology, Department of Industrial Engineering and Innovation Sciences, Eindhoven, Netherlands; Akcay A., Eindhoven University of Technology, Department of Industrial Engineering and Innovation Sciences, Eindhoven, Netherlands; Zervanou K., Eindhoven University of Technology, Department of Industrial Engineering and Innovation Sciences, Eindhoven, Netherlands; Zhang Y., Eindhoven University of Technology, Department of Industrial Engineering and Innovation Sciences, Eindhoven, Netherlands; De Jong E., Validaide B.V, Amsterdam, Netherlands</t>
  </si>
  <si>
    <t>Non-transparent shipping processes of transporting goods with special handling needs (special cargoes) have resulted in inefficiency in the airfreight industry. Special cargo ontology elicits, structures, and stores domain knowledge and represents the domain concepts and relationship between them in a machine-readable format. In this paper, we proposed an ontology population pipeline for the special cargo domain, and as part of the ontology population task, we investigated how to build an efficient information extraction model from low-resource domains based on available domain data for industry use cases. For this purpose, a model is designed for extracting and classifying instances of different relation types between each concept pair. The model is based on a relation representation learning approach built upon a Hierarchical Attention-based Multi-task architecture in the special cargo domain. The results of experiments show that the model could represent the complex semantic information of the domain, and tasks initialized with these representations achieve promising results. ¬© 2021 IEEE.</t>
  </si>
  <si>
    <t>Natural Language Processing; Relation Extraction; Special Cargo Domain; Transportation Ontology</t>
  </si>
  <si>
    <t>Domain Knowledge; Freight transportation; Learning systems; Natural language processing systems; Population statistics; Semantics; Domain concepts; Domain knowledge; Machine-readable format; Ontology Population; Ontology's; Relation extraction; Resource domains; Shipping process; Special cargo domain; Transportation ontology; Ontology</t>
  </si>
  <si>
    <t>Kersten W., Blecker T., Ringle C.M., Digitalization in Supply Chain Management and Logistics: Smart and Digital Solutions for An Industry 4. 0 Environment, (2017); De Nicola A., Missikoff M., Navigli R., A proposal for a unified process for ontology building: UPON, International Conference on Database and Expert Systems Applications, pp. 655-664, (2005); Kolkman T., An Ontology for Special Cargo, (2020); Mei R.V.D., Lane Analysis ‚Ü¶ Route Advisor (LARA), TKI Dinalog, (2019); Reshadat V., Kolkman T., Zervanou K., Zhang Y., Akcay A., Knowledge Modelling and Incident Analysis for Special Cargo, (2021); Pinar Y., Sahin I., Adali E., Knowledge-Based Question and Answering System for Turkish, 2019 4th International Conference on Computer Science and Engineering (UBMK), pp. 307-312, (2019); Donmez I., Adali E., Turkish question answering application with course-grained semantic matrix representation of sentences, 2017 International Conference on Computer Science and Engineering (UBMK), pp. 6-11, (2017); Reshadat V., Faili H., A New Open Information Extraction System Using Sentence Difficulty Estimation, Computing and Informatics, 38, pp. 986-1008, (2019); Reshadat V., Hourali M., Faili H., Confidence Measure Estimation for Open Information Extraction, Information Systems ‚Ü¶ Telecommunication, (2018); Reshadat V., Feizi-Derakhshi M.-R., Studying of semantic similarity methods in ontology, Research Journal of Applied Sciences, Engineering and Technology, 4, pp. 1815-1821, (2012); Hearst M.A., Automatic acquisition of hyponyms from large text corpora, Coling 1992 Volume 2: The 15th International Conference on Computational Linguistics, (1992); Maynard D., Li Y., Peters W., NLP Techniques for Term Extraction and Ontology Population, (2008); Craven M., DiPasquo D., Freitag D., McCallum A., Mitchell T., Nigam K., Slattery S., Learning to construct knowledge bases from the World Wide Web, Artificial Intelligence, 118, pp. 69-113, (2000); Reshadat V., Hoorali M., Faili H., A Hybrid Method for Open Information Extraction Based on Shallow and Deep Linguistic Analysis, Interdisciplinary Information Sciences, 22, pp. 87-100, (2016); Cui M., Li L., Wang Z., You M., A survey on relation extraction, China Conference on Knowledge Graph and Semantic Computing, pp. 50-58, (2017); Fader A., Soderland S., Etzioni O., Identifying relations for open information extraction, Proceedings of the 2011 Conference on Empirical Methods in Natural Language Processing, pp. 1535-1545, (2011); Brewster C., Ciravegna F., Wilks Y., User-centred ontology learning for knowledge management, International Conference on Application of Natural Language to Information Systems, pp. 203-207, (2002); Rosenfeld B., Feldman R., Clustering for unsupervised relation identification, Proceedings of the Sixteenth ACM Conference on Conference on Information and Knowledge Management, pp. 411-418, (2007); Han X., Zhu H., Yu P., Wang Z., Yao Y., Liu Z., Sun M., Fewrel: A large-scale supervised few-shot relation classification dataset with stateof-the-art evaluation, Proceedings of the 2018 Conference on Empirical Methods in Natural Language Processing, pp. 4803-4809, (2018); Gao T., Han X., Zhu H., Liu Z., Li P., Sun M., Zhou J., FewRel 2. 0: Towards more challenging few-shot relation classification, Proceedings of the 2019 Conference on Empirical Methods in Natural Language Processing and the 9th International Joint Conference on Natural Language Processing, pp. 6250-6255, (2019); Li C., Tian Y., Downstream Model Design of Pre-trained Language Model for Relation Extraction Task, Association for Computational Linguistics, pp. 1-15, (2020); Soares L.B., FitzGerald N., Ling J., Kwiatkowski T., Matching the blanks: Distributional similarity for relation learning, Proceedings of the 57th Annual Meeting of the Association for Computational Linguistics, pp. 2895-2905, (2019); Devlin J., Chang M.-W., Lee K., Toutanova K., Bert: Pre-training of deep bidirectional transformers for language understanding, Proceedings of the 2019 Conference of the North American Chapter of the Association for Computational Linguistics: Human Language Technologies, 1, pp. 4171-4186, (2018); Conneau A., Kiela D., Schwenk H., Barrault L., Bordes A., Supervised learning of universal sentence representations from natural language inference data, Proceedings of the 2017 Conference on Empirical Methods in Natural Language Processing Vol. Association for Computational Linguistics, pp. 670-680, (2017); Caruana R., Multitask Learning: A Knowledge-Based Source of Inductive Bias ICML, Google Scholar Google Scholar Digital Library Digital Library, (1993); Sanh V., Wolf T., Ruder S., A hierarchical multi-task approach for learning embeddings from semantic tasks, Proceedings of the AAAI Conference on Artificial Intelligence, pp. 6949-6956, (2019); Pennington J., Socher R., Manning C., Glove: Global vectors for word representation, Proceedings of the 2014 Conference on Empirical Methods in Natural Language Processing (EMNLP), pp. 1532-1543, (2014); Peters M.E., Neumann M., Iyyer M., Gardner M., Clark C., Lee K., Zettlemoyer L., Deep contextualized word representations, Proceedings of the 2018 Conference of the North American Chapter of the Association for Computational Linguistics: Human Language Technologies, pp. 2227-2237, (2018); Chiu J.P., Nichols E., Named entity recognition with bidirectional LSTM-CNNs, Transactions of the Association for Computational Linguistics, 4, pp. 357-370, (2016); Bekoulis G., Deleu J., Demeester T., Develder C., Joint entity recognition and relation extraction as a multi-head selection problem, Expert Systems with Applications, 114, pp. 34-45, (2018); Sogaard A., Goldberg Y., Deep multi-task learning with low level tasks supervised at lower layers, Proceedings of the 54th Annual Meeting of the Association for Computational Linguistics (Volume 2: Short Papers), pp. 231-235, (2016); Blei D.M., Ng A.Y., Jordan M.I., Latent dirichlet allocation, Journal of Machine Learning Research, 3, pp. 993-1022, (2003); Hasan K.S., Ng V., Conundrums in unsupervised keyphrase extraction: Making sense of the state-of-the-art, Proceedings of the 23rd International Conference on Computational Linguistics: Posters, pp. 365-373, (2010); Qi P., Zhang Y., Zhang Y., Bolton J., Manning C.D., Stanza: A python natural language processing toolkit for many human languages, Proceedings of the 58th Annual Meeting of the Association for Computational Linguistics: System Demonstrations, pp. 101-108, (2020); Boudin F., PKE: An open source python-based keyphrase extraction toolkit, Proceedings of COLING 2016, the 26th International Conference on Computational Linguistics: System Demonstrations, pp. 69-73, (2016); El-Beltagy S.R., Rafea A., KP-Miner: A keyphrase extraction system for English and Arabic documents, Information Systems, 34, pp. 132-144, (2009); Florescu C., Caragea C., Positionrank: An unsupervised approach to keyphrase extraction from scholarly documents, Proceedings of the 55th Annual Meeting of the Association for Computational Linguistics (Volume 1: Long Papers), pp. 1105-1115, (2017); Levenshtein V.I., Binary codes capable of correcting deletions, insertions, and reversals, Soviet Physics Doklady, pp. 707-710, (1966); Ester M., Kriegel H.-P., Sander J., Xu X., A density-based algorithm for discovering clusters in large spatial databases with noise, Kdd, pp. 226-231, (1996); Hendrickx I., Kim S.N., Kozareva Z., Nakov P., Seaghdha D.O., Pado S., Pennacchiotti M., Romano L., Szpakowicz S., Semeval-2010 task 8: Multi-way classification of semantic relations between pairs of nominals, Proceedings of the 5th International Workshop on Semantic Evaluation, pp. 33-38, (2019); Brown T.B., Mann B., Ryder N., Subbiah M., Kaplan J., Dhariwal P., Neelakantan A., Shyam P., Sastry G., Askell A., Language Models Are Few-shot Learners, (2020)</t>
  </si>
  <si>
    <t>2021 IEEE Symposium Series on Computational Intelligence, SSCI 2021</t>
  </si>
  <si>
    <t>5 December 2021 through 7 December 2021</t>
  </si>
  <si>
    <t>Orlando</t>
  </si>
  <si>
    <t>176593.0</t>
  </si>
  <si>
    <t>978-172819048-8</t>
  </si>
  <si>
    <t>IEEE Symp. Ser. Comput. Intell., SSCI - Proc.</t>
  </si>
  <si>
    <t>2-s2.0-85125811298</t>
  </si>
  <si>
    <t>Liu S.; Lu T.; Li K.; Liu W.</t>
  </si>
  <si>
    <t>Liu, Shu (56294764300); Lu, Tingting (59135039400); Li, Kaiwen (57224591772); Liu, Weihua (56604455300)</t>
  </si>
  <si>
    <t>56294764300; 59135039400; 57224591772; 56604455300</t>
  </si>
  <si>
    <t>Aspect sentiment triplet extraction based on data augmentation and task feedback</t>
  </si>
  <si>
    <t>Journal of Intelligent Information Systems</t>
  </si>
  <si>
    <t>1659.0</t>
  </si>
  <si>
    <t>1683.0</t>
  </si>
  <si>
    <t>24.0</t>
  </si>
  <si>
    <t>10.1007/s10844-024-00855-y</t>
  </si>
  <si>
    <t>https://www.scopus.com/inward/record.uri?eid=2-s2.0-85193611718&amp;doi=10.1007%2fs10844-024-00855-y&amp;partnerID=40&amp;md5=d28e048555309a8c7d1b6f0ea37386d1</t>
  </si>
  <si>
    <t>School of Computer Science and Engineering, Central South University, Changsha, China; China Mobile Research Institute, Beijing, China</t>
  </si>
  <si>
    <t>Liu S., School of Computer Science and Engineering, Central South University, Changsha, China; Lu T., School of Computer Science and Engineering, Central South University, Changsha, China; Li K., School of Computer Science and Engineering, Central South University, Changsha, China; Liu W., China Mobile Research Institute, Beijing, China</t>
  </si>
  <si>
    <t>Aspect sentiment triplet extraction (ASTE), which focuses on mining the triplets (aspect, opinion, sentiment), is a complex and integrated subtask in aspect-based sentiment analysis. It is widely used in market research, product design and promotion, online comment analysis, and so on. Although significant progress has been achieved in existing methods, several challenges remain, such as data scarcity and the separation of span extraction and sentiment classification. Therefore, this paper adds data augmentation and task feedback based on the bidirectional machine reading comprehension model. Before training the model, the data augmentation module applies mask prediction and mark replacement to enrich the data. Span extraction and sentiment classification are two tasks during ASTE. We adopt the direct span extraction method with one classifier to avoid the error accumulation caused by multiple classifiers and to improve the adaptive ability between different datasets. In addition, we fuse the text features derived from the above two tasks for sentiment classification. Based on the feature fusion, the task feedback module is established to alleviate the task separation. Extensive experiments verify the effectiveness of our method. The code is available at https://github.com/zhenzhen313/BMRC-with-DA-and-TF. ¬© The Author(s), under exclusive licence to Springer Science+Business Media, LLC, part of Springer Nature 2024.</t>
  </si>
  <si>
    <t>Aspect sentiment triplet extraction; Bidirectional machine reading comprehension; Data augmentation; Feature fusion; Task feedback</t>
  </si>
  <si>
    <t>Classification (of information); Data mining; Market Research; Product design; Sentiment analysis; Aspect sentiment triplet extraction; Bidirectional machine reading comprehension; Data augmentation; Features fusions; Market researches; Reading comprehension; Sentiment analysis; Sentiment classification; Subtask; Task feedback; Extraction</t>
  </si>
  <si>
    <t>Fundamental Research Funds for Central Universities of the Central South University; Central South University, CSU; Natural Science Foundation of Hunan Province, (2023JJ30700); Natural Science Foundation of Hunan Province</t>
  </si>
  <si>
    <t xml:space="preserve">This work was supported in part by Hunan Provincial Natural Science Foundation of China under Grant 2023JJ30700, and in part by the Fundamental Research Funds for the Central Universities of Central South University. We are grateful for resources from the High Performance Computing Center of Central South University. </t>
  </si>
  <si>
    <t>AlBadani B., Dong J., Shi R., Et al., Smgnn: span-to-span multi-channel graph neural network for aspect-sentiment triplet extraction, Journal of Intelligent Information Systems, 61, 3, pp. 695-715, (2023); Cahuantzi R., Chen X., Guttel S., A comparison of LSTM and GRU networks for learning symbolic sequences, Intelligent Computing, 739, pp. 771-785, (2023); Chen H., Zhai Z., Feng F., Et al., Enhanced multi-channel graph convolutional network for aspect sentiment triplet extraction, Proceedings of the 60Th Annual Meeting of the Association for Computational Linguistics, 1, pp. 2974-2985, (2022); Chen S., Wang Y., Liu J., Et al., Bidirectional machine reading comprehension for aspect sentiment triplet extraction, Proceedings of the AAAI Conference on Artificial Intelligence, 35, 14, pp. 12666-12674, (2021); Chen Y., Keming C., Sun X., Et al., A span-level bidirectional network for aspect sentiment triplet extraction, Proceedings of the 2022 Conference on Empirical Methods in Natural Language Processing, pp. 4300-4309, (2022); Chen Z., Qian T., Relation-aware collaborative learning for unified aspect-based sentiment analysis, Proceedings of the 58Th Annual Meeting of the Association for Computational Linguistics, pp. 3685-3694, (2020); Dave K., Lawrence S., Pennock D.M., Mining the peanut gallery: opinion extraction and semantic classification of product reviews, Proceedings of the 12th International Conference on World Wide Web, pp. 519-528, (2003); Devlin J., Chang M.W., Lee K., Et al., BERT: Pre-training of deep bidirectional transformers for language understanding, Proceedings of the 2019 Conference of the North American Chapter of the Association for Computational Linguistics: Human Language Technologies, Volume 1, Long and Short Papers, pp. 4171-4186, (2019); Di Caro L., Grella M., Sentiment analysis via dependency parsing, Computer Standards &amp; Interfaces, 35, 5, pp. 442-453, (2013); Fei H., Ren Y., Zhang Y., Et al., Nonautoregressive encoder-decoder neural framework for end-to-end aspect-based sentiment triplet extraction, IEEE Transactions on Neural Networks and Learning Systems, 34, 9, pp. 5544-5556, (2023); Hu M., Liu B., Mining and summarizing customer reviews, Proceedings of the Tenth ACM SIGKDD International Conference on Knowledge Discovery and Data Mining, pp. 168-177, (2004); Karimi A., Rossi L., Prati A., AEDA: An easier data augmentation technique for text classification, pp. 2748-2754, (2021); Li X., Bing L., Li P., Et al., A unified model for opinion target extraction and target sentiment prediction, Proceedings of the AAAI Conference on Artificial Intelligence, 33, 1, pp. 6714-6721, (2019); Li Y., Cohn T., Baldwin T., Robust training under linguistic adversity, Proceedings of the 15th Conference of the European Chapter of the Association for Computational Linguistics: Volume 2, Short Papers, pp. 21-27, (2017); Liang B., Luo W., Li X., Et al., Enhancing aspect-based sentiment analysis with supervised contrastive learning, Proceedings of the 30th ACM International Conference on Information &amp; Knowledge Management, pp. 3242-3247, (2021); Lin C., He Y., Joint sentiment/topic model for sentiment analysis, Proceedings of the 18th ACM Conference on Information and Knowledge Management, pp. 375-384, (2009); Liu S., Li K., Li Z., A robustly optimized BMRC for aspect sentiment triplet extraction, Proceedings of the 2022 Conference of the North American Chapter of the Association for Computational Linguistics: Human Language Technologies, pp. 272-278, (2022); Loshchilov I., Hutter F., Decoupled Weight Decay Regularization, (2017); Mao Y., Shen Y., Yu C., Et al., A joint training dual-MRC framework for aspect based sentiment analysis, Proceedings of the AAAI Conference on Artificial Intelligence, 35, 15, pp. 13543-13551, (2021); Peng H., Xu L., Bing L., Et al., Knowing what, how and why: A near complete solution for aspect-based sentiment analysis, Proceedings of the AAAI Conference on Artificial Intelligence, 34, 5, pp. 8600-8607, (2020); Pontiki M., Galanis D., Pavlopoulos J., Et al., SemEval-2014 task 4: Aspect based sentiment analysis, Proceedings of the 8th International Workshop on Semantic Evaluation (SemEval 2014), pp. 27-35, (2014); Pontiki M., Galanis D., Papageorgiou H., Et al., SemEval-2015 task 12: Aspect based sentiment analysis, Proceedings of the 9Th International Workshop on Semantic Evaluation (Semeval 2015), pp. 486-495, (2015); Pontiki M., Galanis D., Papageorgiou H., Et al., SemEval-2016 task 5: Aspect based sentiment analysis, Proceedings of the 10Th International Workshop on Semantic Evaluation, pp. 19-30, (2016); Ravi K., Ravi V., A survey on opinion mining and sentiment analysis: Tasks, approaches and applications, Knowledge-Based Systems, 89, pp. 14-46, (2015); Ren S., Zhang J., Li L., Et al., Text AutoAugment: Learning compositional augmentation policy for text classification, Proceedings of the 2021 Conference on Empirical Methods in Natural Language Processing, pp. 9029-9043, (2021); Singh L.G., Singh S.R., Empirical study of sentiment analysis tools and techniques on societal topics, Journal of Intelligent Information Systems, 56, 2, pp. 379-407, (2021); Sun L., Xia C., Yin W., Et al., Mixup-transformer: Dynamic data augmentation for NLP tasks, Proceedings of the 28th International Conference on Computational Linguistics, pp. 3436-3440, (2020); Toh Z., DLIREC: Aspect term extraction and term polarity classification system, Proceedings of the 8th International Workshop on Semantic Evaluation (SemEval 2014), pp. 235-240, (2014); Wang B., Ding L., Zhong Q., Et al., A contrastive cross-channel data augmentation framework for aspect-based sentiment analysis, Proceedings of the 29Th International Conference on Computational Linguistics, pp. 6691-6704, (2022); Wang Q., Wen Z., Zhao Q., Et al., Progressive self-training with discriminator for aspect term extraction, Proceedings of the 2021 Conference on Empirical Methods in Natural Language Processing, pp. 257-268, (2021); Wang Y., Chen Z., Chen S., Es-aste: enhanced span-level framework for aspect sentiment triplet extraction, Journal of Intelligent Information Systems, 60, 3, pp. 593-612, (2023); Wei J., Zou K., EDA: Easy data augmentation techniques for boosting performance on text classification tasks, Proceedings of the 2019 Conference on Empirical Methods in Natural Language Processing and the 9Th International Joint Conference on Natural Language Processing (EMNLP-IJCNLP), pp. 6382-6388, (2019); Wu Z., Ying C., Zhao F., Et al., Grid tagging scheme for aspect-oriented fine-grained opinion extraction, Findings of the Association for Computational Linguistics: EMNLP 2020, pp. 2576-2585, (2020); Xu L., Li H., Lu W., Et al., Position-aware tagging for aspect sentiment triplet extraction, Proceedings of the 2020 Conference on Empirical Methods in Natural Language Processing (EMNLP), pp. 2339-2349, (2020); Xu L., Chia Y.K., Bing L., Learning span-level interactions for aspect sentiment triplet extraction, Proceedings of the 59Th Annual Meeting of the Association for Computational Linguistics and the 11Th International Joint Conference on Natural Language Processing, 1, pp. 4755-4766, (2021); Yan H., Dai J., Ji T., Et al., A unified generative framework for aspect-based sentiment analysis, Proceedings of the 59Th Annual Meeting of the Association for Computational Linguistics and the 11Th International Joint Conference on Natural Language Processing, 1, pp. 2416-2429, (2021); Yu G., Liu L., Jiang H., Et al., Making better use of training corpus: Retrieval-based aspect sentiment triplet extraction via label interpolation, Findings of the Association for Computational Linguistics: ACL 2023, pp. 4914-4927, (2023); Zhang C., Li Q., Song D., Et al., A multi-task learning framework for opinion triplet extraction, Findings of the Association for Computational Linguistics: EMNLP 2020, pp. 819-828, (2020); Zhang L., Liu B., Aspect and entity extraction for opinion mining, pp. 1-40, (2014); Zhang W., Li X., Deng Y., Et al., Towards generative aspect-based sentiment analysis, Proceedings of the 59Th Annual Meeting of the Association for Computational Linguistics and the 11Th International Joint Conference on Natural Language Processing, 2, pp. 504-510, (2021); Zhang Y., Ding Q., Zhu Z., Et al., Enhancing aspect and opinion terms semantic relation for aspect sentiment triplet extraction, Journal of Intelligent Information Systems, 59, 2, pp. 523-542, (2022); Zhou S., Qian T., On the strength of sequence labeling and generative models for aspect sentiment triplet extraction, Findings of the Association for Computational Linguistics: ACL 2023, pp. 12038-12050, (2023); Zhu L., Zhu X., Guo J., Et al., Exploring rich structure information for aspect-based sentiment classification, Journal of Intelligent Information Systems, 60, 1, pp. 97-117, (2023)</t>
  </si>
  <si>
    <t>W. Liu; China Mobile Research Institute, Beijing, China; email: liuweihuayjy@chinamobile.com</t>
  </si>
  <si>
    <t>JIISE</t>
  </si>
  <si>
    <t>J Intell Inform Syst</t>
  </si>
  <si>
    <t>2-s2.0-85193611718</t>
  </si>
  <si>
    <t>q17</t>
  </si>
  <si>
    <t>KBPT: knowledge-based prompt tuning for zero-shot relation triplet extraction</t>
  </si>
  <si>
    <t>10.7717/PEERJ-CS.2014</t>
  </si>
  <si>
    <t>https://www.scopus.com/inward/record.uri?eid=2-s2.0-85196068441&amp;doi=10.7717%2fPEERJ-CS.2014&amp;partnerID=40&amp;md5=1b60b79df4354d72db8fe5bc40eb119f</t>
  </si>
  <si>
    <t>Department of Computer Science and Engineering, East China University of Science and Technology, Shanghai, China; School of Computer Science, Fudan University, Shanghai, China</t>
  </si>
  <si>
    <t>Guo Q., Department of Computer Science and Engineering, East China University of Science and Technology, Shanghai, China; Guo Y., Department of Computer Science and Engineering, East China University of Science and Technology, Shanghai, China; Zhao J., School of Computer Science, Fudan University, Shanghai, China</t>
  </si>
  <si>
    <t>Knowledge representation is increasingly recognized as an effective method for information extraction. Nevertheless, numerous studies have disregarded its potential applications in the zero-shot setting. In this article, a novel framework, called knowledge-based prompt tuning for zero-shot relation triplet extraction (KBPT), was developed, founded on external ontology knowledge. This framework serves as a catalyst for exploring relation triplet extraction (RTE) methods within low-resource scenarios, warranting further scrutiny. Zero-shot setting RTE aims to extract multiple triplets that consist of head entities, tail entities, and relation labels from an input sentence, where the extracted relation labels are those that do not exist in the training set. To address the data scarcity problem in zero-shot RTE, a technique was introduced to synthesize training samples by prompting language models to generate structured texts. Specifically, this involves integrating language model prompts with structured text methodologies to create a structured prompt template. This template draws upon relation labels and ontology knowledge to generate synthetic training examples. The incorporation of external ontological knowledge enriches the semantic representation within the prompt template, enhancing its effectiveness. Further, a multiple triplets decoding (MTD) algorithm was developed to overcome the challenge of extracting multiple relation triplets from a sentence. To bridge the gap between knowledge and text, a collective training method was established to jointly optimize embedding representations. The proposed model is model-agnostic and can be applied to various PLMs. Exhaustive experiments on four public datasets with zero-shot settings were conducted to demonstrate the effectiveness of the proposed method. Compared to the baseline models, KBPT demonstrated enhancements of up to 14.65% and 24.19% in F1 score on the Wiki-ZSL and TACRED-Revisit datasets, respectively. Moreover, the proposed model achieved better performance compared with the current state-ofthe- art (SOTA) model in terms of F1 score, precision-recall (P‚ÄìR) curves and AUC. The code is available at https://Github.com/Phevos75/KBPT. ¬© Copyright 2024 Guo et al.</t>
  </si>
  <si>
    <t>Knowledge-based; Prompt tuning; Zero-shot relation triplet extraction</t>
  </si>
  <si>
    <t>Computational linguistics; Data mining; Knowledge representation; Semantics; Zero-shot learning; Extraction method; F1 scores; Knowledge based; Knowledge-representation; Language model; Ontology's; Prompt tuning; Structured text; Zero-shot relation triplet extraction; ]+ catalyst; Ontology</t>
  </si>
  <si>
    <t>Shanghai Municipal Committee of Science and Technology, (22DZ1204903, 22511104800)</t>
  </si>
  <si>
    <t>Funding text 1: This work was funded by the Science and Technology Program project of Shanghai Municipal Committee of Science and Technology (22DZ1204903, 22511104800). The funders had no role in study design, data collection and analysis, decision to publish, or preparation of the manuscript.; Funding text 2: The following grant information was disclosed by the authors: Science and Technology Program project of Shanghai Municipal Committee of Science and Technology: 22DZ1204903, 22511104800.</t>
  </si>
  <si>
    <t>Alt C, Gabryszak A, Hennig L., Tacred revisited: A thorough evaluation of the tacred relation extraction task, (2020); Angeli G, Premkumar MJJ, Manning CD., Leveraging linguistic structure for open domain information extraction, Proceedings of the 53rd Annual Meeting of the Association for Computational Linguistics and the 7th International Joint Conference on Natural Language Processing (Volume 1: Long Papers), pp. 344-354, (2015); Brown T, Mann B, Ryder N, Subbiah M, Kaplan JD, Dhariwal P, Neelakantan A, Shyam P, Sastry G, Askell A., Language models are few-shot learners, Advances in Neural Information Processing Systems, 33, pp. 1877-1901, (2020); Chen C-Y, Li C-T., Zs-bert: Towards zero-shot relation extraction with attribute representation learning, (2021); Chen Y, Liu Y, Dong L, Wang S, Zhu C, Zeng M, Zhang Y., Adaprompt: adaptive model training for prompt-based nlp, Findings of the Association for Computational Linguistics (EMNLP) 2022, pp. 6057-6068, (2022); Chen J, Lecue F, Geng Y, Pan JZ, Chen H., Ontology-guided semantic composition for zeroshot learning, (2020); Chen X, Zhang N, Xie X, Deng S, Yao Y, Tan C, Huang F, Si L, Chen H., Knowprompt: knowledge-aware prompt-tuning with synergistic optimization for relation extraction, Proceedings of the ACM Web Conference 2022, pp. 2778-2788, (2022); Chia YK, Bing L, Poria S, Si L., Relationprompt: leveraging prompts to generate synthetic data for zero-shot relation triplet extraction, (2022); Cortes C, Mohri M., Auc optimization vs. error rate minimization, Advances in Neural Information processing systems, 16, pp. 313-320, (2003); Cui L, Wu Y, Liu J, Yang S, Zhang Y., Template-based named entity recognition using bart, (2021); Deng S, Zhang N, Li L, Chen H, Tou H, Chen M, Huang F, Chen H., Ontoed: low-resource event detection with ontology embedding, (2021); Devlin J, Chang M-W, Lee K, Toutanova K., Bert: pre-training of deep bidirectional transformers for language understanding, (2018); Gao T, Han X, Liu Z, Sun M., Hybrid attention-based prototypical networks for noisy fewshot relation classification, Proceedings of the AAAI Conference on Artificial Intelligence, 33, pp. 6407-6414, (2019); Gao T, Han X, Xie R, Liu Z, Lin F, Lin L, Sun M., Neural snowball for few-shot relation learning, Proceedings of the AAAI Conference on Artificial Intelligence, 34, pp. 7772-7779, (2020); Geng Y, Chen J, Chen Z, Pan JZ, Ye Z, Yuan Z, Jia Y, Chen H., Ontozsl: ontology-enhanced zero-shot learning, Proceedings of the Web Conference 2021, pp. 3325-3336, (2021); Gong J, Eldardiry H., Zero-shot learning for relation extraction, (2020); Gu Y, Han X, Liu Z, Huang M., Ppt: pre-trained prompt tuning for few-shot learning, (2021); Han X, Zhao W, Ding N, Liu Z, Sun M., Ptr: prompt tuning with rules for text classification, (2021); Han X, Zhu H, Yu P, Wang Z, Yao Y, Liu Z, Sun M., Fewrel: a large-scale supervised fewshot relation classification dataset with state-of-the-art evaluation, (2018); Hinton G, Vinyals O, Dean J., Distilling the knowledge in a neural network, (2015); Horrocks I., Ontologies and the semantic web, Communications of the ACM, 51, 12, pp. 58-67, (2008); Hu S, Ding N, Wang H, Liu Z, Li J, Sun M., Knowledgeable prompt-tuning: incorporating knowledge into prompt verbalizer for text classification, (2021); Hui B, Liu L, Chen J, Zhou X, Nian Y., Few-shot relation classification by context attentionbased prototypical networks with bert, EURASIP Journal on Wireless Communications and Networking, 2020, 1, pp. 1-17, (2020); Ji G, Liu K, He S, Zhao J., Distant supervision for relation extraction with sentence-level attention and entity descriptions, Proceedings of the AAAI Conference on Artificial Intelligence, 31, (2017); Keskar NS, McCann B, Varshney LR, Xiong C, Socher R., Ctrl: a conditional transformer language model for controllable generation, (2019); Ketkar N., Stochastic gradient descent, Deep Learning with Python, pp. 113-132, (2017); Kodirov E, Xiang T, Gong S., Semantic autoencoder for zero-shot learning, Proceedings of the IEEE Conference on Computer Vision and Pattern Recognition, pp. 3174-3183, (2017); Lee JDMCK, Toutanova K., Pre-training of deep bidirectional transformers for language understanding, (2018); Levy O, Seo M, Choi E, Zettlemoyer L., Zero-shot relation extraction via reading comprehension, (2017); Li A, Huang W, Lan X, Feng J, Li Z, Wang L., Boosting few-shot learning with adaptive margin loss, Proceedings of the IEEE/CVF Conference on Computer Vision and Pattern Recognition, pp. 12576-12584, (2020); Li C, Tian Y., Downstream model design of pre-trained language model for relation extraction task, (2020); Lifchitz Y, Avrithis Y, Picard S, Bursuc A., Dense classification and implanting for few-shot learning, Proceedings of the IEEE/CVF Conference on Computer Vision and Pattern Recognition, pp. 9258-9267, (2019); Liu W, Zhou P, Zhao Z, Wang Z, Ju Q, Deng H, Wang P., K-bert: enabling language representation with knowledge graph, Proceedings of the AAAI Conference on Artificial Intelligence, 34, pp. 2901-2908, (2020); Melamud O, Goldberger J, Dagan I., context2vec: learning generic context embedding with bidirectional lstm, Proceedings of the 20th SIGNLL Conference on Computational Natural Language Learning, pp. 51-61, (2016); Morio G, Ozaki H, Yamaguchi A, Sogawa Y., Hitachi at semeval-2022 task 10: comparing graph-and seq2seq-based models highlights difficulty in structured sentiment analysis, Proceedings of the 16th International Workshop on Semantic Evaluation (SemEval-2022), pp. 1349-1359, (2022); Obamuyide A, Vlachos A., Zero-shot relation classification as textual entailment, Proceedings of the First Workshop on Fact Extraction and VERification (FEVER), pp. 72-78, (2018); Powers DM., Evaluation: from precision, recall and f-measure to ROC, informedness, markedness and correlation, (2020); Qin P, Wang X, Chen W, Zhang C, Xu W, Wang WY., Generative adversarial zero-shot relational learning for knowledge graphs, Proceedings of the AAAI Conference on Artificial Intelligence, 34, pp. 8673-8680, (2020); Riedel S, Yao L, McCallum A., Modeling relations and their mentions without labeled text, Joint European Conference on Machine Learning and Knowledge Discovery in Databases, pp. 148-163, (2010); Schick T, Schutze H., Exploiting cloze questions for few shot text classification and natural language inference, (2020); Schmidhuber J., Deep learning in neural networks: an overview, Neural networks, 61, 3, pp. 85-117, (2015); Smirnova A, Cudre-Mauroux P., Relation extraction using distant supervision: a survey, ACM Computing Surveys (CSUR), 51, 5, pp. 1-35, (2018); Tomani C, Gruber S, Erdem ME, Cremers D, Buettner F., Post-hoc uncertainty calibration for domain drift scenarios, Proceedings of the IEEE/CVF Conference on Computer Vision and Pattern Recognition, pp. 10124-10132, (2021); Vaswani A, Shazeer N, Parmar N, Uszkoreit J, Jones L, Gomez AN, Kaiser L, Polosukhin I., Attention is all you need, Advances in Neural Information Processing Systems, 30, pp. 5998-6008, (2017); Vilain M, Burger JD, Aberdeen J, Connolly D, Hirschman L., A model-theoretic coreference scoring scheme, Sixth Message Understanding Conference (MUC-6): Proceedings of a Conference Held in Columbia, (1995); Wang C, Liu X, Chen Z, Hong H, Tang J, Song D., Zero-shot information extraction as a unified text-to-triple translation, (2021); Wang J, Lu W., Two are better than one: joint entity and relation extraction with tablesequence encoders, (2020); Xiang Y, Zhang Z, Chen J, Chen X, Lin Z, Zheng Y., Ontoea: ontology-guided entity alignment via joint knowledge graph embedding, (2021); Yao Y, Mao S, Zhang N, Chen X, Deng S, Chen X, Chen H., Schema-aware reference as prompt improves data-efficient knowledge graph construction, Proceedings of the 46th International ACM SIGIR Conference on Research and Development in Information Retrieval, pp. 911-921, (2023); Ye H-J, Hu H, Zhan D-C, Sha F., Few-shot learning via embedding adaptation with set-to-set functions, Proceedings of the IEEE/CVF Conference on Computer Vision and Pattern Recognition, pp. 8808-8817, (2020); Ye H, Zhang N, Deng S, Chen X, Chen H, Xiong F, Chen X, Chen H., Ontology-enhanced prompt-tuning for few-shot learning, Proceedings of the ACM Web Conference 2022, pp. 778-787, (2022); Yeh H-S, Lavergne T, Zweigenbaum P., Decorate the examples: a simple method of prompt design for biomedical relation extraction, (2022); Zeng D, Liu K, Lai S, Zhou G, Zhao J., Relation classification via convolutional deep neural network, Proceedings of COLING 2014, the 25th International Conference on Computational Linguistics: Technical Papers, pp. 2335-2344, (2014); Zhang N, Deng S, Cheng X, Chen X, Zhang Y, Zhang W, Chen H, Center HI., Drop redundant, shrink irrelevant: selective knowledge injection for language pretraining, IJCAI, pp. 4007-4014, (2021); Zhang N, Li L, Chen X, Deng S, Bi Z, Tan C, Huang F, Chen H., Differentiable prompt makes pre-trained language models better few-shot learners, (2021); Zhang N, Xu X, Tao L, Yu H, Ye H, Xie X, Chen X, Li Z, Li L, Liang X., Deepke: a deep learning based knowledge extraction toolkit for knowledge base population, (2022); Zhang Y, Zhong V, Chen D, Angeli G, Manning CD., Position-aware attention and supervised data improve slot filling, Conference on Empirical Methods in Natural Language Processing, (2017); Zhong Z, Chen D., A frustratingly easy approach for entity and relation extraction, (2020)</t>
  </si>
  <si>
    <t>Y. Guo; Department of Computer Science and Engineering, East China University of Science and Technology, Shanghai, China; email: guoyi@ecust.edu.cn</t>
  </si>
  <si>
    <t>2-s2.0-85196068441</t>
  </si>
  <si>
    <t>Jacobs G.; Hoste V.</t>
  </si>
  <si>
    <t>Jacobs, Gilles (57198347476); Hoste, V√©ronique (23090989500)</t>
  </si>
  <si>
    <t>57198347476; 23090989500</t>
  </si>
  <si>
    <t>Fine-grained implicit sentiment in financial news: Uncovering hidden bulls and bears</t>
  </si>
  <si>
    <t>2554.0</t>
  </si>
  <si>
    <t>10.3390/electronics10202554</t>
  </si>
  <si>
    <t>https://www.scopus.com/inward/record.uri?eid=2-s2.0-85118264345&amp;doi=10.3390%2felectronics10202554&amp;partnerID=40&amp;md5=43ecb3d3e8782bdb3bd4ac9a99be6dc6</t>
  </si>
  <si>
    <t>Language and Translation Technology Team (LT3), Department of Translation Interpreting and Communication, Ghent University, Groot-Brittani√´laan 45, Ghent, 9000, Belgium</t>
  </si>
  <si>
    <t>Jacobs G., Language and Translation Technology Team (LT3), Department of Translation Interpreting and Communication, Ghent University, Groot-Brittani√´laan 45, Ghent, 9000, Belgium; Hoste V., Language and Translation Technology Team (LT3), Department of Translation Interpreting and Communication, Ghent University, Groot-Brittani√´laan 45, Ghent, 9000, Belgium</t>
  </si>
  <si>
    <t>The field of sentiment analysis is currently dominated by the detection of attitudes in lexically explicit texts such as user reviews and social media posts. In objective text genres such as economic news, indirect expressions of sentiment are common. Here, a positive or negative attitude toward an entity must be inferred from connotational or real-world knowledge. To capture all expressions of subjectivity, a need exists for fine-grained resources and approaches for implicit sentiment analysis. We present the SENTiVENT corpus of English business news that contains token-level annotations for target spans, polar spans, and implicit polarity (positive, negative, or neutral investor sentiment, respectively). We both directly annotate polar expressions and induce them from existing schema-based event annotations to obtain event-implied implicit sentiment tuples. This results in a large dataset of 12,400 sentiment-target tuples in 288 fully annotated articles. We validate the created resource with an inter-annotator agreement study and a series of coarse- to fine-grained supervised deep-representation-learning experiments. Agreement scores show that our annotations are of substantial quality. The coarse-grained experiments involve classifying the positive, negative, and neutral polarity of known polar expressions and, in clause-based experiments, the detection of positive, negative, neutral, and no-polarity clauses. The gold coarse-grained experiments obtain decent performance (76% accuracy and 63% macro-F1) and clause-based detection shows decreased performance (65% accuracy and 57% macro-F1) with the confusion of neutral and no-polarity. The coarse-grained results demonstrate the feasibility of implicit polarity classification as operationalized in our dataset. In the fine-grained experiments, we apply the grid tagging scheme unified model for &lt;polar span, target span, polarity&gt; triplet extraction, which obtains state-of-the-art performance on explicit sentiment in user reviews. We observe a drop in performance on our implicit sentiment corpus compared to the explicit benchmark (22% vs. 76% F1). We find that the current models for explicit sentiment are not directly portable to our implicit task: The larger lexical variety within implicit opinion expressions causes lexical data scarcity. We identify common errors and discuss several recommendations for implicit fine-grained sentiment analysis. Data and source code are available. ¬© 2021 by the author.</t>
  </si>
  <si>
    <t>Company-specific information extraction for financial markets and economics; Implicit polarity on schema-based events; Investor sentiment detection; Target-based sentiment analysis</t>
  </si>
  <si>
    <t>Research Foundation‚ÄîFlanders</t>
  </si>
  <si>
    <t>Funding: This research was carried out as part of a Ph.D. fellowship on the SENTiVENT project, funded by the Research Foundation‚ÄîFlanders.</t>
  </si>
  <si>
    <t>Fang X., Zhan J., Sentiment analysis using product review data, J. Big Data, 2, pp. 1-14, (2015); De Clercq O., Lefever E., Jacobs G., Carpels T., Hoste V., Towards an integrated pipeline for aspect-based sentiment analysis in various domains, Proceedings of the 8th Workshop on Computational Approaches to Subjectivity, Sentiment and Social Media Analysis, pp. 136-142, (2017); Rambocas M., Pacheco B.G., Online sentiment analysis in marketing research: A review, J. Res. Interact. Mark, 12, pp. 146-163, (2018); Kauffmann E., Peral J., Gil D., Ferrandez A., Sellers R., Mora H., A framework for big data analytics in commercial social networks: A case study on sentiment analysis and fake review detection for marketing decision-making, Ind. Mark. Manag, 90, pp. 523-537, (2020); Liu B., Sentiment analysis and opinion mining, Synth. Lect. Hum. Lang. Technol, 5, pp. 1-167, (2012); Van de Kauter M., Desmet B., Hoste V., The good, the bad and the implicit: A comprehensive approach to annotating explicit and implicit sentiment, Lang. Resour. Eval, 49, pp. 685-720, (2015); Liao J., Wang S., Li D., Identification of fact-implied implicit sentiment based on multi-level semantic fused representation, Knowl.-Based Syst, 165, pp. 197-207, (2019); Van Hee C., De Clercq O., Hoste V., Exploring Implicit Sentiment Evoked by Fine-grained News Events, Proceedings of the Eleventh Workshop on Computational Approaches to Subjectivity, Sentiment and Social Media Analysis, pp. 138-148, (2021); Toprak C., Jakob N., Gurevych I., Sentence and expression level annotation of opinions in user-generated discourse, Proceedings of the 48th Annual Meeting of the Association for Computational Linguistics, pp. 575-584, (2010); Musat C., Trausan-Matu S., The impact of valence shifters on mining implicit economic opinions, Proceedings of the International Conference on Artificial Intelligence: Methodology, Systems, and Applications, pp. 131-140, (2010); Balahur A., Hermida J.M., Montoyo A., Detecting implicit expressions of emotion in text: A comparative analysis, Decis. Support Syst, 53, pp. 742-753, (2012); Klinger R., De Clercq O., Mohammad S., Balahur A., IEST: WASSA-2018 Implicit Emotions Shared Task, Proceedings of the 9th Workshop on Computational Approaches to Subjectivity, Sentiment and Social Media Analysis, pp. 31-42, (2018); Li D., Wang J., Zhang X., CIEA: A Corpus for Chinese Implicit Emotion Analysis, Proceedings of the 2019 International Conference on Asian Language Processing (IALP), pp. 90-95, (2019); Jacobs G., Hoste V., SENTiVENT: Enabling Supervised Information Extraction of Company-Specific Events in Economic and Financial News, Lang. Resour. Eval; Wu Z., Ying C., Zhao F., Fan Z., Dai X., Xia R., Grid Tagging Scheme for Aspect-oriented Fine-grained Opinion Extraction, Proceedings of the Findings of the Association for Computational Linguistics: EMNLP 2020, pp. 2576-2585; Quirk R., Greenbaum S., Leech G., Svartvik J., A Comprehensive Grammar of the English Language, (1985); Wiebe J., Wilson T., Cardie C., Annotating Expressions of Opinions and Emotions in Language, Comput. Intell, 39, pp. 165-210, (2005); Li Q., Shah S., Learning Stock Market Sentiment Lexicon and Sentiment-Oriented Word Vector from StockTwits, Proceedings of the 21st Conference on Computational Natural Language Learning (CoNLL 2017), pp. 301-310, (2017); Zhang L., Liu B., Identifying Noun Product Features that Imply Opinions, Proceedings of the 49th Annual Meeting of the Association for Computational Linguistics: Human Language Technologies, pp. 575-580, (2011); Feng S., Kang J.S., Kuznetsova P., Choi Y., Connotation lexicon: A dash of sentiment beneath the surface meaning, Proceedings of the 51st Annual Meeting of the Association for Computational Linguistics, 1, pp. 1774-1784, (2013); Wilson T., Annotating Subjective Content in Meetings, Proceedings of the Sixth International Conference on Language Resources and Evaluation (LREC‚Äô08), (2008); Scherer K.R., Wallbott H.G., Evidence for universality and cultural variation of differential emotion response patterning, J. Personal. Soc. Psychol, 66, (1994); Troiano E., Pado S., Klinger R., Crowdsourcing and Validating Event-focused Emotion Corpora for German and English, Proceedings of the 57th Annual Meeting of the Association for Computational Linguistics, pp. 4005-4011, (2019); Balahur A., Hermida J.M., Montoyo A., Munoz R., EmotiNet: A Knowledge Base for Emotion Detection in Text Built on the Appraisal Theories, Proceedings of the 16th International Conference on Natural Language Processing and Information Systems, pp. 27-39, (2011); Russo I., Caselli T., Strapparava C., SemEval-2015 Task 9: CLIPEval Implicit Polarity of Events, Proceedings of the 9th International Workshop on Semantic Evaluation (SemEval 2015), pp. 443-450, (2015); Deng L., Choi Y., Wiebe J., Benefactive/malefactive event and writer attitude annotation, Proceedings of the 51st Annual Meeting of the Association for Computational Linguistics, 2, pp. 120-125, (2013); Deng L., Wiebe J., Sentiment Propagation via Implicature Constraints, Proceedings of the 14th Conference of the European Chapter of the Association for Computational Linguistics, pp. 377-385, (2014); Huang H.H., Wang J.J., Chen H.H., Implicit opinion analysis: Extraction and polarity labelling, J. Assoc. Inf. Sci. Technol, 68, pp. 2076-2087, (2017); Hu M., Liu B., Mining and summarizing customer reviews, Proceedings of the Tenth ACM SIGKDD International Conference on Knowledge Discovery and Data Mining, pp. 168-177, (2004); Feldman R., Techniques and Applications for Sentiment Analysis, Commun. ACM, 56, pp. 82-89, (2013); Pontiki M., Galanis D., Pavlopoulos J., Papageorgiou H., Androutsopoulos I., Manandhar S., SemEval-2014 Task 4: Aspect Based Sentiment Analysis, Proceedings of the 8th International Workshop on Semantic Evaluation (SemEval 2014), pp. 27-35, (2014); Pontiki M., Galanis D., Papageorgiou H., Manandhar S., Androutsopoulos I., SemEval-2015 Task 12: Aspect Based Sentiment Analysis, Proceedings of the 9th International Workshop on Semantic Evaluation (SemEval 2015), pp. 486-495, (2015); Pontiki M., Galanis D., Papageorgiou H., Androutsopoulos I., Manandhar S., AL-Smadi M., Al-Ayyoub M., Zhao Y., Qin B., De Clercq O., Et al., SemEval-2016 Task 5: Aspect Based Sentiment Analysis, Proceedings of the 10th International Workshop on Semantic Evaluation (SemEval-2016), pp. 19-30, (2016); Qiu G., Liu B., Bu J., Chen C., Opinion word expansion and target extraction through double propagation, Comput. Linguist, 37, pp. 9-27, (2011); Liu K., Xu L., Zhao J., Syntactic patterns versus word alignment: Extracting opinion targets from online reviews, Proceedings of the 51st Annual Meeting of the Association for Computational Linguistics, 1, pp. 1754-1763, (2013); Liu P., Joty S., Meng H., Fine-grained opinion mining with recurrent neural networks and word embeddings, Proceedings of the 2015 Conference on Empirical Methods in Natural Language Processing, pp. 1433-1443, (2015); Yin Y., Wei F., Dong L., Xu K., Zhang M., Zhou M., Unsupervised word and dependency path embeddings for aspect term extraction, (2016); Wang W., Pan S.J., Dahlmeier D., Xiao X., Coupled multi-layer attentions for co-extraction of aspect and opinion terms, Proceedings of the 31st AAAI Conference on Artificial Intelligence and the 29th Innovative Applications of Artificial Intelligence Applications, pp. 3316-3322, (2017); He R., Lee W.S., Ng H.T., Dahlmeier D., An unsupervised neural attention model for aspect extraction, Proceedings of the 55th Annual Meeting of the Association for Computational Linguistics, 1, pp. 388-397, (2017); Li X., Bing L., Lam W., Shi B., Transformation Networks for Target-Oriented Sentiment Classification, Proceedings of the 56th Annual Meeting of the Association for Computational Linguistics, 1, pp. 946-956, (2018); Wu C., Wu F., Wu S., Yuan Z., Huang Y., A hybrid unsupervised method for aspect term and opinion target extraction, Knowl.-Based Syst, 148, pp. 66-73, (2018); Xu H., Liu B., Shu L., Yu P.S., Double Embeddings and CNN-based Sequence Labeling for Aspect Extraction, Proceedings of the 56th Annual Meeting of the Association for Computational Linguistics, 2, pp. 592-598, (2018); Dong L., Wei F., Tan C., Tang D., Zhou M., Xu K., Adaptive Recursive Neural Network for Target-dependent Twitter Sentiment Classification, Proceedings of the 52nd Annual Meeting of the Association for Computational Linguistics, 2, pp. 49-54, (2014); Tang D., Qin B., Liu T., Aspect Level Sentiment Classification with Deep Memory Network, Proceedings of the 2016 Conference on Empirical Methods in Natural Language Processing, pp. 214-224, (2016); Wang Y., Huang M., Zhu X., Zhao L., Attention-based LSTM for Aspect-level Sentiment Classification, Proceedings of the 2016 Conference on Empirical Methods in Natural Language Processing, pp. 606-615, (2016); Ma Y., Peng H., Cambria E., Targeted aspect-based sentiment analysis via embedding commonsense knowledge into an attentive LSTM, Proceedings of the 32nd AAAI Conference on Artificial Intelligence, (2018); Xue W., Li T., Aspect Based Sentiment Analysis with Gated Convolutional Networks, Proceedings of the 56th Annual Meeting of the Association for Computational Linguistics, 1, pp. 2514-2523, (2018); Li Z., Wei Y., Zhang Y., Zhang X., Li X., Exploiting coarse-to-fine task transfer for aspect-level sentiment classification, Proceedings of the 33rd AAAI Conference on Artificial Intelligence, pp. 4253-4260, (2019); Mitchell M., Aguilar J., Wilson T., Van Durme B., Open Domain Targeted Sentiment, Proceedings of the 2013 Conference on Empirical Methods in Natural Language Processing, pp. 1643-1654, (2013); Mao Y., Shen Y., Yu C., Cai L., A Joint Training Dual-MRC Framework for Aspect Based Sentiment Analysis, Proceedings of the 35th AAAI Conference on Artificial Intelligence, pp. 13543-13551, (2021); Fan Z., Wu Z., Dai X.Y., Huang S., Chen J., Target-oriented Opinion Words Extraction with Target-fused Neural Sequence Labeling, Proceedings of the 2019 Conference of the North American Chapter of the Association for Computational Linguistics: Human Language Technologies, 1, pp. 2509-2518, (2019); Wang F., Lan M., Wang W., Towards a One-stop Solution to Both Aspect Extraction and Sentiment Analysis Tasks with Neural Multi-task Learning, Proceedings of the 2018 International Joint Conference on Neural Networks (IJCNN), pp. 1-8, (2018); Li X., Bing L., Li P., Lam W., A unified model for opinion target extraction and target sentiment prediction, Proceedings of the 33rd AAAI Conference on Artificial Intelligence, pp. 6714-6721, (2019); He R., Lee W.S., Ng H.T., Dahlmeier D., An Interactive Multi-Task Learning Network for End-to-End Aspect-Based Sentiment Analysis, Proceedings of the 57th Annual Meeting of the Association for Computational Linguistics, pp. 504-515, (2019); Peng H., Xu L., Bing L., Huang F., Lu W., Si L., Knowing What, How and Why: A Near Complete Solution for Aspect-Based Sentiment Analysis, Proceedings of the 34th AAAI Conference on Artificial Intelligence, pp. 8600-8607, (2020); Feldman R., Rosenfeld B., Bar-Haim R., Fresko M., The Stock Sonar-Sentiment Analysis of Stocks Based on a Hybrid Approach, Proceedings of the 23rd Innovative Applications of Artificial Intelligence Conference, pp. 1642-1647, (2011); Makrehchi M., Shah S., Liao W., Stock Prediction Using Event-Based Sentiment Analysis, Proceedings of the 2013 IEEE/WIC/ACM International Joint Conferences on Web Intelligence (WI) and Intelligent Agent Technologies (IAT), pp. 337-342, (2013); Li X., Xie H., Chen L., Wang J., Deng X., News impact on stock price return via sentiment analysis, Knowl.-Based Syst, 69, pp. 14-23, (2014); Gupta R., Chen M., Sentiment Analysis for Stock Price Prediction, Proceedings of the 2020 IEEE Conference on Multimedia Information Processing and Retrieval (MIPR), pp. 213-218, (2020); Jin Z., Yang Y., Liu Y., Stock closing price prediction based on sentiment analysis and LSTM, Neural Comput. Appl, 32, pp. 1-17, (2019); Mohan S., Mullapudi S., Sammeta S., Vijayvergia P., Anastasiu D.C., Stock price prediction using news sentiment analysis, Proceedings of the 2019 IEEE Fifth International Conference on Big Data Computing Service and Applications (BigDataService), pp. 205-208, (2019); Guijarro F., Moya-Clemente I., Saleemi J., Liquidity risk and investors‚Äô mood: Linking the financial market liquidity to sentiment analysis through twitter in the S&amp;P500 index, Sustainability, 11, (2019); Ghiassi M., Skinner J., Zimbra D., Twitter brand sentiment analysis: A hybrid system using n-gram analysis and dynamic artificial neural network, Expert Syst. Appl, 40, pp. 6266-6282, (2013); Mostafa M.M., More than words: Social networks‚Äô text mining for consumer brand sentiments, Expert Syst. Appl, 40, pp. 4241-4251, (2013); Boudt K., Thewissen J., Jockeying for Position in CEO Letters: Impression Management and Sentiment Analytics, Financ. Manag, 48, pp. 77-115, (2019); Baker S.R., Bloom N., Davis S.J., Measuring economic policy uncertainty, Q. J. Econ, 131, pp. 1593-1636, (2016); Tobback E., Naudts H., Daelemans W., Junque de Fortuny E., Martens D., Belgian economic policy uncertainty index: Improvement through text mining, Int. J. Forecast, 34, pp. 355-365, (2018); Ardia D., Bluteau K., Boudt K., Questioning the news about economic growth: Sparse forecasting using thousands of news-based sentiment values, Int. J. Forecast, 35, pp. 1370-1386, (2019); Kalamara E., Turrell A., Redl C., Kapetanios G., Kapadia S., Making Text Count: Economic Forecasting Using Newspaper Text, (2020); Nyman R., Kapadia S., Tuckett D., News and narratives in financial systems: Exploiting big data for systemic risk assessment, J. Econ. Dyn. Control, 127, (2021); Oliveira N., Cortez P., Areal N., On the Predictability of Stock Market Behavior Using StockTwits Sentiment and Posting Volume, Progress in Artificial Intelligence, pp. 355-365, (2013); Ranco G., Aleksovski D., Caldarelli G., Grcar M., Mozetic I., The effects of Twitter sentiment on stock price returns, PLoS ONE, 10, (2015); Jaggi M., Mandal P., Narang S., Naseem U., Khushi M., Text Mining of Stocktwits Data for Predicting Stock Prices, Appl. Syst. Innov, 4, (2021); Buechel S., Hahn U., Goldenstein J., Handschke S.G.M., Walgenbach P., Do Enterprises Have Emotions?, Proceedings of the 7th Workshop on Computational Approaches to Subjectivity, Sentiment and Social Media Analysis, pp. 147-153, (2016); Song Y., Wang H., Zhu M., Sustainable strategy for corporate governance based on the sentiment analysis of financial reports with CSR, Financ. Innov, 4, pp. 1-14, (2018); Ahmadi Z., Martens P., Koch C., Gottron T., Kramer S., Towards bankruptcy prediction: Deep sentiment mining to detect financial distress from business management reports, Proceedings of the 2018 IEEE 5th International Conference on Data Science and Advanced Analytics (DSAA), pp. 293-302, (2018); Khedr A.E., Salama S., Yaseen N., Predicting stock market behavior using data mining technique and news sentiment analysis, Int. J. Intell. Syst. Appl, 9, (2017); Shapiro A.H., Sudhof M., Wilson D.J., Measuring news sentiment, J. Econom, (2020); Drury B., Almeida J.a.J., Identification of Fine Grained Feature Based Event and Sentiment Phrases from Business News Stories, Proceedings of the International Conference on Web Intelligence, Mining and Semantics (WIMS ‚Äô11), (2011); Malo P., Sinha A., Korhonen P., Wallenius J., Takala P., Good debt or bad debt: Detecting semantic orientations in economic texts, J. Assoc. Inf. Sci. Technol, 65, pp. 782-796, (2014); Chen C.C., Huang H.H., Chen H.H., Issues and Perspectives from 10,000 Annotated Financial Social Media Data, Proceedings of the 12th Language Resources and Evaluation Conference, pp. 6106-6110, (2020); Cortis K., Freitas A., Daudert T., Huerlimann M., Zarrouk M., Handschuh S., Davis B., SemEval-2017 Task 5: Fine-Grained Sentiment Analysis on Financial Microblogs and News, Proceedings of the 11th International Workshop on Semantic Evaluation (SemEval-2017), pp. 519-535, (2017); Maia M., Handschuh S., Freitas A., Davis B., McDermott R., Zarrouk M., Balahur A., WWW‚Äô18 Open Challenge: Financial Opinion Mining and Question Answering, Proceedings of the Web Conference, pp. 1941-1942, (2018); Brown G.W., Cliff M.T., Investor sentiment and the near-term stock market, J. Empir. Financ, 11, pp. 1-27, (2004); Long J.B.D., Shleifer A., Summers L.H., Waldmann R.J., Noise Trader Risk in Financial Markets, J. Political Econ, 98, pp. 703-738, (1990); Baker M., Wurgler J., Investor sentiment in the stock market, J. Econ. Perspect, 21, pp. 129-152, (2007); Kearney C., Liu S., Textual sentiment in finance: A survey of methods and models, Int. Rev. Financ. Anal, 33, pp. 171-185, (2014); Van De Kauter M., Breesch D., Hoste V., Fine-grained analysis of explicit and implicit sentiment in financial news articles, Expert Syst. Appl, 42, pp. 4999-5010, (2015); Jacobs G., Lefever E., Hoste V., Economic event detection in company-specific news text, Proceedings of the First Workshop on Economics and Natural Language Processing, pp. 1-10, (2018); Jacobs G., Hoste V., Extracting Fine-Grained Economic Events from Business News, Proceedings of the 1st Joint Workshop on Financial Narrative Processing and MultiLing Financial Summarisation, pp. 235-245, (2020); Aguilar J., Beller C., McNamee P., Van Durme B., Strassel S., Song Z., Ellis J., A comparison of the events and relations across ACE, ERE, TAC-KBP, and FrameNet annotation standards, Proceedings of the Second Workshop on Events: Definition, Detection, Coreference, and Representation, pp. 45-53, (2014); Song Z., Bies A., Strassel S., Riese T., Mott J., Ellis J., Wright J., Kulick S., Ryant N., Ma X., From light to rich ERE: Annotation of entities, relations, and events, Proceedings of the 3rd Workshop on EVENTS: Definition, Detection, Coreference, and Representation, pp. 89-98, (2015); Morante R., Sporleder C., Modality and negation: An introduction to the special issue, Comput. Linguist, 38, pp. 223-260, (2012); Fleiss J.L., Measuring nominal scale agreement among many raters, Psychol. Bull, 76, (1971); Krippendorff K., Reliability in content analysis: Some common misconceptions and recommendations, Hum. Commun. Res, 30, pp. 411-433, (2004); Gwet K.L., Handbook of Inter-Rater Reliability: How to Estimate the Level of Agreement between Two or Multiple Raters, (2001); Gwet K.L., Inter-rater reliability: Dependency on trait prevalence and marginal homogeneity, Stat. Methods Inter-Rater Reliab. Assess. Ser, 2, (2002); Lee G.E., Sun A., A study on agreement in Pico span annotations, Proceedings of the 42nd International ACM SIGIR Conference on Research and Development in Information Retrieval, pp. 1149-1152, (2019); Pavlopoulos J., Androutsopoulos I., Aspect term extraction for sentiment analysis: New datasets, new evaluation measures and an improved unsupervised method, Proceedings of the 5th Workshop on Language Analysis for Social Media (LASM), pp. 44-52, (2014); Thet T.T., Na J.C., Khoo C.S., Aspect-based sentiment analysis of movie reviews on discussion boards, J. Inf. Sci, 36, pp. 823-848, (2010); Gwet K.L., Handbook of Inter-Rater Reliability: The Definitive Guide to Measuring the Extent of Agreement among Raters, (2014); Landis J.R., Koch G.G., The measurement of observer agreement for categorical data, Biometrics, 33, pp. 159-174, (1977); Li L., Jamieson K., DeSalvo G., Rostamizadeh A., Talwalkar A., Hyperband: A novel bandit-based approach to hyperparameter optimization, J. Mach. Learn. Res, 18, pp. 6765-6816, (2017); Dror R., Baumer G., Shlomov S., Reichart R., The Hitchhiker‚Äôs Guide to Testing Statistical Significance in Natural Language Processing, Proceedings of the 56th Annual Meeting of the Association for Computational Linguistics, 1, pp. 1383-1392, (2018); Manning C.D., Surdeanu M., Bauer J., Finkel J., Bethard S.J., McClosky D., The Stanford CoreNLP Natural Language Processing Toolkit, Proceedings of the 52nd Annual Meeting of the Association for Computational Linguistics: System Demonstrations, pp. 55-60, (2014); Devlin J., Chang M.W., Lee K., Toutanova K., BERT: Pretraining of Deep Bidirectional Transformers for Language Understanding, Proceedings of the 2019 Conference of the North American Chapter of the Association for Computational Linguistics: Human Language Technologies, 1, pp. 4171-4186, (2019); Liu Y., Ott M., Goyal N., Du J., Joshi M., Chen D., Levy O., Lewis M., Zettlemoyer L., Stoyanov V., Roberta: A robustly optimized bert pretraining approach, (2019); Yang Z., Dai Z., Yang Y., Carbonell J., Salakhutdinov R., Le Q.V., XLNet: Generalized Autoregressive Pretraining for Language Understanding, (2019); He P., Liu X., Gao J., Chen W., DeBERTa: Decoding-Enhanced BERT with Disentangled Attention, (2020); Araci D., FinBERT: Financial Sentiment Analysis with Pretrained Language Models, (2019); Yang Y., UY M.C.S., Huang A., FinBERT: A Pretrained Language Model for Financial Communications, (2020); Huang A.H., Zang A.Y., Zheng R., Evidence on the information content of text in analyst reports, Account. Rev, 89, pp. 2151-2180, (2014); Henry E., Are investors influenced by how earnings press releases are written?, J. Bus. Commun, 45, pp. 363-407, (2008); Chen C.C., Huang H.H., Chen H.H., NTUSD-Fin: A Market Sentiment Dictionary for Financial Social Media Data Applications, Proceedings of the 1st Financial Narrative Processing Workshop (FNP 2018), (2018); Loughran T., McDonald B., When is a liability not a liability? Textual analysis, dictionaries, and 10-Ks, J. Financ, 66, pp. 35-65, (2011); Bodnaruk A., Loughran T., McDonald B., Using 10-K text to gauge financial constraints, J. Financ. Quant. Anal, 50, pp. 623-646, (2015); Loughran T., McDonald B., Textual analysis in accounting and finance: A survey, J. Account. Res, 54, pp. 1187-1230, (2016); Moreno-Ortiz A., Fernandez-Cruz J., Hernandez C.P.C., Design and Evaluation of SentiEcon: A fine-grained Economic/Financial Sentiment Lexicon from a Corpus of Business News, Proceedings of the 12th Language Resources and Evaluation Conference, pp. 5065-5072, (2020); Mohammad S., Dunne C., Dorr B., Generating high-coverage semantic orientation lexicons from overtly marked words and a thesaurus, Proceedings of the 2009 Conference on Empirical Methods in Natural Language Processing: A Meeting of SIGDAT, a Special Interest Group of ACL, Held in Conjunction with ACL-IJCNLP 2009, pp. 599-608, (2009); Baccianella S., Esuli A., Sebastiani F., Sentiwordnet 3.0: An enhanced lexical resource for sentiment analysis and opinion mining, Lrec, 10, pp. 2200-2204, (2010); Guerini M., Gatti L., Turchi M., Sentiment Analysis: How to Derive Prior Polarities from SentiWordNet, Proceedings of the 2013 Conference on Empirical Methods in Natural Language Processing, pp. 1259-1269, (2013); Tausczik Y.R., Pennebaker J.W., The psychological meaning of words: LIWC and computerized text analysis methods, J. Lang. Soc. Psychol, 29, pp. 24-54, (2010); Saha S., Mausam, Open Information Extraction from Conjunctive Sentences, Proceedings of the 27th International Conference on Computational Linguistics, pp. 2288-2299, (2018); Saha S., Pal H., Mausam, Bootstrapping for Numerical Open IE, Proceedings of the 55th Annual Meeting of the Association for Computational Linguistics, 2, pp. 317-323, (2017); Chen H.Y., Chen H.H., Implicit Polarity and Implicit Aspect Recognition in Opinion Mining, Proceedings of the 54th Annual Meeting of the Association for Computational Linguistics, 2, pp. 20-25, (2016); Wei J., Liao J., Yang Z., Wang S., Zhao Q., BiLSTM with Multi-Polarity Orthogonal Attention for Implicit Sentiment Analysis, Neurocomputing, 383, pp. 165-173, (2020); Khandelwal A., Britto B.K., Multitask Learning of Negation and Speculation using Transformers, Proceedings of the 11th International Workshop on Health Text Mining and Information Analysis, pp. 79-87; Zhang T., Gong X., Chen C.L.P., BMT-Net: Broad Multitask Transformer Network for Sentiment Analysis, IEEE Trans. Cybern, pp. 1-12, (2021); Kuncoro A., Kong L., Fried D., Yogatama D., Rimell L., Dyer C., Blunsom P., Syntactic Structure Distillation Pretraining for Bidirectional Encoders, Trans. Assoc. Comput. Linguist, 8, pp. 776-794, (2020); Sachan D., Zhang Y., Qi P., Hamilton W.L., Do Syntax Trees Help Pre-trained Transformers Extract Information?, Proceedings of the 16th Conference of the European Chapter of the Association for Computational Linguistics, pp. 2647-2661, (2021); Balazs J.A., Velasquez J.D., Opinion mining and information fusion: A survey, Inf. Fusion, 27, pp. 95-110, (2016); Jacobs G., Replication Data for Fine-Grained Implicit Sentiment in Financial News, (2021); Liu Z., Mitamura T., Hovy E., Evaluation Algorithms for Event Nugget Detection: A Pilot Study, Proceedings of the 3rd Workshop on EVENTS: Definition, Detection, Coreference, and Representation, pp. 53-57, (2015); Wolf T., Debut L., Sanh V., Chaumond J., Delangue C., Moi A., Cistac P., Rault T., Louf R., Funtowicz M., Et al., HuggingFace‚Äôs Transformers: State-of-the-art Natural Language Processing, (2019); Biewald L., Experiment Tracking with Weights and Biases, (2020)</t>
  </si>
  <si>
    <t>G. Jacobs; Language and Translation Technology Team (LT3), Department of Translation Interpreting and Communication, Ghent University, Ghent, Groot-Brittani√´laan 45, 9000, Belgium; email: gilles.jacobs@ugent.be</t>
  </si>
  <si>
    <t>2-s2.0-85118264345</t>
  </si>
  <si>
    <t>Jung S.; Myaeng S.-H.</t>
  </si>
  <si>
    <t>Jung, Seokwoo (57208276627); Myaeng, Sung-Hyon (6601919335)</t>
  </si>
  <si>
    <t>57208276627; 6601919335</t>
  </si>
  <si>
    <t>Pre-Training a Neural Model to Overcome Data Scarcity in Relation Extraction from Text</t>
  </si>
  <si>
    <t>2019 IEEE International Conference on Big Data and Smart Computing, BigComp 2019 - Proceedings</t>
  </si>
  <si>
    <t>10.1109/BIGCOMP.2019.8679242</t>
  </si>
  <si>
    <t>https://www.scopus.com/inward/record.uri?eid=2-s2.0-85064616052&amp;doi=10.1109%2fBIGCOMP.2019.8679242&amp;partnerID=40&amp;md5=6862632fc2b41f11c2829183d433c6b8</t>
  </si>
  <si>
    <t>AiRS(Ai Recommender System), NAVER R and D Center, Seongnam, South Korea; School of Computing, Korea Advanced Institute of Science and Technology, Daejeon, South Korea</t>
  </si>
  <si>
    <t>Jung S., AiRS(Ai Recommender System), NAVER R and D Center, Seongnam, South Korea; Myaeng S.-H., School of Computing, Korea Advanced Institute of Science and Technology, Daejeon, South Korea</t>
  </si>
  <si>
    <t>Data scarcity is a major stumbling block in relation extraction. We propose an unsupervised pre-training method for extracting relational information from a huge amount of unlabeled data prior to supervised learning in the situation where hard to make golden labeled data. An objective function not requiring any labeled data is adopted during the pre-training phase, with an attempt to predict clue words crucial for inferring semantic relation types between two entities in a given sentence. The experimental result on public datasets shows that our approach achieves similar performance by using only 70% of data in a data-scarce setting. ¬© 2019 IEEE.</t>
  </si>
  <si>
    <t>dependency parsing; pcnn; pre-training; relation extraction; sentence embedding; unsupervised learning</t>
  </si>
  <si>
    <t>Big data; Extraction; Machine learning; Semantics; Syntactics; Unsupervised learning; Dependency parsing; pcnn; Pre-training; Relation extraction; sentence embedding; Data mining</t>
  </si>
  <si>
    <t>Ministry of Science, ICT and Future Planning, MSIP, (2017M3C4A7065962); Ministry of Science, ICT and Future Planning, MSIP; National Research Foundation of Korea, NRF</t>
  </si>
  <si>
    <t>This research was supported by Next-Generation Information Computing Development Program through the National Research Foundation of Korea(NRF) funded by the Ministry of Science, ICT (2017M3C4A7065962).</t>
  </si>
  <si>
    <t>Banko M., Cafarella M.J., Soderland S., Broadhead M., Etzioni O., Open information extraction from the web, Proceedings of IJCAI, pp. 2670-2676, (2007); Blitzer J., Dredze M., Pereira F., Biographies, bollywood, boom-boxes and blenders: Domain adaptation for sentiment classification, Proceedings of ACL, (2007); Bunescu R.C., Mooney R.J., A shortest path dependency kernel for relation extraction, Proceedings of HLT/EMNLP, pp. 724-731, (2005); Chen D., Manning C.D., A fast and accurate dependency parser using neural networks, Proceedings of EMNLP, pp. 740-750, (2014); Dai W., Xue G., Yang Q., Yu Y., Transferring naive bayes classifiers for text classification, Proceedings of AAAI, pp. 540-545, (2007); De Souza C.R., Gaidon A., Cabon Y., Lopez Pena A.M., Procedural generation of videos to train deep action recognition networks, CoRR, abs/1612.00881, (2016); Deng J., Dong W., Socher R., Li L., Li K., Li F., Imagenet: A large-scale hierarchical image database, 2009 IEEE Computer Society Conference on Computer Vision and Pattern Recognition CVPR, pp. 248-255, (2009); Desmet B., Hoste V., Fine-grained Dutch named entity recognition, Language Resources and Evaluation, 48, 2, pp. 307-343, (2014); Erhan D., Bengio Y., Courville A.C., Manzagol P.-A., Vincent P., Bengio S., Why does unsupervised pre-training help deep learning?, Journal of Machine Learning Research, 11, pp. 625-660, (2010); Hachey B., Grover C., Tobin R., Datasets for generic relation extraction, Natural Language Engineering, 18, 1, pp. 21-59, (2012); Hendrickx I., Nam Kim S., Kozareva Z., Nakov P., Seaghdha D.O., Pado S., Pennacchiotti M., Romano L., Szpakowicz S., Semeval-2010 task 8: Multi-way classification of semantic relations between pairs of nominals, Proceedings of the 5th International Workshop on Semantic Evaluation, pp. 33-38, (2010); Hinton G.E., Connectionist learning procedures, Artificial Intelligence, 40, 1-3, pp. 185-234, (1989); Li Z., Qu L., Xu Q., Johnson M., Unsupervised pre-training with sequence reconstruction loss for deep relation extraction models, Australasian Language Technology Association Workshop 2016, (2016); Lin Y., Shen S., Liu Z., Luan H., Sun M., Neural relation extraction with selective attention over instances, Proceedings of ACL, (2016); Van Der Maaten L., Hinton G., Visualizing data using t-sne, Journal of Machine Learning Research, 9, pp. 2579-2605, (2008); Marin J., Vazquez D., Geronimo D., Lopez A.M., Learning appearance in virtual scenarios for pedestrian detection, The Twenty-Third IEEE Conference on Computer Vision and Pattern Recognition, CVPR, pp. 137-144, (2010); Mikolov T., Sutskever I., Chen K., Corrado G.S., Dean J., Distributed representations of words and phrases and their compositionality, Proceedings of NIPS, pp. 3111-3119, (2013); Min B., Shi S., Grishman R., Lin C., Ensemble semantics for large-scale unsupervised relation extraction, Proceedings of EMNLP-CoNLL, pp. 1027-1037, (2012); Mintz M., Bills S., Snow R., Jurafsky D., Distant supervision for relation extraction without labeled data, Proceedings of ACL, pp. 1003-1011, (2009); Nakashole N., Weikum G., Suchanek F.M., PATTY: A taxonomy of relational patterns with semantic types, Proceedings of EMNLP-CoNLL, pp. 1135-1145, (2012); Jialin Pan S., Yang Q., A survey on transfer learning, IEEE Transactions on Knowledge and Data Engineering, 22, 10, pp. 1345-1359, (2010); Jialin Pan S., Wenchen Zheng V., Yang Q., Hao Hu D., Transfer learning for wifi-based indoor localization, Association for the Advancement of Artificial Intelligence (AAAI) Workshop, (2008); Raina R., Battle A., Lee H., Packer B., Ng A.Y., Self-taught learning: Transfer learning from unlabeled data, Proceedings of ICML, pp. 759-766, (2007); Socher R., Huval B., Manning C.D., Ng A.Y., Semantic compositionality through recursive matrix-vector spaces, Proceedings of EMNLP, pp. 1201-1211, (2012); Zelenko D., Aone C., Richardella A., Kernel methods for relation extraction, Journal of Machine Learning Research, 3, pp. 1083-1106, (2003); Zeng D., Liu K., Chen Y., Zhao J., Distant supervision for relation extraction via piecewise convolutional neural networks, Proceedings of EMNLP, pp. 1753-1762, (2015); Zeng D., Liu K., Lai S., Zhou G., Zhao J., Relation classification via convolutional deep neural network, Proceedings of COLING, pp. 2335-2344, (2014); Zhou G., Su J., Zhang J., Zhang M., Exploring various knowledge in relation extraction, Proceedings of ACL, pp. 427-434, (2005); Zhu J., Nie Z., Liu X., Zhang B., Wen J.-R., Statsnowball: A statistical approach to extracting entity relationships, Proceedings of WWW, pp. 101-110, (2009)</t>
  </si>
  <si>
    <t>IEEE; Korean Institute of Information Scientists and Engineers (KIISE)</t>
  </si>
  <si>
    <t>2019 IEEE International Conference on Big Data and Smart Computing, BigComp 2019</t>
  </si>
  <si>
    <t>27 February 2019 through 2 March 2019</t>
  </si>
  <si>
    <t>Kyoto</t>
  </si>
  <si>
    <t>146803.0</t>
  </si>
  <si>
    <t>978-153867789-6</t>
  </si>
  <si>
    <t>IEEE Int. Conf. Big Data Smart Comput., BigComp - Proc.</t>
  </si>
  <si>
    <t>2-s2.0-85064616052</t>
  </si>
  <si>
    <t>q2</t>
  </si>
  <si>
    <t>Jian Z.; Liu S.; Yin H.</t>
  </si>
  <si>
    <t>Jian, Zhaorui (58175349700); Liu, Shenquan (59257789500); Yin, Huixin (58175877000)</t>
  </si>
  <si>
    <t>58175349700; 59257789500; 58175877000</t>
  </si>
  <si>
    <t>A Multi-granularity Contrastive Learning for Distantly Supervised Relation Extraction</t>
  </si>
  <si>
    <t>14875 LNAI</t>
  </si>
  <si>
    <t>352.0</t>
  </si>
  <si>
    <t>364.0</t>
  </si>
  <si>
    <t>10.1007/978-981-97-5663-6_30</t>
  </si>
  <si>
    <t>https://www.scopus.com/inward/record.uri?eid=2-s2.0-85201218545&amp;doi=10.1007%2f978-981-97-5663-6_30&amp;partnerID=40&amp;md5=a94b6f75958752616d7d6f9df49c03dd</t>
  </si>
  <si>
    <t>School of Computer Science and Technology, Xinjiang University, Urumqi, 830046 , China</t>
  </si>
  <si>
    <t>Jian Z., School of Computer Science and Technology, Xinjiang University, Urumqi, 830046 , China; Liu S., School of Computer Science and Technology, Xinjiang University, Urumqi, 830046 , China; Yin H., School of Computer Science and Technology, Xinjiang University, Urumqi, 830046 , China</t>
  </si>
  <si>
    <t>Distant supervision, which automates the generation of annotated data, can alleviate the issue of data scarcity in model training. Previous works of distantly supervised relation extraction typically belonged to the bag-level approach, focusing on the context and background information of the entity pair within the instance bags while neglecting the complementarity and interaction between features of varying granularities. We introduce a Multi-Granularity Contrastive Learning for Distantly Supervised Relation Extraction (MGCL) to mitigate the adverse effects of noise in distant supervision. MGCL employs multi-granularity features to construct contrastive learning samples and adopts an asymmetrical contrastive classification strategy during the contrastive phase, aiding the model in understanding textual information from diverse perspectives, thereby obtaining richer and more multidimensional learning signals. In the contrasting process, MGCL also leverages the constraining connections between entities and relations to enrich the semantic background for rare relations. Experiments demonstrate that MGCL surpasses various mainstream baseline models in the relation extraction capability on the public dataset and surpasses the SOTA method in terms of AUC and P@M. This work not only advances the frontiers of distantly supervised relation extraction but also opens new avenues for exploring contrastive learning strategies in noisy environments. ¬© The Author(s), under exclusive license to Springer Nature Singapore Pte Ltd. 2024.</t>
  </si>
  <si>
    <t>Contrastive learning; Distantly supervised relation extraction; Multi-granularity feature interaction</t>
  </si>
  <si>
    <t>Classification (of information); Extraction; Learning systems; Background information; Context information; Contrastive learning; Data scarcity; Distantly supervised relation extraction; Feature interactions; Model training; Multi-granularity; Multi-granularity feature interaction; Relation extraction; Semantics</t>
  </si>
  <si>
    <t>National Key Research and Development Program of China, NKRDPC, (2022ZD0115801); Major Science and Technology Projects in Xinjiang Uygur Autonomous Region, (2022A02012-1); National Natural Science Foundation of China, NSFC, (61966034)</t>
  </si>
  <si>
    <t>This work was funded by the National Key R&amp;D Program of China (No. 2022ZD0115801), the Major Science and Technology Projects in Xinjiang Uygur Autonomous Region (No. 2022A02012-1), and the National Natural Science Foundation of China (No. 61966034).</t>
  </si>
  <si>
    <t>Zeng D., Liu K., Chen Y., Zhao J., Distant supervision for relation extraction via piecewise convolutional neural networks, Proceedings of the 2015 Conference on Empirical Methods in Natural Language Processing, pp. 1753-1762, (2015); Zhang J., Cao M., Distant supervision for relation extraction with hierarchical attention-based networks, Expert Syst. Appl., 220, (2023); Wu S., Fan K., Zhang Q., Improving distantly supervised relation extraction with neural noise converter and conditional optimal selector, Proceedings of the Thirty-Third AAAI Conference on Artificial Intelligence and Thirty-First Innovative Applications of Artificial Intelligence Conference and Ninth AAAI Symposium on Educational Advances in Artificial Intelligence, pp. 7273-7280, (2019); Li P., Zhang X., Jia W., Zhao H., Gan driven semi-distant supervision for relation extraction, Proceedings of the 2019 Conference of the North American Chapter of the Association for Computational Linguistics: Human Language Technologies, Volume 1 (Long and Short Papers),¬† Pp. 3026‚Äì3035, (2019); Ma R., Gui T., Li L., Zhang Q., Huang X.J., Zhou Y., Sent: Sentence-level distant relation extraction via negative training, Proceedings of the 59Th Annual Meeting of the Association for Computational Linguistics and the 11Th International Joint Conference on Natural Language Processing, 1, pp. 6201-6213, (2021); Li D., Zhang T., Hu N., Wang C., He X., HiCLRE: A hierarchical contrastive learning framework for distantly supervised relation extraction, Findings of the Association for Computational Linguistics: ACL, pp. 2567-2578, (2022); Devlin J., Chang M.W., Lee K., Toutanova K., BERT: Pre-training of deep bidirectional transformers for language understanding, Proceedings of the 2019 Conference of the North American Chapter of the Association for Computational Linguistics: Human Language Technologies, Volume 1 (Long and Short Papers), Pp. 4171‚Äì4186, (2019); Kipf T.N., Welling M., Semi-supervised classification with graph convolutional networks, International Conference on Learning Representations, (2016); Gao T., Yao X., Chen D., SimCSE: Simple contrastive learning of sentence embeddings, Proceedings of the 2021 Conference on Empirical Methods in Natural Language Processing, pp. 6894-6910, (2021); Wu X., Gao C., Zang L., Han J., Wang Z., Hu S., ESimCSE: Enhanced sample building method for contrastive learning of unsupervised sentence embedding, Proceedings of the 29Th International Conference on Computational Linguistics, pp. 3898-3907, (2022); Lin Y., Shen S., Liu Z., Luan H., Sun M., Neural relation extraction with selective attention over instances, Proceedings of the 54Th Annual Meeting of the Association for Computational Linguistics, 1, pp. 2124-2133, (2016); Liang T., Liu Y., Liu X., Zhang H., Sharma G., Guo M., Distantly-supervised long-tailed relation extraction using constraint graphs, IEEE Trans. Knowl. Data Eng., 35, 6852-6865, (2022); Pradhan S., Et al., Towards robust linguistic analysis using ontonotes, Proceedings of the Seventeenth Conference on Computational Natural Language Learning, pp. 143-152, (2013); Hadsell R., Chopra S., Lecun Y., Dimensionality reduction by learning an invariant mapping, 2006 IEEE Computer Society Conference on Computer Vision and Pattern Recognition (CVPR‚Äô06), Vol. 2, Pp. 1735‚Äì1742. IEEE, (2006); Oord A.V.D., Li Y., Vinyals O., Representation Learning with Contrastive Predictive Coding. Arxiv Preprint Arxiv, 1807, (2018); Riedel S., Yao L., McCallum A., Marlin B.M., Relation extraction with matrix factorization and universal schemas, Proceedings of the 2013 Conference of the North American Chapter of the Association for Computational Linguistics: Human Language Technologies, pp. 74-84, (2013); Alt C., Hubner M., Hennig L., Fine-tuning pre-trained transformer language models to distantly supervised relation extraction, Proceedings of the 57th¬†Annual Meeting of the Association for Computational Linguistics, pp. 1388-1398, (2019); Chen T., Shi H., Tang S., Chen Z., Wu F., Zhuang Y., CIL: Contrastive instance learning framework for distantly supervised relation extraction, Proceedings of the 59Th Annual Meeting of the Association for Computational Linguistics and the 11Th International Joint Conference on Natural Language Processing, 1, pp. 6191-6200, (2021); Zhang N., Deng S., Sun Z., Wang G., Chen X., Zhang W., Chen H., Longtail relation extraction via knowledge graph embeddings and graph convolution networks, Proceedings of the 2019 Conference of the North American Chapter of the Association for Computational Linguistics: Human Language Technologies, Volume 1 (Long and Short Papers), Pp. 3016‚Äì3025, (2019); Han X., Yu P., Liu Z., Sun M., Li P., Hierarchical relation extraction with coarse-to-fine grained attention, Proceedings of the 2018 Conference on Empirical Methods in Natural Language Processing, pp. 2236-2245, (2018); Cao Y., Kuang J., Gao M., Zhou A., Wen Y., Chua T.S., Learning relation prototype from unlabeled texts for long-tail relation extraction, IEEE Trans. Knowl. Data Eng., (2021); Soares L.B., Fitzgerald N., Ling J., Kwiatkowski T., Matching the blanks: Distributional similarity for relation learning, Proceedings of the 57Th Annual Meeting of the Association for Computational Linguistics, pp. 2895-2905, (2019); Vashishth S., Joshi R., Prayaga S.S., Bhattacharyya C., Talukdar P., Reside: Improving distantly-supervised neural relation extraction using side information, Proceedings of the 2018 Conference on Empirical Methods in Natural Language Processing, pp. 1257-1266, (2018); Christou D., Tsoumakas G., Improving distantly-supervised relation extraction through bert-based label and instance embeddings, IEEE Access, 9, pp. 62574-62582, (2021)</t>
  </si>
  <si>
    <t>S. Liu; School of Computer Science and Technology, Xinjiang University, Urumqi, 830046 , China; email: liu@xju.edu.cn</t>
  </si>
  <si>
    <t>Huang D.-S.; Zhang Q.; Zhang X.</t>
  </si>
  <si>
    <t>20th International Conference on Intelligent Computing, ICIC 2024</t>
  </si>
  <si>
    <t>5 August 2024 through 8 August 2024</t>
  </si>
  <si>
    <t>Tianjin</t>
  </si>
  <si>
    <t>316369.0</t>
  </si>
  <si>
    <t>978-981975662-9</t>
  </si>
  <si>
    <t>2-s2.0-85201218545</t>
  </si>
  <si>
    <t>Meng S.; Hu X.; Liu A.; Li S.; Ma F.; Yang Y.; Wen L.</t>
  </si>
  <si>
    <t>Meng, Shiao (57985444300); Hu, Xuming (57219742451); Liu, Aiwei (57746750500); Li, Shu'ang (57188809539); Ma, Fukun (57305349300); Yang, Yawen (57274917800); Wen, Lijie (14030649200)</t>
  </si>
  <si>
    <t>57985444300; 57219742451; 57746750500; 57188809539; 57305349300; 57274917800; 14030649200</t>
  </si>
  <si>
    <t>RAPL: A Relation-Aware Prototype Learning Approach for Few-Shot Document-Level Relation Extraction</t>
  </si>
  <si>
    <t>5208.0</t>
  </si>
  <si>
    <t>5226.0</t>
  </si>
  <si>
    <t>https://www.scopus.com/inward/record.uri?eid=2-s2.0-85184806846&amp;partnerID=40&amp;md5=a8d988f415e212edfe2cc08cd2ed8181</t>
  </si>
  <si>
    <t>School of Software, Tsinghua University, China</t>
  </si>
  <si>
    <t>Meng S., School of Software, Tsinghua University, China; Hu X., School of Software, Tsinghua University, China; Liu A., School of Software, Tsinghua University, China; Li S., School of Software, Tsinghua University, China; Ma F., School of Software, Tsinghua University, China; Yang Y., School of Software, Tsinghua University, China; Wen L., School of Software, Tsinghua University, China</t>
  </si>
  <si>
    <t>How to identify semantic relations among entities in a document when only a few labeled documents are available? Few-shot document-level relation extraction (FSDLRE) is crucial for addressing the pervasive data scarcity problem in real-world scenarios. Metric-based meta-learning is an effective framework widely adopted for FSDLRE, which constructs class prototypes for classification. However, existing works often struggle to obtain class prototypes with accurate relational semantics: 1) To build prototype for a target relation type, they aggregate the representations of all entity pairs holding that relation, while these entity pairs may also hold other relations, thus disturbing the prototype. 2) They use a set of generic NOTA (none-of-the-above) prototypes across all tasks, neglecting that the NOTA semantics differs in tasks with different target relation types. In this paper, we propose a relation-aware prototype learning method for FSDLRE to strengthen the relational semantics of prototype representations. By judiciously leveraging the relation descriptions and realistic NOTA instances as guidance, our method effectively refines the relation prototypes and generates task-specific NOTA prototypes. Extensive experiments demonstrate that our method outperforms state-of-the-art approaches by average 2.61% F1 across various settings of two FSDLRE benchmarks. ¬© 2023 Association for Computational Linguistics.</t>
  </si>
  <si>
    <t>Classification (of information); Computational linguistics; Extraction; Learning systems; Data scarcity; Labeled documents; Learning approach; Learning methods; Metalearning; Prototype learning; Real-world scenario; Relation extraction; Relational semantics; Semantic relations; Semantics</t>
  </si>
  <si>
    <t>Beijing Key Laboratory of Industrial Bigdata System; National Natural Science Foundation of China, NSFC, (62021002); National Natural Science Foundation of China, NSFC; National Key Research and Development Program of China, NKRDPC, (2019YFB1704003); National Key Research and Development Program of China, NKRDPC</t>
  </si>
  <si>
    <t>We sincerely thank the anonymous reviewers for their valuable comments. The work was supported by the National Key Research and Development Program of China (No. 2019YFB1704003), the National Nature Science Foundation of China (No. 62021002), Tsinghua BNRist and Beijing Key Laboratory of Industrial Bigdata System and Application.</t>
  </si>
  <si>
    <t>Soares Livio Baldini, FitzGerald Nicholas, Ling Jeffrey, Kwiatkowski Tom, Matching the blanks: Distributional similarity for relation learning, Proceedings of the 57th Annual Meeting of the Association for Computational Linguistics, pp. 2895-2905, (2019); Brown Tom, Mann Benjamin, Ryder Nick, Subbiah Melanie, Kaplan Jared D, Dhariwal Prafulla, Neelakantan Arvind, Shyam Pranav, Sastry Girish, Askell Amanda, Agarwal Sandhini, Herbert-Voss Ariel, Krueger Gretchen, Henighan Tom, Child Rewon, Ramesh Aditya, Ziegler Daniel, Wu Jeffrey, Winter Clemens, Hesse Chris, Chen Mark, Sigler Eric, Litwin Ma-teusz, Gray Scott, Chess Benjamin, Clark Jack, Berner Christopher, McCandlish Sam, Radford Alec, Sutskever Ilya, Amodei Dario, Language models are few-shot learners, Advances in Neural Information Processing Systems, pp. 1877-1901, (2020); Devlin Jacob, Chang Ming-Wei, Lee Kenton, Toutanova Kristina, BERT: Pre-training of deep bidirectional transformers for language understanding, Proceedings of the 2019 Conference of the North American Chapter of the Association for Computational Linguistics: Human Language Technologies, Volume 1 (Long and Short Papers), pp. 4171-4186, (2019); Duan Zhichao, Li Xiuxing, Li Zhenyu, Wang Zhuo, Wang Jianyong, Not just plain text! fuel document-level relation extraction with explicit syntax refinement and subsentence modeling, Findings of the Association for Computational Linguistics: EMNLP 2022, pp. 1941-1951, (2022); Eberts Markus, Ulges Adrian, An end-to-end model for entity-level relation extraction using multi-instance learning, Proceedings of the 16th Conference of the European Chapter of the Association for Computational Linguistics: Main Volume, pp. 3650-3660, (2021); Gunel Beliz, Du Jingfei, Conneau Alexis, Stoyanov Veselin, Supervised contrastive learning for pre-trained language model fine-tuning, International Conference on Learning Representations, (2021); Hu Xuming, Chen Junzhe, Meng Shiao, Wen Lijie, Yu Philip S., Selflre: Self-refining representation learning for low-resource relation extraction, Proceedings of the 46th International ACM SI-GIR Conference on Research and Development in Information Retrieval, pp. 2364-2368, (2023); Hu Xuming, Hong Zhaochen, Zhang Chenwei, Liu Aiwei, Meng Shiao, Wen Lijie, King Irwin, Yu Philip S., Reading broadly to open your mind improving open relation extraction with search documents under self-supervisions, IEEE Transactions on Knowledge and Data Engineering, pp. 1-14, (2023); Hu Xuming, Liu Aiwei, Tan Zeqi, Zhang Xin, Zhang Chenwei, King Irwin, Yu Philip S., GDA: Generative data augmentation techniques for relation extraction tasks, Findings of the Association for Computational Linguistics: ACL 2023, pp. 10221-10234, (2023); Hu Xuming, Wen Lijie, Xu Yusong, Zhang Chenwei, Yu Philip, SelfORE: Self-supervised relational feature learning for open relation extraction, Proceedings of the 2020 Conference on Empirical Methods in Natural Language Processing (EMNLP), pp. 3673-3682, (2020); Hu Xuming, Zhang Chenwei, Yang Yawen, Li Xiaohe, Lin Li, Wen Lijie, Yu Philip S., Gradient imitation reinforcement learning for low resource relation extraction, Proceedings of the 2021 Conference on Empirical Methods in Natural Language Processing, pp. 2737-2746, (2021); Huang Quzhe, Hao Shibo, Ye Yuan, Zhu Shengqi, Feng Yansong, Zhao Dongyan, Does recommend-revise produce reliable annotations? an analysis on missing instances in DocRED, Proceedings of the 60th Annual Meeting of the Association for Computational Linguistics (Volume 1: Long Papers), pp. 6241-6252, (2022); Jia Robin, Wong Cliff, Poon Hoifung, Document-level n-ary relation extraction with multiscale representation learning, Proceedings of the 2019 Conference of the North American Chapter of the Association for Computational Linguistics: Human Language Technologies, Volume 1 (Long and Short Papers), pp. 3693-3704, (2019); Khosla Prannay, Teterwak Piotr, Wang Chen, Sarna Aaron, Tian Yonglong, Isola Phillip, Maschinot Aaron, Liu Ce, Krishnan Dilip, Supervised contrastive learning, Advances in Neural Information Processing Systems, pp. 18661-18673, (2020); 'ang Li Shu, Hu Xuming, Lin Li, Liu Aiwei, Wen Lijie, Yu Philip S., A multi-level supervised contrastive learning framework for low-resource natural language inference, IEEE/ACM Transactions on Audio, Speech, and Language Processing, 31, pp. 1771-1783, (2023); Liu Aiwei, Hu Xuming, Lin Li, Wen Lijie, Semantic enhanced text-to-sql parsing via iteratively learning schema linking graph, Proceedings of the 28th ACM SIGKDD Conference on Knowledge Discovery and Data Mining, pp. 1021-1030, (2022); Liu Aiwei, Yu Honghai, Hu Xuming, 'ang Li Shu, Lin Li, Ma Fukun, Yang Yawen, Wen Lijie, Character-level white-box adversarial attacks against transformers via attachable subwords substitution, Proceedings of the 2022 Conference on Empirical Methods in Natural Language Processing, pp. 7664-7676, (2022); Liu Shuliang, Hu Xuming, Zhang Chenwei, 'ang Li Shu, Wen Lijie, Yu Philip, HiURE: Hierarchical exemplar contrastive learning for unsupervised relation extraction, Proceedings of the 2022 Conference of the North American Chapter of the Association for Computational Linguistics: Human Language Technologies, pp. 5970-5980, (2022); Loshchilov Ilya, Hutter Frank, Decoupled weight decay regularization, International Conference on Learning Representations, (2019); Luan Yi, He Luheng, Ostendorf Mari, Hajishirzi Hannaneh, Multi-task identification of entities, relations, and coreference for scientific knowledge graph construction, Proceedings of the 2018 Conference on Empirical Methods in Natural Language Processing, pp. 3219-3232, (2018); Ma Fukun, Hu Xuming, Liu Aiwei, Yang Yawen, Li Shuang, Yu Philip S., Wen Lijie, AMR-based network for aspect-based sentiment analysis, Proceedings of the 61st Annual Meeting of the Association for Computational Linguistics (Volume 1: Long Papers), pp. 322-337, (2023); Ma Youmi, Wang An, Okazaki Naoaki, DREEAM: Guiding attention with evidence for improving document-level relation extraction, Proceedings of the 17th Conference of the European Chapter of the Association for Computational Linguistics, pp. 1971-1983, (2023); Ma Yubo, Cao Yixin, Hong YongChing, Sun Aixin, Large language model is not a good few-shot information extractor, but a good reranker for hard samples!, (2023); Mintz Mike, Bills Steven, Snow Rion, Jurafsky Daniel, Distant supervision for relation extraction without labeled data, Proceedings of the Joint Conference of the 47th Annual Meeting of the ACL and the 4th International Joint Conference on Natural Language Processing of the AFNLP, pp. 1003-1011, (2009); Pantel Patrick, Pennacchiotti Marco, Espresso: Leveraging generic patterns for automatically harvesting semantic relations, Proceedings of the 21st International Conference on Computational Linguistics and 44th Annual Meeting of the Association for Computational Linguistics, pp. 113-120, (2006); Paszke Adam, Gross Sam, Massa Francisco, Lerer Adam, Bradbury James, Chanan Gregory, Killeen Trevor, Lin Zeming, Gimelshein Natalia, Antiga Luca, Desmaison Alban, Kopf Andreas, Yang Edward, DeVito Zachary, Raison Martin, Te-jani Alykhan, Chilamkurthy Sasank, Steiner Benoit, Fang Lu, Bai Junjie, Chintala Soumith, Pytorch: An imperative style, high-performance deep learning library, Advances in Neural Information Processing Systems, (2019); Popovic Nicholas, Farber Michael, Few-shot document-level relation extraction, Proceedings of the 2022 Conference of the North American Chapter of the Association for Computational Linguistics: Human Language Technologies, pp. 5733-5746, (2022); Qu Meng, Ren Xiang, Zhang Yu, Han Jiawei, Weakly-supervised relation extraction by pattern-enhanced embedding learning, Proceedings of the 2018 World Wide Web Conference, pp. 1257-1266, (2018); Quirk Chris, Poon Hoifung, Distant supervision for relation extraction beyond the sentence boundary, Proceedings of the 15th Conference of the European Chapter of the Association for Computational Linguistics: Volume 1, Long Papers, pp. 1171-1182, (2017); Rubin Ohad, Herzig Jonathan, Berant Jonathan, Learning to retrieve prompts for in-context learning, Proceedings of the 2022 Conference of the North American Chapter of the Association for Computational Linguistics: Human Language Technologies, pp. 2655-2671, (2022); Sabo Ofer, Elazar Yanai, Goldberg Yoav, Dagan Ido, Revisiting Few-shot Relation Classification: Evaluation Data and Classification Schemes, Transactions of the Association for Computational Linguistics, 9, pp. 691-706, (2021); Snell Jake, Swersky Kevin, Zemel Richard, Prototypical networks for few-shot learning, Advances in Neural Information Processing Systems, (2017); Sun Qi, Huang Kun, Yang Xiaocui, Hong Pengfei, Zhang Kun, Poria Soujanya, Uncertainty guided label denoising for document-level distant relation extraction, Proceedings of the 61st Annual Meeting of the Association for Computational Linguistics (Volume 1: Long Papers), pp. 15960-15973, (2023); Tan Qingyu, He Ruidan, Bing Lidong, Ng Hwee Tou, Document-level relation extraction with adaptive focal loss and knowledge distillation, Findings of the Association for Computational Linguistics: ACL 2022, pp. 1672-1681, (2022); Tan Qingyu, Xu Lu, Bing Lidong, Ng Hwee Tou, Aljunied Sharifah Mahani, Revisiting DocRED - addressing the false negative problem in relation extraction, Proceedings of the 2022 Conference on Empirical Methods in Natural Language Processing, pp. 8472-8487, (2022); Touvron Hugo, Lavril Thibaut, Izacard Gautier, Martinet Xavier, Lachaux Marie-Anne, Lacroix Timothee, Roziere Baptiste, Goyal Naman, Hambro Eric, Azhar Faisal, Et al., Llama: Open and efficient foundation language models, (2023); Van der Maaten Laurens, Hinton Geoffrey, Visualizing data using t-sne, Journal of machine learning research, 9, 11, (2008); Vinyals Oriol, Blundell Charles, Lillicrap Timothy, kavukcuoglu koray, Wierstra Daan, Matching networks for one shot learning, Advances in Neural Information Processing Systems, (2016); Wadhwa Somin, Amir Silvio, Wallace Byron, Revisiting relation extraction in the era of large language models, Proceedings of the 61st Annual Meeting of the Association for Computational Linguistics (Volume 1: Long Papers), pp. 15566-15589, (2023); Wei Jason, Wang Xuezhi, Schuurmans Dale, Bosma Maarten, ichter brian, Xia Fei, Chi Ed, Le Quoc V, Zhou Denny, Chain-of-thought prompting elicits reasoning in large language models, Advances in Neural Information Processing Systems, pp. 24824-24837, (2022); Wei Ying, Li Qi, Sagdre: Sequence-aware graph-based document-level relation extraction with adaptive margin loss, Proceedings of the 28th ACM SIGKDD Conference on Knowledge Discovery and Data Mining, pp. 2000-2008, (2022); Wolf Thomas, Debut Lysandre, Sanh Victor, Chaumond Julien, Delangue Clement, Moi Anthony, Cistac Pierric, Rault Tim, Louf Remi, Funtowicz Morgan, Davison Joe, Shleifer Sam, von Platen Patrick, Ma Clara, Jernite Yacine, Plu Julien, Xu Canwen, Le Scao Teven, Gugger Sylvain, Drame Mariama, Lhoest Quentin, Rush Alexander, Transformers: State-of-the-art natural language processing, Proceedings of the 2020 Conference on Empirical Methods in Natural Language Processing: System Demonstrations, pp. 38-45, (2020); Xiao Yuxin, Zhang Zecheng, Mao Yuning, Yang Carl, Han Jiawei, SAIS: Supervising and augmenting intermediate steps for document-level relation extraction, Proceedings of the 2022 Conference of the North American Chapter of the Association for Computational Linguistics: Human Language Technologies, pp. 2395-2409, (2022); Xie Yiqing, Shen Jiaming, Li Sha, Mao Yuning, Han Jiawei, Eider: Empowering document-level relation extraction with efficient evidence extraction and inference-stage fusion, Findings of the Association for Computational Linguistics: ACL 2022, pp. 257-268, (2022); Xu Benfeng, Wang Quan, Lyu Yajuan, Zhu Yong, Mao Zhendong, Entity structure within and throughout: Modeling mention dependencies for document-level relation extraction, Proceedings of the AAAI Conference on Artificial Intelligence, 35, 16, pp. 14149-14157, (2021); Xu Liyan, Choi Jinho, Modeling task interactions in document-level joint entity and relation extraction, Proceedings of the 2022 Conference of the North American Chapter of the Association for Computational Linguistics: Human Language Technologies, pp. 5409-5416, (2022); Xu Tianyu, Hua Wen, Qu Jianfeng, Li Zhixu, Xu Jiajie, Liu An, Zhao Lei, Evidence-aware document-level relation extraction, Proceedings of the 31st ACM International Conference on Information &amp; Knowledge Management, pp. 2311-2320, (2022); Xu Wang, Chen Kehai, Zhao Tiejun, Discriminative reasoning for document-level relation extraction, Findings of the Association for Computational Linguistics: ACL-IJCNLP 2021, pp. 1653-1663, (2021); Yang Yawen, Hu Xuming, Ma Fukun, 'Ang Li Shu, Liu Aiwei, Wen Lijie, Yu Philip S., Gaussian prior reinforcement learning for nested named entity recognition, ICASSP 2023-2023 IEEE International Conference on Acoustics, Speech and Signal Processing (ICASSP), pp. 1-5, (2023); Yao Yuan, Ye Deming, Li Peng, Han Xu, Lin Yankai, Liu Zhenghao, Liu Zhiyuan, Huang Lixin, Zhou Jie, Sun Maosong, DocRED: A large-scale document-level relation extraction dataset, Proceedings of the 57th Annual Meeting of the Association for Computational Linguistics, pp. 764-777, (2019); Ye Junjie, Chen Xuanting, Xu Nuo, Zu Can, Shao Zekai, Liu Shichun, Cui Yuhan, Zhou Zeyang, Gong Chao, Shen Yang, Et al., A comprehensive capability analysis of gpt-3 and gpt-3.5 series models, (2023); Yu Jiaxin, Yang Deqing, Tian Shuyu, Relation-specific attentions over entity mentions for enhanced document-level relation extraction, Proceedings of the 2022 Conference of the North American Chapter of the Association for Computational Linguistics: Human Language Technologies, pp. 1523-1529, (2022); Zeng Shuang, Xu Runxin, Chang Baobao, Li Lei, Double graph based reasoning for document-level relation extraction, Proceedings of the 2020 Conference on Empirical Methods in Natural Language Processing (EMNLP), pp. 1630-1640, (2020); Zhang Ningyu, Chen Xiang, Xie Xin, Deng Shumin, Tan Chuanqi, Chen Mosha, Huang Fei, Si Luo, Chen Huajun, Document-level relation extraction as semantic segmentation, Proceedings of the Thirtieth International Joint Conference on Artificial Intelligence, IJCAI-21, pp. 3999-4006, (2021); Zhang Ruoyu, Li Yanzeng, Zou Lei, A novel table-to-graph generation approach for document-level joint entity and relation extraction, Proceedings of the 61st Annual Meeting of the Association for Computational Linguistics (Volume 1: Long Papers), pp. 10853-10865, (2023); Zhang Yuhao, Qi Peng, Manning Christopher D., Graph convolution over pruned dependency trees improves relation extraction, Proceedings of the 2018 Conference on Empirical Methods in Natural Language Processing, pp. 2205-2215, (2018); Zhou Wenxuan, Huang Kevin, Ma Tengyu, Huang Jing, Document-level relation extraction with adaptive thresholding and localized context pooling, Proceedings of the AAAI conference on artificial intelligence, pp. 14612-14620, (2021)</t>
  </si>
  <si>
    <t>L. Wen; School of Software, Tsinghua University, China; email: wenlj@tsinghua.edu.cn</t>
  </si>
  <si>
    <t>2-s2.0-85184806846</t>
  </si>
  <si>
    <t>Liu M.; Zhou F.; He J.; Yan X.</t>
  </si>
  <si>
    <t>Liu, Meizhen (57204286385); Zhou, Fengyu (12646806200); He, Jiakai (57219923463); Yan, Xiaohui (58427147500)</t>
  </si>
  <si>
    <t>57204286385; 12646806200; 57219923463; 58427147500</t>
  </si>
  <si>
    <t>Knowledge graph attention mechanism for distant supervision neural relation extraction</t>
  </si>
  <si>
    <t>109800.0</t>
  </si>
  <si>
    <t>10.1016/j.knosys.2022.109800</t>
  </si>
  <si>
    <t>https://www.scopus.com/inward/record.uri?eid=2-s2.0-85138756317&amp;doi=10.1016%2fj.knosys.2022.109800&amp;partnerID=40&amp;md5=161565a4b6fdcc6d4750c1d8d4a4064e</t>
  </si>
  <si>
    <t>School of Control Science and Engineering, Shandong University, Jinan, China</t>
  </si>
  <si>
    <t>Liu M., School of Control Science and Engineering, Shandong University, Jinan, China; Zhou F., School of Control Science and Engineering, Shandong University, Jinan, China; He J., School of Control Science and Engineering, Shandong University, Jinan, China; Yan X., School of Control Science and Engineering, Shandong University, Jinan, China</t>
  </si>
  <si>
    <t>Distant supervision neural relation extraction is used to classify the relation labels of instance bags with the same head‚Äìtail entity. Since there are usually multirelation labels in an entity pair, intensive noise occurs in the instance bag. Recent works mostly focused on developing an attention mechanism to degrade the weights of some sentences whose ground-truth relation labels are different from the instance bag. However, the general weakness is the failure to explore the semantic correlations between entity pair and its context. Additionally, the number of relation categories follows a long-tail distribution, and it is still a challenge to extract long-tail relations. Therefore, the Knowledge Graph ATTention (KGATT) mechanism is proposed to deal with the noises and long-tail problem, and it contains two modules: a fine-alignment mechanism and an inductive mechanism. In particular, the fine-alignment mechanism is used to learn the ground-truth relation of the sentence itself by aligning with all predefined relations. The inductive mechanism is employed to learn the enhanced relations from neighbors of the knowledge graph (KG) to compensate for data scarcity. With the mutual reinforcement of the two modules, our model can enrich the representation of the instance bag, which not only improves the generalization ability but also eases the long-tail phenomenon. Extensive experiments and ablation studies are conducted on the NYT-FB60K and GIDS-FB8K datasets, and the results show the KGATT is effective in improving performance. Based on Piecewise Convolution Neural Network (PCNN), our model achieves superior performances in various indicators as well as the long-tail relations. ¬© 2022</t>
  </si>
  <si>
    <t>Fine-alignment mechanism; Inductive mechanism; Knowledge graph; Long-tail phenomenon</t>
  </si>
  <si>
    <t>Extraction; Semantics; Alignment mechanism; Attention mechanisms; Fine-alignment mechanism; Ground truth; Inductive mechanism; Knowledge graphs; Learn+; Long tail; Long-tail phenomenon; Relation extraction; Knowledge graph</t>
  </si>
  <si>
    <t>Major Agricultural Applied Technological Innovation Projects of Shandong Province, (SD2019NJ014); Natural Science Foundation of Shandong Province, (ZR2019MF064); National Key Research and Development Program of China, NKRDPC, (2017YFB1302400, 2021GXRC079); Beijing Advanced Innovation Center for Intelligent Robots and Systems, Beijing Institute of Technology, BAICIRS, (2019IRS19)</t>
  </si>
  <si>
    <t>The authors are grateful to the anonymous reviewers and the editor for their valuable comments and suggestions. Project supported by The National Key R &amp; D Program of China ( 2017YFB1302400 ), Jinan ‚Äú20 New Colleges and Universities‚Äù Funded Scientific Research Leader Studio ( 2021GXRC079 ), Major Agricultural Applied Technological Innovation Projects of Shandong Province ( SD2019NJ014 ); Shandong Natural Science Foundation, China ( ZR2019MF064 ) Beijing Advanced Innovation Center for Intelligent Robots and Systems, China ( 2019IRS19 ).</t>
  </si>
  <si>
    <t>pp. 1003-1011, (2009); Riedel S., Yao L., McCallum A., Modeling relations and their mentions without labeled text, Joint European Conference on Machine Learning and Knowledge Discovery in Database, pp. 148-163, (2010); pp. 455-465, (2012); pp. 1753-1762, (2015); pp. 2236-2245, (2018); Bordes A., Usunier N., GarciaDuran A., Weston J., Yakhnenko O., Translating embeddings for modeling multi-relational data, Adv. Neural Inf. Process. Syst., pp. 2787-2795, (2013); Yang B., Yih W., He X., Gao J., Deng L., Embedding entities and relations for learning and inference in knowledge bases, International Conference on Learning Representation, ICLR, (2015); Trouillon T., Welbl J., Riedel S., Gaussier E., Bouchard G., Complex embeddings for simple link prediction, At International Conference on Machine Learning, ICML, pp. 2071-2080, (2016); Velickovic P., Cucurull G., Casanova A., Romero A., Lio P., Bengio Y., Graph attention networks, International Conference on Learning Representations, ICLR, (2018); Nathani D., Chauhan J., Sharma C., Kaul M., Learning attention-based embeddings for relation prediction in knowledge graphs, ACL, pp. 4710-4723, (2019); Han X., Liu Z., Sun M., Neural knowledge acquisition via mutual attention between knowledge graph and text, AAAI, pp. 4832-4839, (2018); Zhou G., Su J., Zhang J., Zhang M., Exploring various knowledge in relation extraction, 43rd Annual Meeting of the Association for Computational Linguistics, pp. 25-30, (2005); Mooney R., Bunescu R., Subsequence kernels for relation extraction, Advances in Neural Information Processing Systems, (2005); pp. 541-550, (2011); pp. 777-782; pp. 626-634, (2015); (2015); pp. 534-539, (2016); 1, pp. 2124-2133, (2016); Lin Y., Shen S., Liu Z., Luan H., Sun M., Neural relation extraction with selective attention over instances, ACL, pp. 2124-2133, (2016); pp. 2810-2819, (2019); Li Y., Long G., Shen T., Zhou T., Yao L., Huo H., Jiang J., Self-attention enhanced selective gate with entity-aware embedding for distantly supervised relation extraction, (2019); pp. 1254-1263, (2016); pp. 1723-1729, (2017); pp. 285-290, (2015); pp. 1785-1794, (2019); Zhou Y., Pan L., Bai C., Luo S., Wu Z., Self-selective attention using correlation between instances for distant supervision relation extraction, Neural Netw., pp. 213-220, (2021); Shang Y.-M., Huang H., Sun X., Wei W., Mao X.-L., A pattern-aware self-attention network for distant supervised relation extraction, Inform. Sci., pp. 269-279, (2022); Thomas N., Kipf, Max Welling, Semi-Supervised Classification with Graph Convolutional Networks, (2017); (2021); (2017); Huang H., Lei M., Feng C., Graph-based reasoning model for multiple relation extraction, Neurocomputing, 420, pp. 162-170, (2021); Li Z., Sun Y., Zhu J., Tang U., Zhang C., Ma H., Improve relation extraction with dual attention-guided graph convolutional networks, Neural Comput. Appl., 33, pp. 1773-1784, (2021); Zhao K., Xu H., Cheng Y., Li X., Gao K., Representation iterative fusion based on heterogeneous graph neural network for joint entity and relation extraction, Knowl.-Based Syst., 219, (2021); Xie Y., Xu H., Li J., Yang C., Gao K., Heterogeneous graph neural networks for noisy few-shot relation classification, Knowl.-Based Syst., 194, (2020); Petar V., Cucurull G., Casanova A., Romero A., Lio P., Bengio Y., Graph attention networks, ICLR, (2018); Bordes A., Usunier N., GarciaDuran A., Weston J., Yakhnenko O., Translating embeddings for modeling multi-relational data, Advances in Neural Information Processing Systems, NIPS, pp. 2787-2795, (2013); pp. 687-696; pp. 3060-3066, (2017); pp. 3016-3025, (2019); pp. 3812-3820, (2019); Gou Y., Lei Y., Liu L., Zhang P., Peng X., A dynamic parameter enhanced network for distant supervised relation extraction, Knowl.-Based Syst., 197, (2020); pp. 1673-1685, (2021); pp. 34-43, (2017); pp. 1156-1166, (2018); Hoffmann R., Zhang C., Ling X., Zettlemoyer L., Weld D.S., Weld knowledge based weak supervision for information extraction of overlapping relations, ACL, pp. 541-550, (2011); Vaswani A., Shazeer N., Parmar N., Uszkoreit J., Jones L., Gomez A.N., Kaiser L., Polosukhin I., Attention is all you need, Advances in Neural Information Processing Systems 30, (2017); Jat S., Khandelwal S., Talukdar P., Improving distantly supervised relation extraction using word and entity-based attention, (2018); Vashishth S., Joshi R., Prayaga S.S., Bhattacharyya C., Talukdar P., RESIDE: Improving distantly-supervised neural relation extraction using side information, (2018)</t>
  </si>
  <si>
    <t>F. Zhou; School of Control Science and Engineering, Shandong University, Jinan, China; email: zhoufengyu@sdu.edu.cn</t>
  </si>
  <si>
    <t>2-s2.0-85138756317</t>
  </si>
  <si>
    <t>Tong Y.; Tong J.; Xia S.; Zhou Q.; Shen Y.</t>
  </si>
  <si>
    <t>Tong, Yetao (59643539000); Tong, Jijun (8878840700); Xia, Shudong (15128321100); Zhou, Qingli (55722111100); Shen, Yuqiang (57219486909)</t>
  </si>
  <si>
    <t>59643539000; 8878840700; 15128321100; 55722111100; 57219486909</t>
  </si>
  <si>
    <t>CECRel: A joint entity and relation extraction model for Chinese electronic medical records of coronary angiography via contrastive learning</t>
  </si>
  <si>
    <t>Journal of Biomedical Informatics</t>
  </si>
  <si>
    <t>104792.0</t>
  </si>
  <si>
    <t>10.1016/j.jbi.2025.104792</t>
  </si>
  <si>
    <t>https://www.scopus.com/inward/record.uri?eid=2-s2.0-85218637735&amp;doi=10.1016%2fj.jbi.2025.104792&amp;partnerID=40&amp;md5=cb83900f2c38c684ef4eea36916abe60</t>
  </si>
  <si>
    <t>School of Computer Science and Technology, Zhejiang Sci-Tech University, Zhejiang, Hangzhou, 310018, China; School of Information Science and Engineering, Zhejiang Sci-Tech University, Zhejiang, Hangzhou, 310018, China; Provincial Key Laboratory for Research and Translation of Kidney Deficiency-Stasis-Turbidity Disease, Zhejiang, China; The Fourth Affiliated Hospital of Zhejiang University School of Medicine, Zhejiang, Yiwu, 322000, China</t>
  </si>
  <si>
    <t>Tong Y., School of Computer Science and Technology, Zhejiang Sci-Tech University, Zhejiang, Hangzhou, 310018, China, Provincial Key Laboratory for Research and Translation of Kidney Deficiency-Stasis-Turbidity Disease, Zhejiang, China; Tong J., School of Information Science and Engineering, Zhejiang Sci-Tech University, Zhejiang, Hangzhou, 310018, China, Provincial Key Laboratory for Research and Translation of Kidney Deficiency-Stasis-Turbidity Disease, Zhejiang, China; Xia S., The Fourth Affiliated Hospital of Zhejiang University School of Medicine, Zhejiang, Yiwu, 322000, China; Zhou Q., The Fourth Affiliated Hospital of Zhejiang University School of Medicine, Zhejiang, Yiwu, 322000, China; Shen Y., The Fourth Affiliated Hospital of Zhejiang University School of Medicine, Zhejiang, Yiwu, 322000, China</t>
  </si>
  <si>
    <t>Entity and relation extraction from Chinese electronic medical records (EMRs) is a crucial foundation for constructing medical knowledge graphs and supporting downstream tasks. Chinese EMRs face challenges in accurately extracting medical entity relations due to limited data and the complexity of overlapping medical relationships. We propose CECRel, a joint extraction model for Chinese EMR entity relations based on contrastive learning and feature enhancement to address this issue. CECRel employs data augmentation strategies to generate positive and negative samples for contrastive loss computation and utilizes a feature enhancement module to enrich textual structural features, enabling the accurate extraction of complex relational triples. Experiments conducted on our constructed dataset, CACMeD, demonstrated that the model achieves an accuracy of 80.56%, a recall of 74.69%, and an F1 score of 77.51%. Furthermore, in the Baidu DuIE dataset, the model achieved an accuracy of 79.71%, a recall of 74.14%, and an F1 score of 76.82%, demonstrating that the proposed model is competitive among existing models. ¬© 2025 Elsevier Inc.</t>
  </si>
  <si>
    <t>Chinese electronic medical records; Contrastive learning; Data scarcity; Relation extraction; Relationship overlap</t>
  </si>
  <si>
    <t>Adversarial machine learning; Electronic health record; Chinese electronic medical record; Coronary angiography; Data scarcity; Entity extractions; Extraction modeling; F1 scores; Feature enhancement; Medical record; Relation extraction; Relationship overlap; article; coronary angiography; diagnosis; electronic medical record; human; knowledge graph; learning; major clinical study; male; Contrastive Learning</t>
  </si>
  <si>
    <t>Key R&amp;D Program of Zhejiang, (2024C03055, 2024C03270)</t>
  </si>
  <si>
    <t>This work was supported by the Key R&amp;D Program of Zhejiang (2024C03055) and the Key R&amp;D Program of Zhejiang (2024C03270).</t>
  </si>
  <si>
    <t>Lamy M., Pereira R., Ferreira J.C., Vasconcelos J.B., Melo F., Velez I., Extracting clinical information from electronic medical records, Ambient Intelligence‚ÄìSoftware and Applications‚Äì, 9th International Symposium on Ambient Intelligence, pp. 113-120, (2019); Zelenko D., Aone C., Richardella A., Kernel methods for relation extraction, J. Mach. Learn. Res., 3, pp. 1083-1106, (2003); Chan Y.S., Roth D., Exploiting syntactico-semantic structures for relation extraction, pp. 551-560, (2011); Li Q., Ji H., Incremental joint extraction of entity mentions and relations, pp. 402-412, (2014); Miwa M., Bansal M., End-to-end relation extraction using lstms on sequences and tree structures, (2016); Gupta P., Schutze H., Andrassy B., Table filling multi-task recurrent neural network for joint entity and relation extraction, pp. 2537-2547, (2016); Zhang M., Zhang Y., Fu G., End-to-end neural relation extraction with global optimization, pp. 1730-1740, (2017); Zheng S., Wang F., Bao H., Hao Y., Zhou P., Xu B., Joint extraction of entities and relations based on a novel tagging scheme, (2017); Dai D., Xiao X., Lyu Y., Dou S., She Q., Wang H., Joint extraction of entities and overlapping relations using position-attentive sequence labeling, 33, pp. 6300-6308, (2019); Wei Z., Su J., Wang Y., Tian Y., Chang Y., A novel cascade binary tagging framework for relational triple extraction, (2019); Wang Y., Yu B., Zhang Y., Liu T., Zhu H., Sun L., Tplinker: Single-stage joint extraction of entities and relations through token pair linking, (2020); Zeng X., Zeng D., He S., Liu K., Zhao J., Extracting relational facts by an end-to-end neural model with copy mechanism, pp. 506-514, (2018); Zeng X., He S., Zeng D., Liu K., Liu S., Zhao J., Learning the extraction order of multiple relational facts in a sentence with reinforcement learning, pp. 367-377, (2019); Nayak T., Ng H.T., Effective modeling of encoder‚Äìdecoder architecture for joint entity and relation extraction, 34, pp. 8528-8535, (2020); Zeng D., Zhang H., Liu Q., Copymtl: Copy mechanism for joint extraction of entities and relations with multi-task learning, 34, pp. 9507-9514, (2020); Gao T., Fisch A., Chen D., Making pre-trained language models better few-shot learners, (2020); Soares L.B., FitzGerald N., Ling J., Kwiatkowski T., Matching the blanks: Distributional similarity for relation learning, (2019); Zhang R., Ji Y., Zhang Y., Passonneau R.J., Contrastive data and learning for natural language processing, pp. 39-47, (2022); Yang Z., Lin H., Li Y., Exploiting the performance of dictionary-based bio-entity name recognition in biomedical literature, Comput. Biol. Chem., 32, 4, pp. 287-291, (2008); Zhang J., Shen D., Zhou G., Su J., Tan C.-L., Enhancing hmm-based biomedical named entity recognition by studying special phenomena, J. Biomed. Inform., 37, 6, pp. 411-422, (2004); Lei J., Tang B., Lu X., Gao K., Jiang M., Xu H., A comprehensive study of named entity recognition in chinese clinical text, J. Am. Med. Inform. Assoc., 21, 5, pp. 808-814, (2014); Liu Z., Yang M., Wang X., Chen Q., Tang B., Wang Z., Xu H., Entity recognition from clinical texts via recurrent neural network, BMC Med. Inform. Decis. Mak., 17, pp. 53-61, (2017); Li X., Zhang H., Zhou X.-H., Chinese clinical named entity recognition with variant neural structures based on bert methods, J. Biomed. Inform., 107, (2020); Wang J., Xu W., Fu X., Xu G., Wu Y., Astral: adversarial trained lstm-cnn for named entity recognition, Knowl.-Based Syst., 197, (2020); Qi T., Qiu S., Shen X., Chen H., Yang S., Wen H., Zhang Y., Wu Y., Huang Y., Kemre: Knowledge-enhanced medical relation extraction for chinese medicine instructions, J. Biomed. Inform., 120, (2021); Zhang Y., Lu Z., Exploring semi-supervised variational autoencoders for biomedical relation extraction, Methods, 166, pp. 112-119, (2019); Yang C., Xiao D., Luo Y., Li B., Zhao X., Zhang H., A hybrid method based on semi-supervised learning for relation extraction in chinese emrs, BMC Med. Inform. Decis. Mak., 22, 1, (2022); Sun K., Zhang R., Mensah S., Mao Y., Liu X., Progressive multi-task learning with controlled information flow for joint entity and relation extraction, 35, pp. 13851-13859, (2021); Cheng J., Long K., Zhang S., Zhang T., Ma L., Cheng S., Guo Y., Text-image scene graph fusion for multi-modal named entity recognition, IEEE Trans. Artif. Intell., (2023); Yu B., Zhang Z., Shu X., Liu T., Wang Y., Wang B., Li S., Joint extraction of entities and relations based on a novel decomposition strategy, ECAI 2020, pp. 2282-2289, (2020); Zheng H., Wen R., Chen X., Yang Y., Zhang Y., Zhang Z., Zhang N., Qin B., Xu M., Zheng Y., Prgc: Potential relation and global correspondence based joint relational triple extraction, (2021); Sui D., Zeng X., Chen Y., Liu K., Zhao J., Joint entity and relation extraction with set prediction networks, IEEE Trans. Neural Netw. Learn. Syst., (2023); Huang Y., Li Z., Deng W., Wang G., Lin Z., D-bert: Incorporating dependency-based attention into bert for relation extraction, CAAI Trans. Intell. Technol., 6, 4, pp. 417-425, (2021); Xu S., Sun S., Zhang Z., Xu F., Liu J., Bert gated multi-window attention network for relation extraction, Neurocomputing, 492, pp. 516-529, (2022); Zeng X., Zeng D., He S., Liu K., Zhao J., Extracting relational facts by an end-to-end neural model with copy mechanism, pp. 506-514, (2018); Sun C., Gong Y., Wu Y., Gong M., Jiang D., Lan M., Sun S., Duan N., Joint type inference on entities and relations via graph convolutional networks, pp. 1361-1370, (2019); Sui D., Zeng X., Chen Y., Liu K., Zhao J., Joint entity and relation extraction with set prediction networks, IEEE Trans. Neural Netw. Learn. Syst., (2023); Ma L., Kang H., Yu G., Li Q., He Q., Single-domain generalized predictor for neural architecture search system, IEEE Trans. Comput., (2024); Gao C., Zhang X., Li L., Li J., Zhu R., Du K., Ma Q., Ergm: A multi-stage joint entity and relation extraction with global entity match, Knowl.-Based Syst., 271, (2023); Brown T., Mann B., Ryder N., Subbiah M., Kaplan J.D., Dhariwal P., Neelakantan A., Shyam P., Sastry G., Askell A., Et al., Language models are few-shot learners, Adv. Neural Inf. Process. Syst., 33, pp. 1877-1901, (2020); Achiam J., Adler S., Agarwal S., Ahmad L., Akkaya I., Aleman F.L., Almeida D., Altenschmidt J., Altman S., Anadkat S., Et al., Gpt-4 technical report, (2023); Raffel C., Shazeer N., Roberts A., Lee K., Narang S., Matena M., Zhou Y., Li W., Liu P.J., Exploring the limits of transfer learning with a unified text-to-text transformer, J. Mach. Learn. Res., 21, 140, pp. 1-67, (2020); Touvron H., Lavril T., Izacard G., Martinet X., Lachaux M.-A., Lacroix T., Roziere B., Goyal N., Hambro E., Azhar F., Et al., Llama: Open and efficient foundation language models, (2023); Touvron H., Martin L., Stone K., Albert P., Almahairi A., Babaei Y., Bashlykov N., Batra S., Bhargava P., Bhosale S., Et al., Llama 2: Open foundation and fine-tuned chat models, (2023); Lee J., Yoon W., Kim S., Kim D., Kim S., So C.H., Kang J., Biobert: a pre-trained biomedical language representation model for biomedical text mining, Bioinformatics, 36, 4, pp. 1234-1240, (2020); Luo R., Sun L., Xia Y., Qin T., Zhang S., Poon H., Liu T.-Y., Biogpt: generative pre-trained transformer for biomedical text generation and mining, Brief. Bioinform., 23, 6, (2022); Luo L., Ning J., Zhao Y., Wang Z., Ding Z., Chen P., Fu W., Han Q., Xu G., Qiu Y., Et al., Taiyi: a bilingual fine-tuned large language model for diverse biomedical tasks, J. Am. Med. Inform. Assoc., (2024); Zhang T., Dong J., Wang J., Wang C., Wang A., Liu Y., Huang J., Li Y., He X., Revisiting and advancing chinese natural language understanding with accelerated heterogeneous knowledge pre-training, (2022); Devlin J., Chang M.-W., Lee K., Toutanova K., Bert: Pre-training of deep bidirectional transformers for language understanding, (2018); Wang C., Qiu M., Shi C., Zhang T., Liu T., Li L., Wang J., Wang M., Huang J., Lin W., Easynlp: A comprehensive and easy-to-use toolkit for natural language processing, (2022); Guo Q., Cao S., Yi Z., A medical question answering system using large language models and knowledge graphs, Int. J. Intell. Syst., 37, 11, pp. 8548-8564, (2022); Xiao Y., Zou C., Chi H., Fang R., Boosted gru model for short-term forecasting of wind power with feature-weighted principal component analysis, Energy, 267, (2023); Chiu J.P., Nichols E., Named entity recognition with bidirectional lstm-cnns, Trans. Assoc. Comput. Linguist., 4, pp. 357-370, (2016); Li S., He W., Shi Y., Jiang W., Liang H., Jiang Y., Zhang Y., Lyu Y., Zhu Y., Duie: A large-scale chinese dataset for information extraction, Natural Language Processing and Chinese Computing: 8th CCF International Conference, NLPCC 2019, Dunhuang, China, October (2019) 9‚Äì14, Proceedings, Part II, Vol. 8, pp. 791-800, (2019); Wang Y., Yu B., Zhang Y., Liu T., Zhu H., Sun L., Tplinker: Single-stage joint extraction of entities and relations through token pair linking, (2020); Shang Y.-M., Huang H., Mao X., Onerel: Joint entity and relation extraction with one module in one step, 36, pp. 11285-11293, (2022); Ren F., Zhang L., Zhao X., Yin S., Liu S., Li B., A simple but effective bidirectional framework for relational triple extraction, pp. 824-832, (2022); Xu B., Wang Q., Lyu Y., Shi Y., Zhu Y., Gao J., Mao Z., EmRel: Joint representation of entities and embedded relations for multi-triple extraction, Proceedings of the 2022 Conference of the North American Chapter of the Association for Computational Linguistics: Human Language Technologies, pp. 659-665, (2022); Zaratiana U., Tomeh N., Holat P., Charnois T., An autoregressive text-to-graph framework for joint entity and relation extraction, 38, pp. 19477-19487, (2024); Tucker L.R., Et al., The extension of factor analysis to three-dimensional matrices, Contrib. Math. Psychol., pp. 110-182, (1964); Nickel M., Rosasco L., Poggio T., Holographic embeddings of knowledge graphs, 30, (2016)</t>
  </si>
  <si>
    <t>J. Tong; School of Information Science and Engineering, Zhejiang Sci-Tech University, Hangzhou, Zhejiang, 310018, China; email: jijuntong@zstu.edu.cn</t>
  </si>
  <si>
    <t>Academic Press Inc.</t>
  </si>
  <si>
    <t>JBIOB</t>
  </si>
  <si>
    <t>J. Biomed. Informatics</t>
  </si>
  <si>
    <t>2-s2.0-85218637735</t>
  </si>
  <si>
    <t>Wang L.; Qu J.; Xu T.; Li Z.; Chen W.; Xu J.; Zhao L.</t>
  </si>
  <si>
    <t>Wang, Lei (57267664800); Qu, Jianfeng (56376283100); Xu, Tianyu (57801253100); Li, Zhixu (57191700379); Chen, Wei (57087491500); Xu, Jiajie (55183659400); Zhao, Lei (56726959900)</t>
  </si>
  <si>
    <t>57267664800; 56376283100; 57801253100; 57191700379; 57087491500; 55183659400; 56726959900</t>
  </si>
  <si>
    <t>Hybrid Enhancement-based prototypical networks for few-shot relation classification</t>
  </si>
  <si>
    <t>World Wide Web</t>
  </si>
  <si>
    <t>3207.0</t>
  </si>
  <si>
    <t>3226.0</t>
  </si>
  <si>
    <t>10.1007/s11280-023-01184-w</t>
  </si>
  <si>
    <t>https://www.scopus.com/inward/record.uri?eid=2-s2.0-85163770053&amp;doi=10.1007%2fs11280-023-01184-w&amp;partnerID=40&amp;md5=c87e0dea3c4e789d420778152ef20542</t>
  </si>
  <si>
    <t>School of Computer Science and Technology, Soochow University, Suzhou, 215006, China; School of Computer Science, Fudan University, Shanghai, 201203, China</t>
  </si>
  <si>
    <t>Wang L., School of Computer Science and Technology, Soochow University, Suzhou, 215006, China; Qu J., School of Computer Science and Technology, Soochow University, Suzhou, 215006, China; Xu T., School of Computer Science and Technology, Soochow University, Suzhou, 215006, China; Li Z., School of Computer Science, Fudan University, Shanghai, 201203, China; Chen W., School of Computer Science and Technology, Soochow University, Suzhou, 215006, China; Xu J., School of Computer Science and Technology, Soochow University, Suzhou, 215006, China; Zhao L., School of Computer Science and Technology, Soochow University, Suzhou, 215006, China</t>
  </si>
  <si>
    <t>Few-shot relation classification is to recognize the semantic relation between an entity pair with very few samples. Prototypical network has proven to be a simple yet effective few-shot learning method for relation extraction. However, under the condition of data scarcity, the relation prototypes we achieve are usually biased compared to the real ones computed from all samples within a relation class. To alleviate this issue, we propose hybrid enhancement-based prototypical networks. In particular, our model contains three main enhancement modules: 1) a query-guided prototype enhancement module using rich interactive information between the support instances and the query instance as guidance to obtain more accurate prototype representations; 2) a query enhancement module to diminish the distribution gap between the query set and the support set; 3) a support enhancement module adopting a pseudo-label strategy to expand the scale of available data. On basis of these modules, we further design a novel prototype attention fusion mechanism to fuse information and compute discriminative relation prototypes for classification. In this way, we hope to obtain unbiased representations closer to our expected prototypes by improving the available data scale and data utilization efficiency. Extensive experimental results on the widely-used FewRel dataset demonstrate the superiority of our proposed model. ¬© 2023, The Author(s), under exclusive licence to Springer Science+Business Media, LLC, part of Springer Nature.</t>
  </si>
  <si>
    <t>Enhancement-based; Few-shot learning; Prototypical networks; Relation classification; Unbiased relation prototypes</t>
  </si>
  <si>
    <t>Learning systems; Semantics; Condition; Enhancement-based; Few-shot learning; Learning methods; Prototypical network; Relation classifications; Relation extraction; Semantic relations; Simple++; Unbiased relation prototype; Classification (of information)</t>
  </si>
  <si>
    <t>Key Core Technology Research and Development in Suzhou, (SYC2022009); Natural Science Foundation of Educational Commission of Jiangsu Province, (21KJD520005); Postgraduate Research &amp; Practice Innovation Program of Jiangsu Province, (KYCX22_3197); National Natural Science Foundation of China, NSFC, (62072323, 62102276); Natural Science Foundation of Jiangsu Province, (BK20210705, BK20211307); Priority Academic Program Development of Jiangsu Higher Education Institutions, PAPD; Science and Technology Innovation Plan Of Shanghai Science and Technology Commission, (22511104700)</t>
  </si>
  <si>
    <t xml:space="preserve">Funding text 1: This work was supported by the National Natural Science Foundation of China (Grant No. 62102276), the Natural Science Foundation of Jiangsu Province (Grant No. BK20210705), the Natural Science Foundation of Educational Commission of Jiangsu Province, China (Grant No. 21KJD520005), and the Postgraduate Research &amp; Practice Innovation Program of Jiangsu Province (Grant No. KYCX22_3197). ; Funding text 2: This research is supported by the National Natural Science Foundation of China (Grant No. 62072323, 62102276), Shanghai Science and Technology Innovation Action Plan (No. 22511104700), Natural Science Foundation of Jiangsu Province (Grant No. BK20210705, BK20211307), the Priority Academic Program Development of Jiangsu Higher Education Institutions and Key Projects of Industrial Foresight and Key Core Technology Research and Development in Suzhou (SYC2022009). </t>
  </si>
  <si>
    <t>Mintz M., Bills S., Snow R., Jurafsky D., Distant supervision for relation extraction without labeled data, ACL/IJCNLP, pp. 1003-1011, (2009); Han X., Gao T., Lin Y., Peng H., Yang Y., Xiao C., Liu Z., Li P., Zhou J., Sun M., More data, more relations, more context and more openness: A review and outlook for relation extraction, AACL/IJCNLP, pp. 745-758, (2020); Han X., Zhu H., Yu P., Wang Z., Yao Y., Liu Z., Sun M., Fewrel: A large-scale supervised few-shot relation classification dataset with stateof- the-art evaluation, EMNLP, pp. 4803-4809, (2018); Finn C., Abbeel P., Levine S., Model-agnostic meta-learning for fast adaptation of deep networks, ICML. Proceedings of Machine Learning Research, 70, pp. 1126-1135, (2017); Munkhdalai T., Yu H., Meta networks, In: ICML. Proceedings of Machine Learning Research, 70, pp. 2554-2563, (2017); Dong B., Yao Y., Xie R., Gao T., Han X., Liu Z., Lin F., Lin L., Sun M., Meta-information guided meta-learning for few-shot relation classification, COLING, pp. 1594-1605, (2020); Snell J., Swersky K., Zemel R.S., Prototypical networks for few-shot learning, NIPS, pp. 4077-4087, (2017); Ye Z., Ling Z., Multi-level matching and aggregation network for fewshot relation classification, ACL (1), pp. 2872-2881, (2019); Gao T., Han X., Liu Z., Sun M., Hybrid Attention-Based Prototypical Networks for Noisy Few-Shot Relation Classification, pp. 6407-6414, (2019); Han J., Cheng B., Lu W., Exploring task difficulty for few-shot relation extraction, 1, pp. 2605-2616, (2021); Vinyals O., Blundell C., Lillicrap T., Kavukcuoglu K., Wierstra D., Matching networks for one shot learning, &lt;ref-sourcetitle&gt;,&lt;/ref-sourcetitle&gt;, pp. 3630-3638, (2016); Devlin J., Chang M., Lee K., Toutanova K., BERT: Pre-training of deep bidirectional transformers for language understanding, NAACL-HLT (1), pp. 4171-4186, (2019); Soares L.B., Fitzgerald N., Ling J., Kwiatkowski T., Matching the blanks: Distributional similarity for relation learning, ACL (1), pp. 2895-2905, (2019); Liu J., Song L., Qin Y., Prototype rectification for few-shot learning, ECCV (1). Lecture Notes in Computer Science, 12346, pp. 741-756, (2020); Pytorch: An imperative style, highperformance deep learning library, Neurips, Pp., pp. 8024-8035, (2019); Gao T., Han X., Zhu H., Liu Z., Li P., Sun M., Zhou J., Fewrel 2.0: Springer Nature 2021 LATEX template HEPN for Few-Shot Relation Classification 23 Towards more challenging few-shot relation classification, EMNLP/IJCNLP (1), pp. 6249-6254, (2019); Yang K., Zheng N., Dai X., He L., Huang S., Chen J., Enhance prototypical network with text descriptions for few-shot relation classification, CIKM, pp. 2273-2276, (2020); Wang Y., Bao J., Liu G., Wu Y., He X., Zhou B., Zhao T., Learning to decouple relations: Few-shot relation classification with entity-guided attention and confusion-aware training, COLING, pp. 5799-5809, (2020); Han J., Cheng B., Nan G., Learning discriminative and unbiased representations for few-shot relation extraction, CIKM, pp. 638-648, (2021); Han Y., Qiao L., Zheng J., Kan Z., Feng L., Gao Y., Tang Y., Zhai Q., Li D., Liao X., Multi-view interaction learning for few-shot relation classification, CIKM, pp. 649-658, (2021); Yu T., Yang M., Zhao X., Dependency-aware prototype learning for few-shot relation classification, COLING, pp. 2339-2345, (2022); Wang M., Zheng J., Cai F., Shao T., Chen H., DRK: Discriminative rule-based knowledge for relieving prediction confusions in few-shot relation extraction, COLING, Pp. 2129‚Äì2140, (2022); Sung F., Yang Y., Zhang L., Xiang T., Torr P.H.S., Hospedales T.M., Learning to compare: Relation network for few-shot learning, CVPR, pp. 1199-1208, (2018); Fan M., Bai Y., Sun M., Li P., Large margin prototypical network for few-shot relation classification with fine-grained features, CIKM, pp. 2353-2356, (2019); Ren H., Cai Y., Chen X., Wang G., Li Q., A two-phase prototypical network model for incremental few-shot relation classification, COLING, pp. 1618-1629, (2020); Geng X., Chen X., Zhu K.Q., Shen L., Zhao Y., MICK: A metalearning framework for few-shot relation classification with small training data, CIKM, pp. 415-424, (2020); Yang S., Zhang Y., Niu G., Zhao Q., Pu S., Entity concept-enhanced few-shot relation extraction, ACL/IJCNLP (2), pp. 987-991, (2021); Li X., Sun Q., Liu Y., Zhou Q., Zheng S., Chua T., Schiele B., Learning to self-train for semi-supervised few-shot classification, In: Neurips, pp. 10276-10286, (2019); Ren M., Triantafillou E., Ravi S., Snell J., Swersky K., Tenenbaum J.B., Larochelle H., Zemel R.S., Meta-learning for semi-supervised fewshot classification, ICLR (Poster), (2018); Liu Y., Lee J., Park M., Kim S., Yang E., Hwang S.J., Yang Y., Learning to propagate labels: Transductive propagation network for fewshot learning, ICLR (Poster), (2019)</t>
  </si>
  <si>
    <t>J. Qu; School of Computer Science and Technology, Soochow University, Suzhou, 215006, China; email: jfqu@suda.edu.cn</t>
  </si>
  <si>
    <t>1386145X</t>
  </si>
  <si>
    <t>2-s2.0-85163770053</t>
  </si>
  <si>
    <t>Neuberger J.; Doll L.; Engelmann B.; Ackermann L.; Jablonski S.</t>
  </si>
  <si>
    <t>Neuberger, Julian (57201404755); Doll, Leonie (59008982200); Engelmann, Benedikt (59008592200); Ackermann, Lars (56014676800); Jablonski, Stefan (56209556600)</t>
  </si>
  <si>
    <t>57201404755; 59008982200; 59008592200; 56014676800; 56209556600</t>
  </si>
  <si>
    <t>Leveraging Data Augmentation for¬†Process Information Extraction</t>
  </si>
  <si>
    <t>Lecture Notes in Business Information Processing</t>
  </si>
  <si>
    <t>511 LNBIP</t>
  </si>
  <si>
    <t>10.1007/978-3-031-61007-3_6</t>
  </si>
  <si>
    <t>https://www.scopus.com/inward/record.uri?eid=2-s2.0-85197163699&amp;doi=10.1007%2f978-3-031-61007-3_6&amp;partnerID=40&amp;md5=99be608ef43ca1a0da961930dcfd0407</t>
  </si>
  <si>
    <t>University of Bayreuth, Bayreuth, Germany</t>
  </si>
  <si>
    <t>Neuberger J., University of Bayreuth, Bayreuth, Germany; Doll L., University of Bayreuth, Bayreuth, Germany; Engelmann B., University of Bayreuth, Bayreuth, Germany; Ackermann L., University of Bayreuth, Bayreuth, Germany; Jablonski S., University of Bayreuth, Bayreuth, Germany</t>
  </si>
  <si>
    <t>Business Process Modeling projects often require formal process models as a central component. High costs associated with the creation of such formal process models motivated many different fields of research aimed at automated generation of process models from readily available data. These include process mining on event logs and generating business process models from natural language texts. Research in the latter field is regularly faced with the problem of limited data availability, hindering both evaluation and development of new techniques, especially learning-based ones. To overcome this data scarcity issue, in this paper we investigate the application of data augmentation for natural language text data. Data augmentation methods are well established in machine learning for creating new, synthetic data without human assistance. We find that many of these methods are applicable to the task of business process information extraction, improving the accuracy of extraction. Our study shows, that data augmentation is an important component in enabling machine learning methods for the task of business process model generation from natural language text, where currently mostly rule-based systems are still state of the art. Simple data augmentation techniques improved the F1 score of mention extraction by 2.9% points, and the F1 of relation extraction by 4.5. To better understand how data augmentation alters human annotated texts, we analyze the resulting text, visualizing and discussing the properties of augmented textual data. We make all code and experiments results publicly available (Code for our framework can be found at https://github.com/JulianNeuberger/pet-data-augmentation, detailed results for our experiments as MySQL dump can be downloaded from https://zenodo.org/doi/10.5281/zenodo.10941423.). ¬© The Author(s), under exclusive license to Springer Nature Switzerland AG 2024.</t>
  </si>
  <si>
    <t>Business Process Extraction; Data Augmentation; Natural Language Processing</t>
  </si>
  <si>
    <t>Data handling; HTTP; Information retrieval; Machine learning; Natural language processing systems; Business Process; Business process extraction; Business process modeling; Data augmentation; Formal process models; Language processing; Natural language processing; Natural languages; Natural languages texts; Process information; Data mining</t>
  </si>
  <si>
    <t>van der Aa H., Di Ciccio C., Leopold H., Reijers H.A., pp. 365-382, (2019); Ackermann L., Neuberger J., Jablonski S., Data-Driven Annotation of Textual Process Descriptions Based on Formal Meaning Representations; Akiba T., Sano S., Yanase T., Ohta T., Koyama M., Optuna: A next-generation hyperparameter optimization framework, SIGKDD International Conference on Knowledge Discovery &amp; Data Mining, (2019); Bellan P., Dragoni M., Ghidini C., Assisted Process Knowledge Graph Building Using Pre-Trained Language Models; Extracting Business Process Entities and Relations from Text Using Pre-Trained Language Models and In-Context Learning; Bellan P., Ghidini C., Dragoni M., Ponzetto S.P., van der Aa H., Process Extraction from Natural Language Text: The Pet Dataset and Annotation Guidelines, (2022); Bergstra J., Bardenet R., Bengio Y., Kegl B., Algorithms for hyper-parameter optimization, Advances in Neural Information Processing Systems, 24, (2011); Bordes A., Usunier N., Garcia-Duran A., Weston J., Yakhnenko O., Translating embeddings for modeling multi-relational data, Advances in Neural Information Processing Systems, 26, (2013); Devlin J., Chang M.W., Lee K., Toutanova K., BERT: Pre-Training of Deep Bidirectional Transformers for Language Understanding, (2018); Dhole K.D., Et al., Nl-Augmenter: A Framework for Task-Sensitive Natural Language Augmentation, (2021); Erdengasileng A., Et al., Pre-trained models, data augmentation, and ensemble learning for biomedical information extraction and document classification, Database, 2022, (2022); Feng S.Y., Et al., A Survey of Data Augmentation Approaches for NLP, (2021); Ferreira R.C.B., Thom L.H., Fantinato M., A semi-automatic approach to identify business process elements in natural language texts, ICEIS, (2017); Process Model Generation from Natural Language Text; Jiang Z., Han J., Sisman B., Dong X.L., CoRI: Collective relation integration with data augmentation for open information extraction, Arxiv Preprint, (2021); Kampik T., Et al., Large Process Models: Business Process Management in the Age of Generative AI. Arxiv Preprint Arxiv, 2309, (2023); Model-Agnostic Event Log Augmentation for Predictive Process Monitoring; Kappel M., Jablonski S., Schonig S., Evaluating predictive business process monitoring approaches on small event logs, QUATIC 2021. CCIS, 1439, pp. 167-182, (2021); Kappel M., Schonig S., Jablonski S., Leveraging small sample learning for business process management, Inf. Softw. Technol., 132, (2021); Klievtsova N., Benzin J.V., Kampik T., Mangler J., Rinderle-Ma S., Conversational process modelling: State of the art, applications, and implications in practice, BPM 2023. LNBIP, 490, pp. 319-336, (2023); Liu J., Chen Y., Xu J., Machine reading comprehension as data augmentation: A case study on implicit event argument extraction, EMNLP, (2021); Miller G.A., WordNet: A lexical database for English, CACM, 38, 11, pp. 39-41, (1995); Beyond Rule-Based Named Entity Recognition and Relation Extraction for Process Model Generation from Natural Language Text; Extracting Annotations from Textual Descriptions of Processes; Shorten C., Khoshgoftaar T.M., Furht B., Text data augmentation for deep learning, J. Big Data, 8, pp. 1-34, (2021); Srivastava N., Hinton G., Krizhevsky A., Sutskever I., Salakhutdinov R., Dropout: A simple way to prevent neural networks from overfitting, J. Mach. Learn. Res., 15, 1, pp. 1929-1958, (2014); Yao Y., Et al., Docred: A Large-Scale Document-Level Relation Extraction Dataset, (2019); Zoran D., Weiss Y., Scale Invariance and Noise in Natural Images, (2009)</t>
  </si>
  <si>
    <t>J. Neuberger; University of Bayreuth, Bayreuth, Germany; email: julian.neuberger@uni-bayreuth.de</t>
  </si>
  <si>
    <t>van der Aa H.; Bork D.; Schmidt R.; Sturm A.</t>
  </si>
  <si>
    <t>25th International Working Conference on Business Process Modeling, Development, and Support, BPMDS 2024 and 29th International Working Conference on Exploring Modeling Methods for Systems Analysis and Development, EMMSAD 2024</t>
  </si>
  <si>
    <t>3 June 2024 through 4 June 2024</t>
  </si>
  <si>
    <t>Limassol</t>
  </si>
  <si>
    <t>313719.0</t>
  </si>
  <si>
    <t>978-303161006-6</t>
  </si>
  <si>
    <t>Lect. Notes Bus. Inf. Process.</t>
  </si>
  <si>
    <t>2-s2.0-85197163699</t>
  </si>
  <si>
    <t>He W.; Ma H.; Li S.; Dong H.; Zhang H.; Feng J.</t>
  </si>
  <si>
    <t>He, Wentao (59067573000); Ma, Hanjie (36111160100); Li, Shaohua (57215969499); Dong, Hui (59068078300); Zhang, Haixiang (58127352900); Feng, Jie (55569586000)</t>
  </si>
  <si>
    <t>59067573000; 36111160100; 57215969499; 59068078300; 58127352900; 55569586000</t>
  </si>
  <si>
    <t>Using Augmented Small Multimodal Models to Guide Large Language Models for Multimodal Relation Extraction</t>
  </si>
  <si>
    <t>22.0</t>
  </si>
  <si>
    <t>12208.0</t>
  </si>
  <si>
    <t>10.3390/app132212208</t>
  </si>
  <si>
    <t>https://www.scopus.com/inward/record.uri?eid=2-s2.0-85188852355&amp;doi=10.3390%2fapp132212208&amp;partnerID=40&amp;md5=4750c7b38b9b282f15cb8d32437f4d6c</t>
  </si>
  <si>
    <t>School of Computer Science and Technology, Zhejiang Sci-Tech University, Hangzhou, 310018, China; Hangzhou Codvision Technology Co., Ltd., Hangzhou, 311100, China</t>
  </si>
  <si>
    <t>He W., School of Computer Science and Technology, Zhejiang Sci-Tech University, Hangzhou, 310018, China; Ma H., School of Computer Science and Technology, Zhejiang Sci-Tech University, Hangzhou, 310018, China; Li S., School of Computer Science and Technology, Zhejiang Sci-Tech University, Hangzhou, 310018, China; Dong H., Hangzhou Codvision Technology Co., Ltd., Hangzhou, 311100, China; Zhang H., School of Computer Science and Technology, Zhejiang Sci-Tech University, Hangzhou, 310018, China; Feng J., School of Computer Science and Technology, Zhejiang Sci-Tech University, Hangzhou, 310018, China</t>
  </si>
  <si>
    <t>Multimodal Relation Extraction (MRE) is a core task for constructing Multimodal Knowledge images (MKGs). Most current research is based on fine-tuning small-scale single-modal image and text pre-trained models, but we find that image-text datasets from network media suffer from data scarcity, simple text data, and abstract image information, which requires a lot of external knowledge for supplementation and reasoning. We use Multimodal Relation Data augmentation (MRDA) to address the data scarcity problem in MRE, and propose a Flexible Threshold Loss (FTL) to handle the imbalanced entity pair distribution and long-tailed classes. After obtaining prompt information from the small model as a guide model, we employ a Large Language Model (LLM) as a knowledge engine to acquire common sense and reasoning abilities. Notably, both stages of our framework are flexibly replaceable, with the first stage adapting to multimodal related classification tasks for small models, and the second stage replaceable by more powerful LLMs. Through experiments, our EMRE2llm model framework achieves state-of-the-art performance on the challenging MNRE dataset, reaching an 82.95% F1 score on the test set. ¬© 2023 by the authors.</t>
  </si>
  <si>
    <t>flexible threshold loss; large language model; multimodal relation data augmentation; multimodal relation extraction; small multimodal guidance</t>
  </si>
  <si>
    <t>Cui X., Qu X., Li D., Yang Y., Li Y., Zhang X., MKGCN: Multi-Modal Knowledge Graph Convolutional Network for Music Recommender Systems, Electronics, 12, (2023); Zhang D., Wei S., Li S., Wu H., Zhu Q., Zhou G., Multi-modal graph fusion for named entity recognition with targeted visual guidance, Proceedings of the AAAI Conference on Artificial Intelligence, pp. 14347-14355; Sha Y., Feng Y., He M., Liu S., Ji Y., Retrieval-Augmented Knowledge Graph Reasoning for Commonsense Question Answering, Mathematics, 11, (2023); Yang Z., Biomedical information retrieval incorporating knowledge graph for explainable precision medicine, Proceedings of the 43rd International ACM SIGIR Conference on Research and Development in Information Retrieval; Rossi A., Barbosa D., Firmani D., Matinata A., Merialdo P., Knowledge graph embedding for link prediction: A comparative analysis, ACM Trans. Knowl. Discov. Data (TKDD), 15, pp. 1-49, (2021); Liu Y., Li H., Garcia-Duran A., Niepert M., Onoro-Rubio D., Rosenblum D.S., MMKG: Multi-modal knowledge graphs, Proceedings of the the Semantic Web: 16th International Conference, ESWC 2019, pp. 459-474; Sun R., Cao X., Zhao Y., Wan J., Zhou K., Zhang F., Wang Z., Zheng K., Multi-modal knowledge graphs for recommender systems, Proceedings of the 29th ACM International Conference on Information &amp; Knowledge Management, pp. 1405-1414; Zhang N., Li L., Chen X., Liang X., Deng S., Chen H., Multimodal analogical reasoning over knowledge graphs, arXiv, (2022); Wang Z., Li L., Li Q., Zeng D., Multimodal data enhanced representation learning for knowledge graphs, Proceedings of the 2019 International Joint Conference on Neural Networks (IJCNN), pp. 1-8; Chen X., Zhang N., Xie X., Deng S., Yao Y., Tan C., Huang F., Si L., Chen H., Knowprompt: Knowledge-aware prompt-tuning with synergistic optimization for relation extraction, Proceedings of the ACM Web Conference 2022, pp. 2778-2788; Chen Y., Ge X., Yang S., Hu L., Li J., Zhang J., A Survey on Multimodal Knowledge Graphs: Construction, Completion and Applications, Mathematics, 11, (2023); Li S., Zhang H., Ma H., Feng J., Jiang M., CSIT: Channel Spatial Integrated Transformer for human pose estimation, IET Image Process, 12, (2023); Yang Z., Gan Z., Wang J., Hu X., Lu Y., Liu Z., Wang L., An empirical study of gpt-3 for few-shot knowledge-based vqa, Proceedings of the AAAI Conference on Artificial Intelligence, 36, pp. 3081-3089; Zhu D., Chen J., Shen X., Li X., Elhoseiny M., Minigpt-4: Enhancing vision-language understanding with advanced large language models, arXiv, (2023); Zhang R., Han J., Zhou A., Hu X., Yan S., Lu P., Li H., Gao P., Qiao Y., Llama-adapter: Efficient fine-tuning of language models with zero-init attention, arXiv, (2023); Shao Z., Yu Z., Wang M., Yu J., Prompting large language models with answer heuristics for knowledge-based visual question answering, Proceedings of the IEEE/CVF Conference on Computer Vision and Pattern Recognition, pp. 14974-14983; Zheng C., Feng J., Fu Z., Cai Y., Li Q., Wang T., Multimodal relation extraction with efficient graph alignment, Proceedings of the 29th ACM International Conference on Multimedia, pp. 5298-5306; Wan H., Zhang M., Du J., Huang Z., Yang Y., Pan J.Z., FL-MSRE: A few-shot learning based approach to multimodal social relation extraction, Proceedings of the AAAI Conference on Artificial Intelligence, pp. 13916-13923; Xu B., Huang S., Du M., Wang H., Song H., Sha C., Xiao Y., Different data, different modalities! reinforced data splitting for effective multimodal information extraction from social media posts, Proceedings of the 29th International Conference on Computational Linguistics, pp. 1855-1864; Chen X., Zhang N., Li L., Yao Y., Deng S., Tan C., Huang F., Si L., Chen H., Good visual guidance makes a better extractor: Hierarchical visual prefix for multimodal entity and relation extraction, arXiv, (2022); Yuan L., Cai Y., Wang J., Li Q., Joint multimodal entity-relation extraction based on edge-enhanced graph alignment network and word-pair relation tagging, Proceedings of the AAAI Conference on Artificial Intelligence, pp. 11051-11059; Chen X., Zhang N., Li L., Deng S., Tan C., Xu C., Huang F., Si L., Chen H., Hybrid transformer with multi-level fusion for multimodal knowledge graph completion, Proceedings of the 45th International ACM SIGIR Conference on Research and Development in Information Retrieval, pp. 904-915; Ren S., He K., Girshick R., Sun J., Faster r-cnn: Towards real-time object detection with region proposal networks, Adv. Neural Inf. Process. Syst, 28, pp. 1137-1149, (2015); He K., Zhang X., Ren S., Sun J., Deep residual learning for image recognition, Proceedings of the IEEE Conference on Computer Vision and Pattern Recognition, pp. 770-778; Radford A., Kim J.W., Hallacy C., Ramesh A., Goh G., Agarwal S., Sastry G., Askell A., Mishkin P., Clark J., Learning transferable visual models from natural language supervision, Proceedings of the International Conference on Machine Learning, pp. 8748-8763; Ranaldi L., Pucci G., Knowing knowledge: Epistemological study of knowledge in transformers, Appl. Sci, 13, (2023); Devlin J., Chang M.-W., Lee K., Toutanova K., Bert: Pre-training of deep bidirectional transformers for language understanding, arXiv, (2018); Liu Y., Ott M., Goyal N., Du J., Joshi M., Chen D., Levy O., Lewis M., Zettlemoyer L., Stoyanov V., Roberta: A robustly optimized bert pretraining approach, arXiv, (2019); Li J., Selvaraju R., Gotmare A., Joty S., Xiong C., Hoi S., Align before fuse: Vision and language representation learning with momentum distillation, Adv. Neural Inf. Process. Syst, 34, pp. 9694-9705, (2021); Lu J., Batra D., Parikh D., Lee S., Vilbert: Pretraining task-agnostic visiolinguistic representations for vision-and-language tasks, arXiv, (2019); Zhang P., Li X., Hu X., Yang J., Zhang L., Wang L., Choi Y., Gao J., Vinvl: Making visual representations matter in vision-language models, arXiv, (2021); Kim W., Son B., Kim I., Vilt: Vision-and-language transformer without convolution or region supervision, Proceedings of the International Conference on Machine Learning, pp. 5583-5594; Bao H., Wang W., Dong L., Liu Q., Mohammed O.K., Aggarwal K., Som S., Piao S., Wei F., Vlmo: Unified vision-language pre-training with mixture-of-modality-experts, Adv. Neural Inf. Process. Syst, 35, pp. 32897-32912, (2022); Li J., Li D., Xiong C., Hoi S., Blip: Bootstrapping language-image pre-training for unified vision-language understanding and generation, Proceedings of the International Conference on Machine Learning, pp. 12888-12900; Liu H., Li C., Wu Q., Lee Y., Visual instruction tuning, arXiv, (2023); Ye Q., Xu H., Xu G., Ye J., Yan M., Zhou Y., Wang J., Hu A., Shi P., Shi Y., mplug-owl: Modularization empowers large language models with multimodality, arXiv, (2023); Dai W., Li J., Li D., Tiong A.M.H., Zhao J., Wang W., Li B., Fung P., Hoi S., InstructBLIP: Towards General-purpose Vision-Language Models with Instruction Tuning, arXiv, (2023); Brown T., Mann B., Ryder N., Subbiah M., Kaplan J.D., Dhariwal P., Neelakantan A., Shyam P., Sastry G., Askell A., Language models are few-shot learners, Adv. Neural Inf. Process, 33, pp. 1877-1901, (2020); Ji Z., Lee N., Frieske R., Yu T., Su D., Xu Y., Ishii E., Bang Y.J., Madotto A., Fung P., Survey of hallucination in natural language generation, ACM Comput. Surv, 55, pp. 1-38, (2023); Xu P., Zhu X., Clifton D., Intelligence M., Multimodal learning with transformers: A survey, IEEE Trans. Pattern Anal. Mach. Intell, 45, pp. 12113-12132, (2023); Cubuk E.D., Zoph B., Shlens J., Le Q.V., Randaugment: Practical automated data augmentation with a reduced search space, Proceedings of the IEEE/CVF Conference on Computer Vision and Pattern Recognition Workshops, pp. 702-703; Hao X., Zhu Y., Appalaraju S., Zhang A., Zhang W., Li B., Li M., Mixgen: A new multi-modal data augmentation, Proceedings of the IEEE/CVF Winter Conference on Applications of Computer Vision, pp. 379-389; Zhou W., Huang K., Ma T., Huang J., Document-level relation extraction with adaptive thresholding and localized context pooling, Proceedings of the AAAI Conference on Artificial Intelligence, pp. 14612-14620; Lin T.-Y., Goyal P., Girshick R., He K., Dollar P., Focal loss for dense object detection, Proceedings of the IEEE International Conference on Computer Vision, pp. 2980-2988; Smith S., Patwary M., Norick B., LeGresley P., Rajbhandari S., Casper J., Liu Z., Prabhumoye S., Zerveas G., Korthikanti V., Using deepspeed and megatron to train megatron-turing nlg 530b, a large-scale generative language model, arXiv, (2022); Du N., Huang Y., Dai A.M., Tong S., Lepikhin D., Xu Y., Krikun M., Zhou Y., Yu A.W., Firat O., Glam: Efficient scaling of language models with mixture-of-experts, Proceedings of the International Conference on Machine Learning, pp. 5547-5569; Touvron H., Lavril T., Izacard G., Martinet X., Lachaux M.-A., Lacroix T., Roziere B., Goyal N., Hambro E., Azhar F., Llama: Open and efficient foundation language models, arXiv, (2023); Touvron H., Martin L., Stone K., Albert P., Almahairi A., Babaei Y., Bashlykov N., Batra S., Bhargava P., Bhosale S., Llama 2: Open foundation and fine-tuned chat models, arXiv, (2023); Li J., Li D., Savarese S., Hoi S., Blip-2: Bootstrapping language-image pre-training with frozen image encoders and large language models, arXiv, (2023); Lu D., Neves L., Carvalho V., Zhang N., Ji H., Visual attention model for name tagging in multimodal social media, Proceedings of the 56th Annual Meeting of the Association for Computational Linguistics (Volume 1: Long Papers), pp. 1990-1999; Zhang Q., Fu J., Liu X., Huang X., Adaptive co-attention network for named entity recognition in tweets, Proceedings of the AAAI Conference on Artificial Intelligence; Girshick R., Donahue J., Darrell T., Malik J., Rich feature hierarchies for accurate object detection and semantic segmentation, Proceedings of the IEEE Conference on Computer Vision and Pattern Recognition, pp. 580-587; Zeng D., Liu K., Chen Y., Zhao J., Distant supervision for relation extraction via piecewise convolutional neural networks, Proceedings of the 2015 Conference on Empirical Methods in Natural Language Processing, pp. 1753-1762; Soares L.B., FitzGerald N., Ling J., Kwiatkowski T., Matching the blanks: Distributional similarity for relation learning, arXiv, (2019); Yu J., Jiang J., Yang L., Xia R., Improving multimodal named entity recognition via entity span detection with unified multimodal transformer, Proceedings of the 58th Annual Meeting of the Association for Computational Linguistics; Li L.H., Yatskar M., Yin D., Hsieh C.-J., Chang K., Visualbert: A simple and performant baseline for vision and language, arXiv, (2019)</t>
  </si>
  <si>
    <t>H. Ma; School of Computer Science and Technology, Zhejiang Sci-Tech University, Hangzhou, 310018, China; email: mahanjie@zstu.edu.cn</t>
  </si>
  <si>
    <t>2-s2.0-85188852355</t>
  </si>
  <si>
    <t>Xu K.; Reddy S.; Feng Y.; Huang S.; Zhao D.</t>
  </si>
  <si>
    <t>Xu, Kun (55712650500); Reddy, Siva (57219809273); Feng, Yansong (55387599700); Huang, Songfang (56349908000); Zhao, Dongyan (55387416000)</t>
  </si>
  <si>
    <t>55712650500; 57219809273; 55387599700; 56349908000; 55387416000</t>
  </si>
  <si>
    <t>Question answering on freebase via relation extraction and textual evidence</t>
  </si>
  <si>
    <t>2016.0</t>
  </si>
  <si>
    <t>54th Annual Meeting of the Association for Computational Linguistics, ACL 2016 - Long Papers</t>
  </si>
  <si>
    <t>2326.0</t>
  </si>
  <si>
    <t>2336.0</t>
  </si>
  <si>
    <t>236.0</t>
  </si>
  <si>
    <t>10.18653/v1/p16-1220</t>
  </si>
  <si>
    <t>https://www.scopus.com/inward/record.uri?eid=2-s2.0-85012023662&amp;doi=10.18653%2fv1%2fp16-1220&amp;partnerID=40&amp;md5=5de15daea8c0556054ef8f525c9379d0</t>
  </si>
  <si>
    <t>Institute of Computer Science and Technology, Peking University, Beijing, China; School of Informatics, University of Edinburgh, United Kingdom; IBM China Research Lab., Beijing, China</t>
  </si>
  <si>
    <t>Xu K., Institute of Computer Science and Technology, Peking University, Beijing, China; Reddy S., School of Informatics, University of Edinburgh, United Kingdom; Feng Y., Institute of Computer Science and Technology, Peking University, Beijing, China; Huang S., IBM China Research Lab., Beijing, China; Zhao D., Institute of Computer Science and Technology, Peking University, Beijing, China</t>
  </si>
  <si>
    <t>Existing knowledge-based question answering systems often rely on small annotated training data. While shallow methods like relation extraction are robust to data scarcity, they are less expressive than the deep meaning representation methods like semantic parsing, thereby failing at answering questions involving multiple constraints. Here we alleviate this problem by empowering a relation extraction method with additional evidence from Wikipedia. We first present a neural network based relation extractor to retrieve the candidate answers from Freebase, and then infer over Wikipedia to validate these answers. Experiments on the WebQuestions question answering dataset show that our method achieves an F1 of 53.3%, a substantial improvement over the state-of-the-art. ¬© 2016 Association for Computational Linguistics.</t>
  </si>
  <si>
    <t>Computational linguistics; Knowledge based systems; Semantics; Annotated training data; Multiple constraint; Question Answering; Question answering systems; Relation extraction; Representation method; Semantic parsing; State of the art; Extraction</t>
  </si>
  <si>
    <t>Auer S., Bizer C., Kobilarov G., Lehmann J., Cyganiak R., Ives Z.G., Dbpedia: A nucleus for a web of open data, ISWC/ASWC, (2007); Banko M., Cafarella M.J., Soder-Iand S., Broadhead M., Etzioni O., Open information extraction for the web, IJCAI, (2007); Bao J., Duan N., Zhou M., Zhao T., Knowledge-based question answering as machine translation, ACL, (2014); Bast H., Haussmann E., More accurate question answering on freebase, CIKM, (2015); Berant J., Liang P., Semantic parsing via paraphrasing, ACL, (2014); Berant J., Liang P., Imitation learning of agenda-based semantic parsers, Transactions of the Association for Computational Linguistics, 3, pp. 545-558, (2015); Berant J., Chou A., Frostig R., Liang P., Semantic parsing on freebase from question-answer pairs, EMNLP, (2013); Bollacker K.D., Evans C., Paritosh P., Sturge T., Taylor J., Freebase: A collaboratively created graph database for structuring human knowledge, SIGMOD, (2008); Bordes A., Chopra S., Weston J., Question answering with subgraph embed-dings, EMNLP, (2014); Bordes A., Usunier N., Chopra S., Weston J., Large-scale simple question answering with memory networks, CoRR, abs/1506.02075, (2015); Cai Q., Yates A., Large-scale semantic parsing via schema matching and lexicon extension, ACL, (2013); Carlson A., Betteridge J., Kisiel B., Settles B., Hruschka E.R., Mitchell T.M., Toward an architecture for never-ending language learning, AAAI, (2010); Chang C.-C., Lin C.-J., LIB-SVM: A library for support vector machines, ACM TIST, 2, 3, (2011); Cheng X., Roth D., Relational inference for wikification, ACL, (2013); Dong L., Wei F., Zhou M., Xu K., Question answering over freebase with multi-column convolutional neural networks, ACLIJCNLP, (2015); Duchi J.C., Hazan E., Singer Y., Adaptive subgradient methods for online learning and stochastic optimization, Journal of Machine Learning Research, 12, pp. 2121-2159, (2011); Fader A., Zettlemoyer L.S., Etzioni O., Paraphrase-driven learning for open question answering, ACL, (2013); Fader A., Zettlemoyer L., Etzioni O., Open question answering over curated and extracted knowledge bases, SIGKDD, (2014); Heilman M., Smith N.A., Tree edit models for recognizing textual entailments, paraphrases, and answers to questions, NAACL, (2010); Hermann K.M., Kocisky T., Grefenstette E., Espeholt L., Kay W., Suleyman M., Blunsom P., Teaching machines to read and comprehend, Advances in Neural Information Processing Systems, (2015); Hoffmann R., Zhang C., Ling X., Zettlemoyer L., Weld D.S., Knowledge-based weak supervision for information extraction of overlapping relations, ACL, (2011); Joachims T., Training linear svms in linear time, SIGKDD, (2006); Joshi M., Sawant U., Chakrabarti S., Knowledge graph and corpus driven segmentation and answer inference for telegraphic entity-seeking queries, EMNLP, (2014); Krishnamurthy J., Mitchell T.M., Weakly supervised training of semantic parsers, EMNLP-CoNLL, (2012); Kwiatkowski T., Choi E., Artzi Y., Zettlemoyer L.S., Scaling semantic parsers with on-the-fly ontology matching, EMNLP, (2013); Liu Y., Wei F., Li S., Ji H., Zhou M., Houfeng W.A.N.G., A dependency-based neural network for relation classification, ACL, (2015); Manning C.D., Surdeanu M., Bauer J., Finkel J., Bethard S.J., McClosky D., The stanford CoreNLP natural language processing toolkit, ACL System Demonstrations, (2014); Mintz M., Bills S., Snow R., Jurafsky D., Distant supervision for relation extraction without labeled data, ACL, (2009); Parikh A.P., Poon H., Toutanova K., Grounded semantic parsing for complex knowledge extraction, NAACL, (2015); Reddy S., Lapata M., Steedman M., Large-scale semantic parsing without question-answer pairs, Transactions of the Association of Computational Linguistics, pp. 377-392, (2014); Reddy S., Tackstrom O., Collins M., Kwiatkowski T., Das D., Steedman M., Lapata M., Transforming dependency structures to logical forms for semantic parsing, Transactions of the Association for Computational Linguistics, (2016); Riedel S., Yao L., McCallum A., Marlin B.M., Relation extraction with matrix factorization and universal schemas, NAACL, (2013); Savenkov D., Agichtein E., When a knowledge base is not enough: Question answering over knowledge bases with external text data, SIGIR, (2016); Serban M.V., Garcia-Duran A., Giilcehre C., Ahn S., Chandar S., Courville A.C., Bengio Y., Generating factoid questions with recurrent neural networks: The 30m factoid question-answer corpus, ACL, (2016); Suchanek F.M., Kasneci G., Weikum G., Yago: A core of semantic knowledge, WWW, (2007); Sun H., Ma H., Yih W.-T., Tsai C.-T., Liu J., Chang M.-W., Open domain question answering via semantic enrichment, WWW, (2015); Turian J.P., Ratinov L.-A., Bengio Y., Word representations: A simple and general method for semi-supervised learning, ACL 2010, Proceedings of the 48th Annual Meeting of the Association for Computational Linguistics, pp. 384-394, (2010); Unger C., Buhmann L., Lehmann J., Ngonga Ngomo A.-C., Gerber D., Cimiano P., Template-based question answering over rdf data, WWW, (2012); Voorhees E.M., Tice D.M., The TREC-8 question answering track report, TREC, (1999); Wang M., Smith N.A., Mitamura T., What is the jeopardy model? A quasisynchronous grammar for qa, EMNLP-CoNLL, (2007); Wang Y., Berant J., Liang P., Building a semantic parser overnight, ACL, (2015); Xu K., Zhang S., Feng Y., Zhao D., Answering natural language questions via phrasal semantic parsing, Natural Language Processing and Chinese Computing - Third CCF Conference, NLPCC 2014, pp. 333-344, (2014); Xu K., Feng Y., Huang S., Zhao D., Semantic relation classification via convolutional neural networks with simple negative sampling, EMNLP, (2015); Yahya M., Berberich K., Elbassuoni S., Ramanath M., Tresp V., Weikum G., Natural language questions for the web of data, EMNLP, (2012); Yahya M., Barbosa D., Berberich K., Wang Q., Weikum G., Relationship queries on extended knowledge graphs, WSDM, (2016); Yang Y., Chang M.-W., S-mart: Novel tree-based structured learning algorithms applied to tweet entity linking, ACL-IJNLP, (2015); Yang Y., Yih W.-T., Meek C., Wikiqa: A challenge dataset for open-domain question answering, EMNLP, (2015); Yao X., Van Durme B., Information extraction over structured data: Question answering with freebase, ACL, (2014); Yao X., Van Durme B., Clark P., Answer extraction as sequence tagging with tree edit distance, NAACL, (2013); Yao X., Lean question answering over free-base from scratch, NAACL, (2015); Yih W.-T., Chang M.-W., Meek C., Pastusiak A., Question answering using enhanced lexical semantic models, ACL, (2013); Yih W.-T., He X., Meek C., Semantic parsing for single-relation question answering, ACL, (2014); Yih W.-T., Chang M.-W., He X., Gao J., Semantic parsing via staged query graph generation: Question answering with knowledge base, ACL-IJCNLP, (2015); Yu L., Hermann K.M., Blunsom P., Pulman S., Deep Learning for Answer Sentence Selection, (2014); Zelle J.M., Mooney R.J., Learning to parse database queries using inductive logic programming, AAAI, (1996); Zhang Y., He S., Liu K., Zhao J., A joint model for question answering over multiple knowledge bases, AAAI, (2016)</t>
  </si>
  <si>
    <t>Y. Feng; Institute of Computer Science and Technology, Peking University, Beijing, China; email: fengyansong@pku.edu.cn</t>
  </si>
  <si>
    <t>Amazon; Baidu; Bloomberg; et al.; Facebook; Google</t>
  </si>
  <si>
    <t>54th Annual Meeting of the Association for Computational Linguistics, ACL 2016</t>
  </si>
  <si>
    <t>7 August 2016 through 12 August 2016</t>
  </si>
  <si>
    <t>Berlin</t>
  </si>
  <si>
    <t>125782.0</t>
  </si>
  <si>
    <t>978-151082758-5</t>
  </si>
  <si>
    <t>Annu. Meet. Assoc. Comput. Linguist., ACL - Long Pap.</t>
  </si>
  <si>
    <t>2-s2.0-85012023662</t>
  </si>
  <si>
    <t>Liu Y.; Dai F.; Gu X.; Zhai M.; Li B.; Zhang M.</t>
  </si>
  <si>
    <t>Liu, Yijun (57884875300); Dai, Feifei (57209412384); Gu, Xiaoyan (55426978200); Zhai, Minghui (58745246600); Li, Bo (57284236600); Zhang, Meiou (59171976300)</t>
  </si>
  <si>
    <t>57884875300; 57209412384; 55426978200; 58745246600; 57284236600; 59171976300</t>
  </si>
  <si>
    <t>Domain-aware and Co-adaptive Feature Transformation for Domain Adaption Few-shot Relation Extraction</t>
  </si>
  <si>
    <t>5275.0</t>
  </si>
  <si>
    <t>5285.0</t>
  </si>
  <si>
    <t>https://www.scopus.com/inward/record.uri?eid=2-s2.0-85195971022&amp;partnerID=40&amp;md5=5316725275d4bbb7931a9ec4974d8714</t>
  </si>
  <si>
    <t>Institute of Information Engineering, Chinese Academy of Sciences, Beijing, China; School of Cyber Security, University of Chinese Academy of Sciences, Beijing, China; Key Lab of Cyberspace Security Defense, Beijing, China; China Mobile (Shenzhen) Co., Ltd., Shenzhen, China</t>
  </si>
  <si>
    <t>Liu Y., Institute of Information Engineering, Chinese Academy of Sciences, Beijing, China, School of Cyber Security, University of Chinese Academy of Sciences, Beijing, China, Key Lab of Cyberspace Security Defense, Beijing, China; Dai F., Institute of Information Engineering, Chinese Academy of Sciences, Beijing, China, Key Lab of Cyberspace Security Defense, Beijing, China; Gu X., Institute of Information Engineering, Chinese Academy of Sciences, Beijing, China, School of Cyber Security, University of Chinese Academy of Sciences, Beijing, China, Key Lab of Cyberspace Security Defense, Beijing, China; Zhai M., Institute of Information Engineering, Chinese Academy of Sciences, Beijing, China, School of Cyber Security, University of Chinese Academy of Sciences, Beijing, China, Key Lab of Cyberspace Security Defense, Beijing, China; Li B., Institute of Information Engineering, Chinese Academy of Sciences, Beijing, China, Key Lab of Cyberspace Security Defense, Beijing, China; Zhang M., China Mobile (Shenzhen) Co., Ltd., Shenzhen, China</t>
  </si>
  <si>
    <t>Few-shot relation extraction (FSRE) can alleviate the data scarcity problem in relation extraction. However, FSRE models often suffer a significant decline in performance when adapting to new domains. To overcome this issue, many researchers have focused on domain adaption FSRE (DAFSRE). Nevertheless, existing approaches primarily concentrate on the source domain, which makes it difficult to accurately transfer useful knowledge to the target domain. Additionally, the lack of distinction between relations further restricts the model performance. In this paper, we propose the domain-aware and co-adaptive feature transformation approach to address these issues. Specifically, we introduce a domain-aware transformation module that leverages the target domain distribution features to guide the domain-aware feature transformations. This can enhance the model's adaptability across domains, leading to improved target domain performance. Furthermore, we design co-adaptive prototypical networks to perform co-adaptive feature transformation through a transformer mechanism. This results in more robust and distinguishable relation prototypes. Experiments on DAFSRE benchmark datasets demonstrate the effectiveness of our method, which outperforms existing models and achieves state-of-the-art performance. ¬© 2024 ELRA Language Resource Association: CC BY-NC 4.0.</t>
  </si>
  <si>
    <t>domain adaption; few-shot learning; relation extraction</t>
  </si>
  <si>
    <t>Benchmarking; Adaptive features; Data scarcity; Domain adaptions; Extraction modeling; Feature transformations; Few-shot learning; Modeling performance; Performance; Relation extraction; Target domain; Extraction</t>
  </si>
  <si>
    <t>Brown Tom, Mann Benjamin, Ryder Nick, Subbiah Melanie, Kaplan Jared D, Dhariwal Prafulla, Neelakantan Arvind, Shyam Pranav, Sastry Girish, Askell Amanda, Et al., Language models are few-shot learners, Advances in neural information processing systems, 33, pp. 1877-1901, (2020); Chen Jushuo, Dai Feifei, Gu Xiaoyan, Fan Haihui, Zhou Jiang, Li Bo, Wang Weiping, Learning pair-centric representation for link sign prediction with subgraph, Proceedings of the 32nd ACM International Conference on Information and Knowledge Management, pp. 256-265, (2023); Chen Jushuo, Dai Feifei, Gu Xiaoyan, Zhou Jiang, Li Bo, Wang Weipinng, Universal domain adaptive network embedding for node classification, Proceedings of the 31st ACM International Conference on Multimedia, pp. 4022-4030, (2023); Cong Xin, Yu Bowen, Liu Tingwen, Cui Shiyao, Tang Hengzhu, Wang Bin, Inductive unsupervised domain adaptation for few-shot classification via clustering, Machine Learning and Knowledge Discovery in Databases: European Conference, ECML PKDD 2020, pp. 624-639, (2021); Devlin Jacob, Chang Ming-Wei, Lee Kenton, Toutanova Kristina, Bert: Pre-training of deep bidirectional transformers for language understanding, Proceedings of the 2019 Conference of the North American Chapter of the Association for Computational Linguistics: Human Language Technologies, Volume 1 (Long and Short Papers), pp. 4171-4186, (2019); Dou Chunliu, Wu Shaojuan, Zhang Xiaowang, Feng Zhiyong, Wang Kewen, Function-words adaptively enhanced attention networks for few-shot inverse relation classification, Proceedings of the Thirty-First International Joint Conference on Artificial Intelligence, pp. 2937-2943, (2022); Finn Chelsea, Abbeel Pieter, Levine Sergey, Model-agnostic meta-learning for fast adaptation of deep networks, International conference on machine learning, pp. 1126-1135, (2017); Ganin Yaroslav, Ustinova Evgeniya, Ajakan Hana, Germain Pascal, Larochelle Hugo, Laviolette Francois, Marchand Mario, Lempitsky Victor, Domain-adversarial training of neural networks, The journal of machine learning research, 17, 1, pp. 2096-2030, (2016); Han Jiale, Cheng Bo, Lu Wei, Exploring task difficulty for few-shot relation extraction, Proceedings of the 2021 Conference on Empirical Methods in Natural Language Processing, pp. 2605-2616, (2021); Han Yi, Qiao Linbo, Zheng Jianming, Kan Zhigang, Feng Linhui, Gao Yifu, Tang Yu, Zhai Qi, Li Dongsheng, Liao Xiangke, Multi-view interaction learning for few-shot relation classification, Proceedings of the 30th ACM International Conference on Information &amp; Knowledge Management, pp. 649-658, (2021); Hu Yanxu, Ma Andy J, Adversarial feature augmentation for cross-domain few-shot classification, European Conference on Computer Vision, pp. 20-37, (2022); Koch Gregory, Zemel Richard, Salakhutdinov Ruslan, Et al., Siamese neural networks for one-shot image recognition, Proceedings of ICML workshop on deep learning, 2, (2015); Li Boyi, Wu Felix, Lim Ser-Nam, Belongie Serge, Weinberger Kilian Q, On feature normalization and data augmentation, Proceedings of the IEEE conference on computer vision and pattern recognition, pp. 12378-12387, (2021); Li Qingyao, Xu Hui, Wang Hui, Tang Buzhou, S3 aal: Support set selection based on adversarial active learning for medical few-shot relation extraction, 2022 IEEE International Conference on Bioinformatics and Biomedicine (BIBM), pp. 777-780, (2022); Li Wanli, Qian Tieyun, Graph-based model generation for few-shot relation extraction, Proceedings of the Conference on Empirical Methods in Natural Language Processing, pp. 62-71, (2022); Li Yile, Liu Yijun, Xiaoyan GU, Yue Yinliang, Fan Haihui, Li Bo, Dual reasoning based pairwise representation network for document level relation extraction, 2022 IEEE International Conference on Multimedia and Expo (ICME), pp. 1-6, (2022); Liu Yijun, Dai Feifei, Gu Xiaoyan, Fan Haihui, Liu Dong, Li Bo, Wang Weiping, Powering fine-tuning: Learning compatible and class-sensitive representations for domain adaption few-shot relation extraction, International Conference on Database Systems for Advanced Applications, pp. 121-131, (2023); Liu Yinhan, Ott Myle, Goyal Naman, Du Jingfei, Joshi Mandar, Chen Danqi, Levy Omer, Lewis Mike, Zettlemoyer Luke, Stoyanov Veselin, Roberta: A robustly optimized bert pretraining approach, (2019); (2023); Paszke Adam, Gross Sam, Massa Francisco, Lerer Adam, Bradbury James, Chanan Gregory, Killeen Trevor, Lin Zeming, Gimelshein Natalia, Antiga Luca, Et al., Pytorch: An imperative style, high-performance deep learning library, Advances in neural information processing systems, 32, (2019); Peng Hao, Gao Tianyu, Han Xu, Lin Yankai, Li Peng, Liu Zhiyuan, Sun Maosong, Zhou Jie, Learning from context or names? an empirical study on neural relation extraction, Proceedings of the Conference on Empirical Methods in Natural Language Processing, pp. 3661-3672, (2020); Qu Meng, Gao Tianyu, Xhonneux Louis-Pascal, Tang Jian, Few-shot relation extraction via bayesian meta-learning on relation graphs, International conference on machine learning, pp. 7867-7876, (2020); Sajeeda Afia, Mainul Hossain BM, Exploring generative adversarial networks and adversarial training, International Journal of Cognitive Computing in Engineering, 3, pp. 78-89, (2022); Snell Jake, Swersky Kevin, Zemel Richard, Prototypical networks for few-shot learning, Advances in neural information processing systems, (2017); Soares Livio Baldini, Fitzgerald Nicholas, Ling Jeffrey, Kwiatkowski Tom, Matching the blanks: Distributional similarity for relation learning, Proceedings of the 57th Annual Meeting of the Association for Computational Linguistics, pp. 2895-2905, (2019); Tang Zhiqiang, Gao Yunhe, Zhu Yi, Zhang Zhi, Li Mu, Metaxas Dimitris N, Crossnorm and selfnorm for generalization under distribution shifts, Proceedings of the IEEE conference on computer vision and pattern recognition, pp. 52-61, (2021); Tseng Hung-Yu, Lee Hsin-Ying, Huang Jia-Bin, Yang Ming-Hsuan, Cross-domain few-shot classification via learned feature-wise transformation, International Conference on Learning Representations, (2019); Vaswani Ashish, Shazeer Noam, Parmar Niki, Uszkoreit Jakob, Jones Llion, Gomez Aidan N, Kaiser Lukasz, Polosukhin Illia, Attention is all you need, Advances in neural information processing systems, (2017); Vinyals Oriol, Blundell Charles, Lillicrap Timothy, Wierstra Daan, Et al., Matching networks for one shot learning, Advances in neural information processing systems, (2016); Wang Suhe, Liu Xiaoyuan, Liu Bo, Dong Diwen, Sentence-aware adversarial meta-learning for few-shot text classification, Proceedings of the 29th International Conference on Computational Linguistics, pp. 4844-4852, (2022); Yao Jiawei, Lai Yingxin, Dynamicbev: Leveraging dynamic queries and temporal context for 3d object detection, (2023); Yao Jiawei, Li Chuming, Sun Keqiang, Cai Yingjie, Li Hao, Ouyang Wanli, Li Hongsheng, Ndc-scene: Boost monocular 3d semantic scene completion in normalized device coordinates space, Proceedings of the IEEE/CVF International Conference on Computer Vision, pp. 9455-9465, (2023); Yao Jiawei, Wu Tong, Zhang Xiaofeng, Improving depth gradient continuity in transformers: A comparative study on monocular depth estimation with cnn, (2023); Yuan Zhongju, Wang Zhenkun, Li Genghui, Cross-domain few-shot relation extraction via representation learning and domain adaptation, 2023 International Joint Conference on Neural Networks (IJCNN), pp. 1-8, (2023); Zhai Minghui, Dai Feifei, Gu Xiaoyan, Fan Haihui, Liu Dong, Li Bo, Learning discriminative semantic and multi-view context for domain adaptive few-shot relation extraction, International Conference on Neural Information Processing, pp. 283-296, (2023); Zhang Ji, Song Jingkuan, Gao Lianli, Shen Hengtao, Free-lunch for cross-domain few-shot learning: Style-aware episodic training with robust contrastive learning, Proceedings of the 30th ACM International Conference on Multimedia, pp. 2586-2594, (2022); Zhang Muru, Press Ofir, Merrill William, Liu Alisa, Smith Noah A, How language model hallucinations can snowball, (2023); Zhang Yue, Li Yafu, Cui Leyang, Cai Deng, Liu Lemao, Fu Tingchen, Huang Xinting, Zhao Enbo, Zhang Yu, Chen Yulong, Et al., Siren's song in the ai ocean: A survey on hallucination in large language models, (2023); Zhu Xingyu, Dai Feifei, Gu Xiaoyan, Fan Haihui, Li Bo, Wang Weiping, Erpg: Enhancing entity representations with prompt guidance for complex named entity recognition, 2023 IEEE International Conference on Multimedia and Expo (ICME), pp. 2813-2818, (2023); Gao Tianyu, Han Xu, Zhu Hao, Liu Zhiyuan, Li Peng, Sun Maosong, Zhou Jie, Fewrel 2.0: Towards more challenging few-shot relation classification, Proceedings of the 2019 Conference on Empirical Methods in Natural Language Processing and the 9th International Joint Conference on Natural Language Processing (EMNLPIJCNLP), pp. 6250-6255, (2019); Han Xu, Zhu Hao, Yu Pengfei, Wang Ziyun, Yao Yuan, Liu Zhiyuan, Sun Maosong, Fewrel: A large-scale supervised few-shot relation classification dataset with state-of-the-art evaluation, Proceedings of the 2018 Conference on Empirical Methods in Natural Language Processing, pp. 4803-4809, (2018)</t>
  </si>
  <si>
    <t>F. Dai; Institute of Information Engineering, Chinese Academy of Sciences, Beijing, China; email: daifeifei@iie.ac.cn; X. Gu; Institute of Information Engineering, Chinese Academy of Sciences, Beijing, China; email: guxiaoyan@iie.ac.cn</t>
  </si>
  <si>
    <t>2-s2.0-85195971022</t>
  </si>
  <si>
    <t>Gou Y.; Zhang Y.; Zhu J.; Shu Y.</t>
  </si>
  <si>
    <t>Gou, Yuxiao (58984248200); Zhang, Yiping (57194787768); Zhu, Jian (57207355370); Shu, Yidan (57721411300)</t>
  </si>
  <si>
    <t>58984248200; 57194787768; 57207355370; 57721411300</t>
  </si>
  <si>
    <t>A document-level information extraction pipeline for layered cathode materials for sodium-ion batteries</t>
  </si>
  <si>
    <t>Scientific Data</t>
  </si>
  <si>
    <t>372.0</t>
  </si>
  <si>
    <t>10.1038/s41597-024-03196-1</t>
  </si>
  <si>
    <t>https://www.scopus.com/inward/record.uri?eid=2-s2.0-85190269909&amp;doi=10.1038%2fs41597-024-03196-1&amp;partnerID=40&amp;md5=eb04088f90531a244a936dc1db128385</t>
  </si>
  <si>
    <t>School of Materials Science and Engineering, Sun Yat-sen University, Guangdong, China; The Key Laboratory of Low-carbon Chemistry &amp; amp; Energy Conservation of Guangdong Province, Guangdong, China</t>
  </si>
  <si>
    <t>Gou Y., School of Materials Science and Engineering, Sun Yat-sen University, Guangdong, China; Zhang Y., School of Materials Science and Engineering, Sun Yat-sen University, Guangdong, China; Zhu J., School of Materials Science and Engineering, Sun Yat-sen University, Guangdong, China; Shu Y., School of Materials Science and Engineering, Sun Yat-sen University, Guangdong, China, The Key Laboratory of Low-carbon Chemistry &amp; amp; Energy Conservation of Guangdong Province, Guangdong, China</t>
  </si>
  <si>
    <t>Natural language processing techniques enable extraction of valuable information from large amounts of published literature for the application of data science and technology, i.e. machine learning in the field of materials science. Nevertheless, the automated extraction of data from full-text documents remains a complex task. We propose a document-level natural language processing pipeline for literature extraction of comprehensive information on layered cathode materials for sodium-ion batteries. The pipeline enhances entity recognition with contextual supplementary information while capturing the article structure. Finally, a heuristic multi-level relationship extraction algorithm is employed in relation extraction to extract experimental parameters and complex performance relationships respectively. We successfully extracted a comprehensive dataset containing 5265 records from 1747 documents, encompassing essential information such as chemical composition, synthesis parameters, and electrochemical properties. By implementing our pipeline, we have made significant progress in overcoming the challenges associated with data scarcity in battery informatics. The extracted datasets provide a valuable resource for further research and development in the field of layered cathode materials. ¬© The Author(s) 2024.</t>
  </si>
  <si>
    <t>Algorithms; Data Science; Electric Power Supplies; Electrodes; Information Storage and Retrieval; algorithm; data science; information retrieval; power supply</t>
  </si>
  <si>
    <t>Basic and Applied Basic Research Foundation of Guangdong Province, (202201011269); Basic and Applied Basic Research Foundation of Guangdong Province</t>
  </si>
  <si>
    <t>The study was supported by Guangzhou Basic and Applied Basic Research Foundation (grant references: 202201011269). The authors would like to extend their gratitude to the anonymous reviewers whose constructive comments greatly helped in the improvement of the article.</t>
  </si>
  <si>
    <t>Oz E., Altin S., Avci S., Tunnel/Layer Composite Na&lt;sub&gt;0.44&lt;/sub&gt;MnO&lt;sub&gt;2&lt;/sub&gt; Cathode Material with Enhanced Structural Stability via Cobalt Doping for Sodium-Ion Batteries, ACS Omega, 8, pp. 27170-27178, (2023); Peng B., Et al., Regulating the local chemical environment in layered O3-NaNi0.5Mn0.5O2 achieves practicable cathode for sodium-ion batteries, Energy Storage Materials, 56, pp. 631-641, (2023); Liu Y., Et al., Isostructural Synthesis of Iron‚ÄêBased Prussian Blue Analogs for Sodium‚ÄêIon Batteries, Small, 19, (2023); Sun R., Et al., Substituting inert phosphate with redox-active silicate towards advanced polyanion-type cathode materials for sodium-ion batteries, Nanoscale, 15, pp. 3345-3350, (2023); Ling C., A review of the recent progress in battery informatics, npj Computational Materials, 8, (2022); Wang W., Et al., Automated pipeline for superalloy data by text mining, npj Computational Materials, 8, (2022); Shetty P., Et al., A general-purpose material property data extraction pipeline from large polymer corpora using natural language processing, npj Computational Materials, 9, (2023); Yan R., Jiang X., Wang W., Dang D., Su Y., Materials information extraction via automatically generated corpus, Scientific Data, 9, (2022); Kim E., Et al., Materials Synthesis Insights from Scientific Literature via Text Extraction and Machine Learning, Chemistry of Materials, 29, pp. 9436-9444, (2017); Vaswani A., Et al., Attention is all you need, Adv Neural Inf Process Syst, 30, (2017); In Association for Computational Linguistics, pp. 3615-3620; Huang S., Cole J.M., BatteryBERT: A Pretrained Language Model for Battery Database Enhancement, Journal of Chemical Information and Modeling, 62, pp. 6365-6377, (2022); Sivan D., Et al., Advances in materials informatics: a review, Journal of Materials Science, 59, pp. 2602-2643, (2024); Olivetti E.A., Et al., Data-driven materials research enabled by natural language processing and information extraction, Applied Physics Reviews, 7, (2020); Isazawa T., Cole J.M., Single Model for Organic and Inorganic Chemical Named Entity Recognition in ChemDataExtractor, Journal of Chemical Information and Modeling, 62, pp. 1207-1213, (2022); El-Bousiydy H., Et al., What Can Text Mining Tell Us About Lithium-Ion Battery Researchers‚Äô, Habits? Batteries &amp; Supercaps, 4, pp. 758-766, (2021); Kononova O., Et al., Text-mined dataset of inorganic materials synthesis recipes, Scientific Data, 6, (2019); Huang S., Cole J.M., A database of battery materials auto-generated using ChemDataExtractor, Scientific Data, 7, (2020); Kononova O., Et al., Opportunities and challenges of text mining in materials research, iScience, 24, (2021); Liao Z., Fei J., Zeng W., Zhao X., Few-shot named entity recognition with hybrid multi-prototype learning, World Wide Web, 26, pp. 2521-2544, (2023); Schwartz A.S., Hearst M.A., A Simple Algorithm for Identifying Abbreviation Definitions in Biomedical Text, Pacific Symposium on Biocomputing. Pacific Symposium on Biocomputing, pp. 451-462, (2002); Shi C., Et al., Challenges of layer-structured cathodes for sodium-ion batteries, Nanoscale Horiz, 7, pp. 338-351, (2022); Guo S., Et al., Cation-mixing stabilized layered oxide cathodes for sodium-ion batteries, Science Bulletin, 63, pp. 376-384, (2018); Takanobu R., Zhang T., Liu J., Huang M., A Hierarchical Framework for Relation Extraction with Reinforcement Learning, Proceedings of the AAAI Conference on Artificial Intelligence, 33, pp. 7072-7079, (2019); McDonald R., Et al., In Proceedings of the 43Rd Annual Meeting on Association for Computational Linguistics, pp. 491-498, (2005); Bach N., Badaskar S., A Review of Relation Extraction, Lit. Rev. Lang. Stat, 2, pp. 1-15, (2007); Tang K., Et al., Electrochemical performance and structural stability of air-stable Na0.67Ni0.33Mn0.67-xTixO2 cathode materials for high-performance sodium-ion batteries, Chemical Engineering Journal, 399, (2020); Jiang X., Et al., Tunnel-structured Na&lt;sub&gt;0.54&lt;/sub&gt;Mn&lt;sub&gt;0.50&lt;/sub&gt;Ti&lt;sub&gt;0.51&lt;/sub&gt;O&lt;sub&gt;2&lt;/sub&gt; and Na&lt;sub&gt;0.54&lt;/sub&gt;Mn&lt;sub&gt;0.50&lt;/sub&gt;Ti&lt;sub&gt;0.51&lt;/sub&gt;O&lt;sub&gt;2&lt;/sub&gt;/C nanorods as advanced cathode materials for sodium-ion batteries, Chemical Communications, 51, pp. 8480-8483, (2015); Xu X., Ji S., Gao R., Liu J., Facile synthesis of P2-type Na&lt;sub&gt;0.4&lt;/sub&gt;Mn&lt;sub&gt;0.54&lt;/sub&gt;Co&lt;sub&gt;0.46&lt;/sub&gt;O&lt;sub&gt;2&lt;/sub&gt;as a high capacity cathode material for sodium-ion batteries, RSC Advances, 5, pp. 51454-51460, (2015); Ramasamy H.V., Et al., Cu-doped P2-Na&lt;sub&gt;0.5&lt;/sub&gt;Ni&lt;sub&gt;0.33&lt;/sub&gt;Mn&lt;sub&gt;0.67&lt;/sub&gt;O&lt;sub&gt;2&lt;/sub&gt; encapsulated with MgO as a novel high voltage cathode with enhanced Na-storage properties, Journal of Materials Chemistry A, 5, pp. 8408-8415, (2017); Zhang J., Yu D.Y.W., Stabilizing Na&lt;sub&gt;0.7&lt;/sub&gt;MnO&lt;sub&gt;2&lt;/sub&gt; cathode for Na-ion battery via a single-step surface coating and doping process, Journal of Power Sources, 391, pp. 106-112, (2018); Zhao Y., Et al., A review on modeling of electro-chemo-mechanics in lithium-ion batteries, Journal of Power Sources, 413, pp. 259-283, (2019); Zhou D., Et al., Operando X-ray absorption spectroscopy investigations on Na x Ni 1/3 Fe 1/3 Mn 1/3 O 2 positive electrode materials for sodium and sodium ion batteries, Journal of Power Sources, 473, (2020); Deng Q., Et al., Nanoscale surface modification of P2-type Na 0.65 [Mn 0.70 Ni 0.16 Co 0.14]O 2 cathode material for high-performance sodium-ion batteries, Chemical Engineering Journal, 404, (2021); Li W., Et al., Building superior layered oxide cathode via rational surface engineering for both liquid &amp; solid-state sodium ion batteries, Chemical Engineering Journal, 421, (2021); Voronina N., Kim H.J., Shin M., Myung S.-T., Rational design of Co-free layered cathode material for sodium-ion batteries, Journal of Power Sources, 514, (2021); Wei T.-T., Liu X., Yang S.-J., Wang P.-F., Yi T.-F., Regulating the electrochemical activity of Fe-Mn-Cu-based layer oxides as cathode materials for high-performance Na-ion battery, Journal of Energy Chemistry, 80, pp. 603-613, (2023); Wang Q.-C., Et al., Tuning P2-Structured Cathode Material by Na-Site Mg Substitution for Na-Ion Batteries, Journal of the American Chemical Society, 141, pp. 840-848, (2018); Ma C., Et al., Stacking Order Induced Anion Redox Regulation for Layer‚ÄêStructured Na 0.75 Li 0.2 Mn 0.7 Cu 0.1 O 2 Cathode Materials, Small, 19, (2023); Hwang J.-Y., Et al., Radially aligned hierarchical columnar structure as a cathode material for high energy density sodium-ion batteries, Nature Communications, 6, (2015); Mu L., Et al., Prototype Sodium‚ÄêIon Batteries Using an Air‚ÄêStable and Co/Ni‚ÄêFree O3‚ÄêLayered Metal Oxide Cathode, Advanced Materials, 27, pp. 6928-6933, (2015); Feng J., Et al., Properties of the ‚ÄúZ‚Äù‚ÄêPhase in Mn‚ÄêRich P2‚ÄêNa 0.67 Ni 0.1 Mn 0.8 Fe 0.1 O 2 as Sodium‚ÄêIon‚ÄêBattery Cathodes, Small, 19, (2023); Yang J., Et al., O3‚ÄêType Layered Ni‚ÄêRich Oxide: A High‚ÄêCapacity and Superior‚ÄêRate Cathode for Sodium‚ÄêIon Batteries, Small, 15, (2019); Shi Q., Et al., Niobium-doped layered cathode material for high-power and low-temperature sodium-ion batteries, Nature Communications, 13, (2022); Yang L., Et al., Lithium-Doping Stabilized High-Performance P2‚ÄìNa&lt;sub&gt;0.66&lt;/sub&gt;Li&lt;sub&gt;0.18&lt;/sub&gt;Fe&lt;sub&gt;0.12&lt;/sub&gt;Mn&lt;sub&gt;0.7&lt;/sub&gt;O&lt;sub&gt;2&lt;/sub&gt; Cathode for Sodium Ion Batteries, Journal of the American Chemical Society, 141, pp. 6680-6689, (2019); Sun L., Et al., Insight into Ca‚ÄêSubstitution Effects on O3‚ÄêType NaNi 1/3 Fe 1/3 Mn 1/3 O 2 Cathode Materials for Sodium‚ÄêIon Batteries Application, Small, 14, (2018); Ren M., Et al., Homeostatic Solid Solution in Layered Transition-Metal Oxide Cathodes of Sodium-Ion Batteries, Journal of the American Chemical Society, 145, pp. 224-233, (2022); Xiao Y., Et al., Formulating High‚ÄêRate and Long‚ÄêCycle Heterostructured Layered Oxide Cathodes by Local Chemistry and Orbital Hybridization Modulation for Sodium‚ÄêIon Batteries, Advanced Materials, 34, (2022); Ma C., Et al., Exploring Oxygen Activity in the High Energy P2-Type Na&lt;sub&gt;0.78&lt;/sub&gt;Ni&lt;sub&gt;0.23&lt;/sub&gt;Mn&lt;sub&gt;0.69&lt;/sub&gt;O&lt;sub&gt;2&lt;/sub&gt; Cathode Material for Na-Ion Batteries, Journal of the American Chemical Society, 139, pp. 4835-4845, (2017); Huang S., Cole J.M., BatteryBERT: A Pretrained Language Model for Battery Database Enhancement, J Chem Inf Model, 62, pp. 6365-6377, (2022); Mavracic J., Court C.J., Isazawa T., Elliott S.R., Cole J.M., ChemDataExtractor 2.0: Autopopulated Ontologies for Materials Science, Journal of Chemical Information and Modeling, 61, pp. 4280-4289, (2021); Ong S.P., Et al., Python Materials Genomics (pymatgen): A robust, open-source python library for materials analysis, Computational Materials Science, 68, pp. 314-319, (2013); Nomenclature of Inorganic Chemistry ‚Äì IUPAC Recommendations 2005, Chemistry International‚ÄìNewsmagazine for IUPAC, 27, pp. 25-26, (2005); In Advances in Information Retrieval, pp. 345-359; Tsoumakas G., Katakis I.M., Vlahavas I.P., Random k-Labelsets for Multilabel Classification, IEEE Trans. Knowl. Data Eng, 23, pp. 1079-1089, (2011); Gou Y., Zhang Y., Zhu J., Shu Y., figshare, (2024)</t>
  </si>
  <si>
    <t>Y. Shu; School of Materials Science and Engineering, Sun Yat-sen University, Guangdong, China; email: shuyd@mail.sysu.edu.cn</t>
  </si>
  <si>
    <t>Nature Research</t>
  </si>
  <si>
    <t>38605057.0</t>
  </si>
  <si>
    <t>Sci. Data</t>
  </si>
  <si>
    <t>2-s2.0-85190269909</t>
  </si>
  <si>
    <t>Sivakumar N.; Srinivasan P.; Kannan M.; Vijayalakshmi P.; Nagarajan T.</t>
  </si>
  <si>
    <t>Sivakumar, Nethraa (57670990800); Srinivasan, Pooja (58166178100); Kannan, Mrinalini (57163731300); Vijayalakshmi, P. (9269557900); Nagarajan, T. (57191859542)</t>
  </si>
  <si>
    <t>57670990800; 58166178100; 57163731300; 9269557900; 57191859542</t>
  </si>
  <si>
    <t>PooRaa-Agri KG: An agricultural knowledge graph-based simplified multilingual query system</t>
  </si>
  <si>
    <t>Expert Systems</t>
  </si>
  <si>
    <t>40.0</t>
  </si>
  <si>
    <t>e13434</t>
  </si>
  <si>
    <t>10.1111/exsy.13434</t>
  </si>
  <si>
    <t>https://www.scopus.com/inward/record.uri?eid=2-s2.0-85169140315&amp;doi=10.1111%2fexsy.13434&amp;partnerID=40&amp;md5=2cbf288bc8851d071fd2a365abcd4187</t>
  </si>
  <si>
    <t>Department of Electronics and Communication Engineering, Sri Sivasubramaniya Nadar College of Engineering, Tamil Nadu, Chennai, India; Department of Computer Science Engineering, Shiv Nadar University, Tamil Nadu, Chennai, India</t>
  </si>
  <si>
    <t>Sivakumar N., Department of Electronics and Communication Engineering, Sri Sivasubramaniya Nadar College of Engineering, Tamil Nadu, Chennai, India; Srinivasan P., Department of Electronics and Communication Engineering, Sri Sivasubramaniya Nadar College of Engineering, Tamil Nadu, Chennai, India; Kannan M., Department of Electronics and Communication Engineering, Sri Sivasubramaniya Nadar College of Engineering, Tamil Nadu, Chennai, India; Vijayalakshmi P., Department of Electronics and Communication Engineering, Sri Sivasubramaniya Nadar College of Engineering, Tamil Nadu, Chennai, India; Nagarajan T., Department of Computer Science Engineering, Shiv Nadar University, Tamil Nadu, Chennai, India</t>
  </si>
  <si>
    <t>The current work proposes PooRaa-Agri KG, an agricultural knowledge graph-based simplified multilingual query system that works in real time to provide concise answers for agriculture-based queries. The proposed approach accommodates real-time and low-resource queries in English and Hindi with a novel multi-stage solution consisting of data pre-processing, sentence simplification, triplet extraction, knowledge graph generation, sentence reconstruction, query-to-reconstructed sentence matching, and machine translation as its sub-modules. In this work, a novel combination of rule-based sentence simplification and triplet extraction is carried out resulting in a triplet similarity score of 86.56% for the extracted triplets. This method is superior to the existing triplet extraction method whose triplet similarity score was found to be 60.65%. Further, the proposed work makes use of heuristic rules to reconstruct sentences which when evaluated by human evaluators for meaningfulness and grammar resulted in a score of 3.09/4 and 2.95/4 respectively. To complete end-to-end communication in the proposed system, a similarity-based query answer system is proposed in this work. ¬© 2023 John Wiley &amp; Sons Ltd.</t>
  </si>
  <si>
    <t>knowledge graph generation; multilingual query system; sentence segmentation; triplet extraction</t>
  </si>
  <si>
    <t>Agriculture; Computational linguistics; Data handling; Graphic methods; Knowledge graph; Query processing; Graph generation; Graph-based; Knowledge graph generation; Knowledge graphs; Multilingual query system; Query systems; Real- time; Sentence segmentation; Similarity scores; Triplet extraction; Extraction</t>
  </si>
  <si>
    <t>Affolter K., Stockinger K., Bernstein A., A comparative survey of recent natural language interfaces for databases, (2019); Bhatia G., keytotext, (2020); Chen Q., T5: A detailed explanation, medium, (2020); Diefenbach D., Lopez V., Singh K., Maret P., Core techniques of question answering systems over knowledge bases: A survey, Core Techniques of Question Answering Systems Over Knowledge Bases: A Survey, 55, pp. 529-569, (2018); Dwivedi P., Fine tuning a t5 transformer for any summarization task, (2020); Garain A., Basu A., Dawn R., Naskar S., Sentence simplification using syntactic parse trees, (2019); Hermjakob U., Parsing and question classification for question answering, (2002); Hogan A., Blomqvist E., Cochez M., d'Amato C., de Melo G., Gutierrez C., Zimmermann A., Knowledge graphs, (2020); Ji S., Pan S., Cambria E., Marttinen P., Yu P.S., A survey on knowledge graphs: Representation, acquisition and applications. CoRR, abs/2002.00388, (2020); Johnny S., Nirmala S.J., Farmer query answering system, SN Computer Science, 3, 1, (2021); Junczys-Dowmunt M., Grundkiewicz R., Dwojak T., Hoang H., Heafield K., Neckermann T., Birch A., Marian: Fast neural machine translation in C++. CoRR, abs/1804.00344, (2018); Klein G., Kim Y., Deng Y., Senellart J., Rush A.M., Opennmt: Open-source toolkit for neural machine translation. CoRR, abs/1701.02810, (2017); Kumar A., Dinakaran S., Textbook to triples: Creating knowledge graph in the form of triples from AI textbook. CoRR, abs/2111.10692, (2021); Lan W., Xu W., Neural network models for paraphrase identification, semantic textual similarity, natural language inference, and question answering. CoRR, abs/1806.04330, (2018); Liang S.-Y., Stockinger K., de Farias T.M., Anisimova M.O., Gil M., Querying knowledge graphs in natural language, Journal of Big Data, 8, (2021); Malik P., Baghel A.S., An improvement in bleu metric for english-hindi machine translation evaluation. In 2016 international conference on computing, communication and automation (iccca) (p. 331‚Äì336), (2016); Mrinalini K., Nagarajan T., Vijayalakshmi P., Pause-based phrase extraction and effective oov handling for low-resource machine translation systems, ACM Transactions on Asian Language Information Processing, 18, pp. 1-22, (2018); Mrinalini K., Vijayalakshmi P., Nagarajan T., Sbsim: A sentence-bert similarity-based evaluation metric for indian language neural machine translation systems, IEEE/ACM Transactions on Audio, Speech, and Language Processing, 30, pp. 1396-1406, (2022); Raffel C., Shazeer N., Roberts A., Lee K., Narang S., Matena M., Liu P.J., Exploring the limits of transfer learning with a unifie text-to-text transformer. CoRR, abs/1910.10683, (2019); Salunkhe P., Kadam A.D., Joshi S., Patil S., Thakore D., Jadhav S., Hybrid machine translation for english to marathi: A research evaluation in machine translation: (hybrid translator). In 2016 international conference on electrical, electronics, and optimization techniques (iceeot) (p. 924‚Äì931), (2016); Sangavi G., Mrinalini K., Vijayalakshmi P., Analysis on bilingual machine translation systems for english and tamil. In 2016 international conference on computation of power, energy information and commuincation (iccpeic) (p. 245‚Äì250), (2016); Saravanan M., Sathish K.&amp;.P.M., Tamil to english cross lingual information retrieval system for agricultural domain using vsm, International Journal of Innovations in Engineering and Technology (IJIET), 7, 4, pp. 281-287, (2016); Shaalan K., Hendam A., Rafea A., An english-arabic bi-directional machine translation tool in the agriculture domain - a rule-based transfer approach for translating expert systems. In (Vol. 340, p. 281‚Äì290), (2010); Sitikhu P., Pahi K., Thapa P., Shakya S., A comparison of semantic similarity methods for maximum human interpretability. CoRR, abs/1910.09129, (2019); Sulaiman N.H., Mohamad D., A jaccard-based similarity measure for soft sets. In 2012 ieee symposium on humanities, science and engineering research. (p. 659-663), (2012); Tayal M., Raghuwanshi M.M., Malik L., Syntax parsing: Implementation using grammar-rules for english language. In (p. 376-381), (2014); Translator M., Neural machine translation enabling human parity innovations in the cloud, microsoft translator blog, (2019); Trivedi P., Maheshwari G., Dubey M., Lehmann J., Lc-quad: A corpus for complex question answering over knowledge graphs, (2017); Wang Q., Mao Z., Wang B., Guo L., Knowledge graph embedding: A survey of approaches and applications, IEEE Transactions on Knowledge and Data Engineering, 29, 12, pp. 2724-2743, (2017); Wu Y., Schuster M., Chen Z., Le Q.V., Norouzi M., Macherey W., Dean J., Google's neural machine translation system: Bridging the gap between human and machine translation, (2016); Yuanzhe C., Kuang J., Cheng D., Zheng J., Gao M., Zhou A., Agrikg: An agricultural knowledge graph and its applications. In (p. 533-537), (2019)</t>
  </si>
  <si>
    <t>N. Sivakumar; Department of Electronics and Communication Engineering, Sri Sivasubramaniya Nadar College of Engineering, Chennai, Tamil Nadu, India; email: nethraa18096@ece.ssn.edu.in</t>
  </si>
  <si>
    <t>John Wiley and Sons Inc</t>
  </si>
  <si>
    <t>EXSYE</t>
  </si>
  <si>
    <t>Expert Syst</t>
  </si>
  <si>
    <t>2-s2.0-85169140315</t>
  </si>
  <si>
    <t>q16</t>
  </si>
  <si>
    <t>Khaldi H.; Pradel C.; Benamara F.; Aussenac-Gille N.</t>
  </si>
  <si>
    <t>Khaldi, Hadjer (57226407358); Pradel, Camille (46061492800); Benamara, Farah (12239481900); Aussenac-Gille, Nathalie (8969902600)</t>
  </si>
  <si>
    <t>57226407358; 46061492800; 12239481900; 8969902600</t>
  </si>
  <si>
    <t>How Can a Teacher Make Learning from Sparse Data Softer? Application to Business Relation Extraction</t>
  </si>
  <si>
    <t>FinNLP 2022 - 4th Workshop on Financial Technology and Natural Language Processing, Proceedings of the Workshop</t>
  </si>
  <si>
    <t>170.0</t>
  </si>
  <si>
    <t>177.0</t>
  </si>
  <si>
    <t>https://www.scopus.com/inward/record.uri?eid=2-s2.0-85153265214&amp;partnerID=40&amp;md5=624f0071190f3dc05e61b2afda045dd4</t>
  </si>
  <si>
    <t>Geotrend, Universit√© de Toulouse, CNRS, Toulouse INP, UT3, Toulouse, France; IRIT, Universit√© de Toulouse, CNRS, Toulouse INP, UT3, Toulouse, France</t>
  </si>
  <si>
    <t>Khaldi H., Geotrend, Universit√© de Toulouse, CNRS, Toulouse INP, UT3, Toulouse, France, IRIT, Universit√© de Toulouse, CNRS, Toulouse INP, UT3, Toulouse, France; Pradel C., Geotrend, Universit√© de Toulouse, CNRS, Toulouse INP, UT3, Toulouse, France; Benamara F., IRIT, Universit√© de Toulouse, CNRS, Toulouse INP, UT3, Toulouse, France; Aussenac-Gille N., IRIT, Universit√© de Toulouse, CNRS, Toulouse INP, UT3, Toulouse, France</t>
  </si>
  <si>
    <t>Business Relation Extraction between market entities is a challenging information extraction task that suffers from data imbalance due to the over-representation of negative relations (also known as No-relation or Others) compared to positive relations that corresponds to the taxonomy of relations of interest. This paper proposes a novel solution to tackle this problem, relying on binary soft-labels supervision generated by an approach based on knowledge distillation. When evaluated on a business relation extraction dataset, the results suggest that the proposed approach improves the overall performances, beating state-of-the art solutions for data imbalance. In particular, it improves the extraction of under-represented relations as well as the detection of false negatives.  ¬©2022 Association for Computational Linguistics.</t>
  </si>
  <si>
    <t>Computational linguistics; Data mining; Business relations; Data imbalance; Novel solutions; Performance; Relation extraction; Soft labels; Sparse data; State of the art; Teachers'; Under-represented; Distillation</t>
  </si>
  <si>
    <t>Araci Dogu, Finbert: Financial sentiment analysis with pre-trained language models, (2019); Braun D., Faber A., Hernandez-Mendez A., Matthes F., Automatic relation extraction for building smart city ecosystems using dependency parsing, Proceedings of the 2nd Workshop on Natural Language for Artificial Intelligence, pp. 29-39, (2018); Bunescu R., Mooney R., A shortest path dependency kernel for relation extraction, Proceedings of HLT and EMNLP, pp. 724-731, (2005); Collovini S., Goncalves P. N., Cavalheiro G., Santos J., Vieira R., Relation extraction for competitive intelligence, International Conference on Computational Processing of the Portuguese Language, pp. 249-258, (2020); De Los Reyes D., Barcelos A., Vieira R., Manssour I., Related named entities classification in the economic-financial context, Proceedings of the EACL Hackashop on News Media Content Analysis and Automated Report Generation, pp. 8-15, (2021); Devlin J., Chang MW., Lee K., Toutanova K., BERT: Pre-training of deep bidirectional transformers for language understanding, Proceedings of NAACL, pp. 4171-4186, (2019); Doddington G. R, Mitchell A., Przybocki M. A, Ramshaw L. A, Strassel S. M, Weischedel R. M, The automatic content extraction (ace) program-tasks, data, and evaluation, Lrec, pp. 837-840, (2004); Hendrickx I., Kim S. N., Kozareva Z., Nakov P., Seaghdha D., Pado S., Pennacchiotti M., Romano L., Szpakowicz S., Semeval-2010 task 8: Multi-way classification of semantic relations between pairs of nominals, Proceedings of the 5th International Workshop on Semantic Evaluation, pp. 33-38, (2010); Hinton G., Vinyals O., Dean J., Distilling the knowledge in a neural network, Proc. of NeurIPS., (2015); Khaldi H., Benamara F., Abdaoui A., Aussenac- Gilles N., Kang E., Multilevel entityinformed business relation extraction, International Conference on Applications of Natural Language to Information Systems, pp. 105-118, (2021); Krallinger M., Rabal O., Akhondi S. A, Perez M. P., Santamaria J., Rodriguez G. P., Tsatsaronis G., Intxaurrondo A., Overview of the biocreative vi chemical-protein interaction track, Proceedings of the sixth BioCreative challenge evaluation workshop, 1, pp. 141-146, (2017); Lau R., Zhang W., Semi-supervised statistical inference for business entities extraction and business relations discovery, SIGIR 2011 workshop, pp. 41-46, (2011); Li R., Yang C., Li T., Su S., Midtd: A simple and effective distillation framework for distantly supervised relation extraction, ACM Transactions on Information Systems (TOIS), 4, pp. 1-32, (2022); Li X., Sun X., Meng Y., Liang J., Wu F., Li J., Dice loss for data-imbalanced nlp tasks, Proceedings of the 58th ACL, pp. 465-476, (2020); Lin H., Lu Y., Han X., Sun L., Adaptive scaling for sparse detection in information extraction, (2018); Lin T.-Y., Goyal P., Girshick R.s, He K., Dollar P., Focal loss for dense object detection, Proceedings of the IEEE international conference on computer vision, pp. 2980-2988, (2017); Oberlechner T., Hocking S., Information sources, news, and rumors in financial markets: Insights into the foreign exchange market, Journal of economic psychology, pp. 407-424, (2004); Papanikolaou Y., Pierleoni A., Dare: Data augmented relation extraction with gpt-2, (2020); Reyes D.D.L., Trajano D., Manssour I., Vieira R., Bordini R., Entity relation extraction from news articles in portuguese for competitive intelligence based on bert, Brazilian Conference on Intelligent Systems, pp. 449-464, (2021); Song D., Xu J., Pang J., Huang H., Classifieradaptation knowledge distillation framework for relation extraction and event detection with imbalanced data, Information Sciences, 573, pp. 222-238, (2021); Su Peng, Peng Yifan, Vijay-Shanker K., Improving BERT model using contrastive learning for biomedical relation extraction, Proceedings of the 20th Workshop BioNLP, pp. 1-10, (2021); Wang W., Hu W., Improving relation extraction by multi-task learning, Proceedings of HPCCT'20 BDAI'20, pp. 152-157, (2020); Wu Y., He, Enriching pre-trained language model with entity information for relation classification, Proceedings of the CIKM'19, pp. 2361-2364, (2019); Zhang Y., Zhong V., Chen D., Angeli G., Manning C. D., Position-aware attention and supervised data improve slot filling, Proceedings of the 2017 Conference on EMNLP, pp. 35-45, (2017); Zhang Z., Shu X., Yu B., Liu T., Zhao J., Li Q., Guo L., Distilling knowledge from wellinformed soft labels for neural relation extraction, Proceedings of the AAAI Conference, pp. 9620-9627, (2020); Zhao J., Jin P., Liu Y., Business relations in the web: Semantics and a case study, Journal of Software, 8, pp. 826-833, (2010); Zhou W., Chen M., An improved baseline for sentence-level relation extraction, (2021)</t>
  </si>
  <si>
    <t>4th Workshop on Financial Technology and Natural Language Processing, FinNLP 2022</t>
  </si>
  <si>
    <t>8 December 0202</t>
  </si>
  <si>
    <t>187671.0</t>
  </si>
  <si>
    <t>978-195942910-4</t>
  </si>
  <si>
    <t>FinNLP - Workshop Financ. Technol. Nat. Lang. Process., Proc. Workshop</t>
  </si>
  <si>
    <t>2-s2.0-85153265214</t>
  </si>
  <si>
    <t>q4</t>
  </si>
  <si>
    <t>Ranjbar-Sahraei B.; Rahmani H.; Weiss G.; Tuyls K.</t>
  </si>
  <si>
    <t>Ranjbar-Sahraei, Bijan (36761399500); Rahmani, Hossein (57216792350); Weiss, Gerhard (57209289279); Tuyls, Karl (23391251900)</t>
  </si>
  <si>
    <t>36761399500; 57216792350; 57209289279; 23391251900</t>
  </si>
  <si>
    <t>Distant supervision of relation extraction in sparse data</t>
  </si>
  <si>
    <t>Intelligent Data Analysis</t>
  </si>
  <si>
    <t>1145.0</t>
  </si>
  <si>
    <t>1166.0</t>
  </si>
  <si>
    <t>10.3233/IDA-184238</t>
  </si>
  <si>
    <t>https://www.scopus.com/inward/record.uri?eid=2-s2.0-85074452995&amp;doi=10.3233%2fIDA-184238&amp;partnerID=40&amp;md5=a6f084830c8ff66f57f2c120bbd65998</t>
  </si>
  <si>
    <t>Department of Data Science and Knowledge Engineering, Maastricht University, Maastricht, Netherlands; School of Computer Engineering, Iran University of Science and Technology, Teheran, Iran; Liverpool University, United Kingdom</t>
  </si>
  <si>
    <t>Ranjbar-Sahraei B., Department of Data Science and Knowledge Engineering, Maastricht University, Maastricht, Netherlands; Rahmani H., Department of Data Science and Knowledge Engineering, Maastricht University, Maastricht, Netherlands, School of Computer Engineering, Iran University of Science and Technology, Teheran, Iran; Weiss G., Department of Data Science and Knowledge Engineering, Maastricht University, Maastricht, Netherlands; Tuyls K., Liverpool University, United Kingdom</t>
  </si>
  <si>
    <t>To extract structured knowledge from unstructured text sources we need to understand the semantic relationships between entities. State-of-the-art relation extraction techniques take advantage of the abundance of data on the web. However, in domains with sparse data such as social networks which have limited occurrences of entities and relationship patterns, bootstrapping techniques and pattern detection methods are inefficient and inaccurate. In this paper, we introduce REDS, a Relation Extraction approach based on Distant Supervision. REDS extracts the named entities from text documents and assigns a fingerprint to each potential relationship among the named entities. Then, it queries a knowledge repository for similar matches to each fingerprint. An assessor uses the query results and the data statistics to measure the validity of the relationships corresponding to the queried fingerprints, and labels each potential relationship with the predicted type. In addition to handling the relation extraction in presence of data sparsity, REDS uses an information retrieval framework that makes it scalable and capable of dealing with noisy data. We implement and test REDS on a non-English historical archive consisting of unstructured notarial acts and structured civil registers; By means of manual evaluations REDS achieves precision of 0.90. ¬© 2019 - IOS Press and the authors. All rights reserved.</t>
  </si>
  <si>
    <t>distant supervision; identity resolution; Relation extraction</t>
  </si>
  <si>
    <t>Extraction; Pattern recognition; Semantics; Statistical methods; distant supervision; Historical archive; Identity resolutions; Knowledge repository; Relation extraction; Semantic relationships; Structured knowledge; Unstructured texts; Data mining</t>
  </si>
  <si>
    <t>BHIC; NWO CATCH, (640.005.003); Netherlands Organization for Scientific Research; Nederlandse Organisatie voor Wetenschappelijk Onderzoek, NWO</t>
  </si>
  <si>
    <t>Funding text 1: This research has been supported under the NWO CATCH program in the MISS project (project no. 640.005.003). The authors are grateful to the BHIC center for the support in data gathering, evaluations and direction.; Funding text 2: 2Mining Social Structures from Genealogical Data, part of the CATCH program funded by the Netherlands Organization for Scientific Research (NWO).</t>
  </si>
  <si>
    <t>Agichtein E., Ganti V., Mining reference tables for automatic text segmentation, Proceedings of the Tenth ACM SIGKDD International Conference on Knowledge Discovery and Data Mining, pp. 20-29, (2004); Agichtein E., Gravano L., Snowball: Extracting relations from large plain-text collections, Proceedings of the Fifth ACM Conference on Digital Libraries, pp. 85-94, (2000); Bach N., Badaskar S., A Review of Relation Extraction, Literature Review for Language and Statistics II, (2007); Balaji J., Javed F., Kejriwal M., Min C., Sander S., Ozturk O., An ensemble blocking scheme for entity resolution of large and sparse datasets, CoRR, (2016); Banko M., Cafarella M.J., Soderland S., Broadhead M., Etzioni O., Open information extraction for the web, IJCAI, 7, pp. 2670-2676, (2007); Bartunov S., Korshunov A., Park S.-T., Ryu W., Lee H., Joint link-attribute user identity resolution in online social networks, Proceedings of the 6th International Conference on Knowledge Discovery and Data Mining, Workshop on Social Network Mining and Analysis, (2012); Bhattacharya I., Getoor L., Collective entity resolution in relational data, ACM Transactions on Knowledge Discovery from Data (TKDD), 1, 1, (2007); Bilge L., Strufe T., Balzarotti D., Kirda E., All your contacts are belong to us: Automated identity theft attacks on social networks, Proceedings of the 18th International Conference on World Wide Web, pp. 551-560, (2009); Bloothooft G., Corpus-based name standardization, History and Computing, 6, 3, pp. 153-167, (1994); Boal S.R., Identity Resolution for Consumers with Shared Credentials, (2013); Borkar V., Deshmukh K., Sarawagi S., Automatic segmentation of text into structured records, ACM SIGMOD Record, 30, pp. 175-186, (2001); Brin S., Extracting patterns and relations from the world wide web, The World Wide Web and Databases, pp. 172-183, (1999); Buccafurri F., Lax G., Nocera A., Ursino D., Discovering missing me edges across social networks, Information Sciences, (2015); Bunescu R.C., Mooney R.J., A shortest path dependency kernel for relation extraction, Proceedings of the Conference on Human Language Technology and Empirical Methods in Natural Language Processing, pp. 724-731, (2005); Entity matching across multiple heterogeneous data sources, Database Systems for Advanced Applications. DASFAA 2016. Lecture Notes in Computer Science; Choi F.Y., Advances in domain independent linear text segmentation, Proceedings of the 1st North American Chapter of the Association for Computational Linguistics Conference, pp. 26-33, (2000); Christen P., Data Matching: Concepts and Techniques for Record Linkage, Entity Resolution, and Duplicate Detection, (2012); Christen P., Gayler R., Towards scalable real-time entity resolution using a similarity-aware inverted index approach, Proceedings of the 7th Australasian Data Mining Conference-Volume 87, pp. 51-60, (2008); Christodoulopoulos C., Mittal A., Simple large-scale relation extraction from unstructured text, CoRR, (2018); Codd E.F., The Relational Model for Database Management: Version 2, (1990); Cucchiarelli A., Velardi P., Unsupervised named entity recognition using syntactic and semantic contextual evidence, Computational Linguistics, 27, 1, pp. 123-131, (2001); Efremova J., Ranjbar-Sahraei B., Calders T., A hybrid disambiguation measure for inaccurate cultural heritage data, The 8th Workshop on LaTeCH, pp. 47-55, (2014); Efremova J., Ranjbar-Sahraei B., Oliehoek F.A., Calders T., Tuyls K., A baseline method for genealogical entity resolution, Workshop on Population Reconstruction, (2014); Efremova J., Ranjbar-Sahraei B., Rahmani H., Oliehoek F., Calders T., Tuyls K., Weiss G., Multi-source entity resolution for genealogical data, Population Reconstruction, pp. 129-154, (2015); Elmasri R.A., Navathe S.B., Fundamentals of Database Systems, (1999); Etzioni O., Banko M., Soderland S., Weld D.S., Open information extraction from the web, Communications of the ACM, 51, 12, pp. 68-74, (2008); Etzioni O., Cafarella M., Downey D., Kok S., Popescu A.-M., Shaked T., Soderland S., Weld D.S., Yates A., Webscale information extraction in knowitall:(preliminary results), Proceedings of the 13th International Conference on World Wide Web, pp. 100-110, (2004); Etzioni O., Cafarella M., Downey D., Popescu A.-M., Shaked T., Soderland S., Weld D.S., Yates A., Unsupervised named-entity extraction from the web: An experimental study, Artificial Intelligence, 165, 1, pp. 91-134, (2005); GuoDong Z., Jian S., Jie Z., Min Z., Exploring various knowledge in relation extraction, Proceedings of the 43rd Annual Meeting on Association for Computational Linguistics, pp. 427-434, (2005); Kambhatla N., Combining lexical, syntactic, and semantic features with maximum entropy models for extracting relations, Proceedings of the ACL 2004 on Interactive Poster and Demonstration Sessions, (2004); Kopcke H., Thor A., Rahm E., Evaluation of entity resolution approaches on real-world match problems, Proceedings of the VLDB Endowment, 3, 1-2, pp. 484-493, (2010); Li F., Lee M.L., Hsu W., Profiling entities over time in the presence of unreliable sources, IEEE Transactions on Knowledge and Data Engineering, 29, 7, pp. 1522-1535, (2017); McCallum A., Information extraction: Distilling structured data from unstructured text, Queue, 3, 9, pp. 48-57, (2005); Mintz M., Bills S., Snow R., Jurafsky D., Distant supervision for relation extraction without labeled data, Proceedings of the Joint Conference of the 47th Annual Meeting of the ACL and the 4th International Joint Conference on Natural Language Processing of the AFNLP: Volume 2-Volume 2, pp. 1003-1011, (2009); Motoyama M., Varghese G., I seek you: Searching and matching individuals in social networks, Proceedings of the Eleventh International Workshop on Web Information and Data Management, pp. 67-75, (2009); Nadeau D., Sekine S., A survey of named entity recognition and classification, Lingvisticae Investigationes, 30, 1, pp. 3-26, (2007); Nadeau D., Turney P., Matwin S., Unsupervised Named-entity Recognition: Generating Gazetteers and Resolving Ambiguity, (2006); Nguyen T.-V.T., Moschitti A., End-to-end relation extraction using distant supervision from external semantic repositories, Proceedings of the 49th Annual Meeting of the Association for Computational Linguistics: Human Language Technologies: Short Papers-Volume 2, pp. 277-282, (2011); Purohit H., Dow A., Alonso O., Duan L., Haas K., User taglines: Alternative presentations of expertise and interest in social media, Social Informatics (Social Informatics), 2012 International Conference on, pp. 236-243, (2012); Purohit H., Dow P.A., Duan L., Alonso O., Derivation and Presentation of Expertise Summaries and Interests for Users, (2013); Quinlan J.R., Induction of decision trees, Machine Learning, 1, 1, pp. 81-106, (1986); Quinlan J.R., C4. 5: Programs for Machine Learning, (2014); Rahmani H., Ranjbar-Sahraei B., Weiss G., Tuyls K., Entity resolution in disjoint graphs: An application on genealogical data, Intelligent Data Analysis, 20, 2, (2016); Ratanamahatana C.A., Gunopulos D., Feature selection for the naive Bayesian classifier using decision trees, Applied Artificial Intelligence, 17, 5-6, pp. 475-487, (2003); Ratinov L., Roth D., Design challenges and misconceptions in named entity recognition, Proceedings of the Thirteenth Conference on Computational Natural Language Learning, pp. 147-155, (2009); Ravichandran D., Hovy E., Learning surface text patterns for a question answering system, Proceedings of the 40th Annual Meeting on Association for Computational Linguistics, pp. 41-47, (2002); Riedel S., Yao L., McCallum A., Modeling relations and their mentions without labeled text, Machine Learning and Knowledge Discovery in Databases, pp. 148-163, (2010); Sarawagi S., Information extraction, Foundations and Trends in Databases, 1, 3, pp. 261-377, (2008); Schraagen M., Hoogeboom H.J., Predicting record linkage potential in a family reconstruction graph, 23th Benelux Conference on Artificial Intelligence (BNAIC2011), pp. 199-206, (2011); Schulz K.U., Mihov S., Fast string correction with levenshtein automata, International Journal on Document Analysis and Recognition, 5, 1, pp. 67-85, (2002); Shen Y., Yun H., Lipton Z.C., Kronrod Y., Anandkumar A., Deep active learning for named entity recognition, CoRR, (2017); Shinyama Y., Sekine S., Preemptive information extraction using unrestricted relation discovery, Proceedings of the Main Conference on Human Language Technology Conference of the North American Chapter of the Association of Computational Linguistics, pp. 304-311, (2006); Stibel J.M., Stibel A.B., Method and System for Directly Targeting and Blasting Messages to Automatically Identified Entities on Social Media, (2014); Surdeanu M., Ciaramita M., Robust information extraction with perceptrons, Proceedings of the NIST 2007 Automatic Content Extraction Workshop (ACE07), (2007); Tjong Kim-Sang E.F., De Meulder F., Introduction to the conll-2003 shared task: Language-independent named entity recognition, Proceedings of the Seventh Conference on Natural Language Learning at HLT-NAACL 2003-Volume 4, pp. 142-147, (2003); Vosecky J., Hong D., Shen V.Y., User identification across multiple social networks, Networked Digital Technologies, 2009. NDT'09. First International Conference on, pp. 360-365, (2009); Watts D.J., Dodds P.S., Newman M.E., Identity and search in social networus patent appks, Science, 296, 5571, pp. 1302-1305, (2002); Winkler W.E., Overview of record linkage and current research directions, Bureau of the Census, (2006); Yates A., Cafarella M., Banko M., Etzioni O., Broadhead M., Soderland S., Textrunner: Open information extraction on the web, Proceedings of Human Language Technologies: The Annual Conference of the North American Chapter of the Association for Computational Linguistics: Demonstrations, pp. 25-26, (2007); Zelenko D., Aone C., Richardella A., Kernel methods for relation extraction, The Journal of Machine Learning Research, 3, pp. 1083-1106, (2003); Zhao S., Grishman R., Extracting relations with integrated information using kernel methods, ACL, the Association for Computer Linguistics, (2005)</t>
  </si>
  <si>
    <t>H. Rahmani; Department of Data Science and Knowledge Engineering, Maastricht University, Maastricht, Netherlands; email: h_rahmani@iust.ac.ir</t>
  </si>
  <si>
    <t>IOS Press</t>
  </si>
  <si>
    <t>1088467X</t>
  </si>
  <si>
    <t>Intell. Data Anal.</t>
  </si>
  <si>
    <t>2-s2.0-85074452995</t>
  </si>
  <si>
    <t>Zhang J.</t>
  </si>
  <si>
    <t>Zhang, Jin (58894387300)</t>
  </si>
  <si>
    <t>Exploration of Innovative Teaching Methods in the Teaching Reform of Linear Algebra Course in the Internet Era</t>
  </si>
  <si>
    <t>Applied Mathematics and Nonlinear Sciences</t>
  </si>
  <si>
    <t>10.2478/amns-2024-0278</t>
  </si>
  <si>
    <t>https://www.scopus.com/inward/record.uri?eid=2-s2.0-85185394837&amp;doi=10.2478%2famns-2024-0278&amp;partnerID=40&amp;md5=6013ff3d80113ab9b3d6a8793fcd0402</t>
  </si>
  <si>
    <t>School of Mathematics and Statistics, Shandong University of Technology, Shandong, Zibo, 255000, China</t>
  </si>
  <si>
    <t>Zhang J., School of Mathematics and Statistics, Shandong University of Technology, Shandong, Zibo, 255000, China</t>
  </si>
  <si>
    <t>For the task of ternary extraction in unstructured text, an entity recognition model based on BiLSTM-CRF is proposed. By introducing graph convolutional neural network and attention mechanism respectively, a relation extraction model based on attention-guided graph convolutional neural network and a text classification model based on GCN are proposed to realize the automatic extraction of linear algebra knowledge triples. To solve the problem of ignoring semantic information of knowledge points and sparse data, the linear algebra knowledge level matrix of learners is obtained by using the DKVMN model. The knowledge graph's relationships are assigned weights by experts through evaluation. The semantic information in the knowledge graph and the weights of relationships between nodes are utilized to complement the knowledge level matrix as a way to recommend appropriate linear algebra exercises for learners. Compared with the traditional teaching class, the experimental class of this paper's method scores higher in algorithmic thinking, collaboration, critical thinking, and problem-solving by 0.67, 0.27, 0.41, and 0.37, respectively. Based on the learning data of each chapter's knowledge points, it is understood that the standard deviation of the eigenvalues and eigenvectors in the eigenvalue and eigenvector and quadratic form, quadratic form, similarity matrices, positive qualitative and geometric questions, and proofs are respectively 4.076, 3.226, 6.185, 3.292, and 4.105, and the standard deviations are generally large compared to other chapters. This paper demonstrates that the method can be taught accurately depending on the students' linear algebra level.  ¬© 2024 Jin Zhang, published by Sciendo.</t>
  </si>
  <si>
    <t>BiLSTM-CRF; DKVMN; GCN; Knowledge graph; Linear algebra</t>
  </si>
  <si>
    <t>Character recognition; Classification (of information); Convolution; Convolutional neural networks; Extraction; Matrix algebra; Number theory; Semantics; Statistics; Text processing; BiLSTM-CRF; Convolutional neural network; DKVMN; GCN; Knowledge graphs; Knowledge level; matrix; Model-based OPC; Semantics Information; Standard deviation; Eigenvalues and eigenfunctions</t>
  </si>
  <si>
    <t>Zhou X., Deng C., Attaching importance to the strategy of mathematical culture in college mathematics teaching, International Journal of Technology, Management, (2017); John D.B., An evaluation of the spitz student response system in teaching a course in logical and mathematical concepts, Journal of Experimental Education, (2015); Liu H.X., Study on college mathematics education and teaching strategies, Advanced Materials Research, 403-408, pp. 1648-1651, (2011); Reddy L A., Hua A., Dudek C M., Kettler R J., Lekwa A., Arnold-Berkovits I., Et al., Use of observational measures to predict student achievement, Studies in Educational Evaluation, 62, pp. 197-208, (2019); Linear N., Calvetti D., Lewis B., Reichel L., Numerical linear algebra with applications, Numerical Linear Algebra with Applications, 1, 1, (2013); Strang G., Moler C., Lu and cr elimination, SIAM Review, 1, (2022); Hendriana H., Rohaeti E E., The importance of metaphorical thinking in the teaching of mathematics, Current Science, 113, 11, pp. 2160-2164, (2017); Flick L B., Sadri P., Morrell P D., Wainwright C., Schepige A., A cross discipline study of reformed teaching by university science and mathematics faculty, School Ence and Mathematics, 109, 4, pp. 197-211, (2009); Costa Barros K., Teixeira J.C., Et al., Active methodologies for teaching linear algebra in an engineering course, IEEE Latin America Transactions, (2016); Hsieh M C., Chen S H., Intelligence augmented reality tutoring system for mathematics teaching and learning, Journal of Internet Technology, 20, pp. 1673-1681, (2019); Orly Buchbinder Daniel I., Chazan, Solving equations: Exploring instructional exchanges as lenses to understand teaching and its resistance to reform, Journal for Research in Mathematics Education, 50, 1, pp. 51-83, (2019); Prendergas M., Treac P., Curriculum reform in irish secondary schools - A focus on algebra, Journal of Curriculum Studies, (2017); Mary B., Harris Ralph A., Liguori, Some effects of a personalized system of instruction in teaching college mathematics, Journal of Educational Research, (2014); Rigby J G., Larson C A., Chen C., Learning opportunities about teaching mathematics: A longitudinal case study of school leaders' influence, Teachers College Record, (2020); Yang Y., Quality evaluation method of a mathematics teaching model reform based on an improved genetic algorithm, Scientific Programming, (2021); Huang J., An internet of things evaluation algorithm for quality assessment of computer-based teaching, Mobile Information Systems, (2021)</t>
  </si>
  <si>
    <t>J. Zhang; School of Mathematics and Statistics, Shandong University of Technology, Zibo, Shandong, 255000, China; email: zj72005@126.com</t>
  </si>
  <si>
    <t>Sciendo</t>
  </si>
  <si>
    <t>Appl. Math. Nonlinear Sci.</t>
  </si>
  <si>
    <t>2-s2.0-85185394837</t>
  </si>
  <si>
    <t>Rockt√§schel T.; Singh S.; Riedel S.</t>
  </si>
  <si>
    <t>Rockt√§schel, Tim (55899274800); Singh, Sameer (58124003300); Riedel, Sebastian (36562438800)</t>
  </si>
  <si>
    <t>55899274800; 58124003300; 36562438800</t>
  </si>
  <si>
    <t>Injecting logical background knowledge into embeddings for relation extraction</t>
  </si>
  <si>
    <t>2015.0</t>
  </si>
  <si>
    <t>NAACL HLT 2015 - 2015 Conference of the North American Chapter of the Association for Computational Linguistics: Human Language Technologies, Proceedings of the Conference</t>
  </si>
  <si>
    <t>1119.0</t>
  </si>
  <si>
    <t>1129.0</t>
  </si>
  <si>
    <t>195.0</t>
  </si>
  <si>
    <t>10.3115/v1/n15-1118</t>
  </si>
  <si>
    <t>https://www.scopus.com/inward/record.uri?eid=2-s2.0-84960112525&amp;doi=10.3115%2fv1%2fn15-1118&amp;partnerID=40&amp;md5=68a310b037f3804b0e6037fb811bfd2e</t>
  </si>
  <si>
    <t>University College London, London, United Kingdom; University of Washington, Seattle, WA, United States</t>
  </si>
  <si>
    <t>Rockt√§schel T., University College London, London, United Kingdom; Singh S., University of Washington, Seattle, WA, United States; Riedel S., University College London, London, United Kingdom</t>
  </si>
  <si>
    <t>Matrix factorization approaches to relation extraction provide several attractive features: they support distant supervision, handle open schemas, and leverage unlabeled data. Unfortunately, these methods share a shortcoming with all other distantly supervised approaches: they cannot learn to extract target relations without existing data in the knowledge base, and likewise, these models are inaccurate for relations with sparse data. Rule-based extractors, on the other hand, can be easily extended to novel relations and improved for existing but inaccurate relations, through first-order formulae that capture auxiliary domain knowledge. However, usually a large set of such formulae is necessary to achieve generalization. In this paper, we introduce a paradigm for learning low-dimensional embeddings of entity-pairs and relations that combine the advantages of matrix factorization with first-order logic domain knowledge. We introduce simple approaches for estimating such embeddings, as well as a novel training algorithm to jointly optimize over factual and first-order logic information. Our results show that this method is able to learn accurate extractors with little or no distant supervision alignments, while at the same time generalizing to textual patterns that do not appear in the formulae. ¬© 2015 Association for Computational Linguistics.</t>
  </si>
  <si>
    <t>Computational linguistics; Computer circuits; Embeddings; Extraction; Factorization; Formal logic; Knowledge based systems; Matrix algebra; Back-ground knowledge; Domain knowledge; First order logic; Low dimensional; Matrix factorizations; Relation extraction; Textual patterns; Training algorithms; Data mining</t>
  </si>
  <si>
    <t>Abu-Mostafa Y.S., Learning from hints in neural networks, Journal of Complexity, 6, 2, pp. 192-198, (1990); Akbik A., Michael T., Boden C., Exploratory relation extraction in large text corpora, International Conference on Computational Linguistics (COLING), pp. 2087-2096, (2014); Baader F., Ganter B., Sertkaya B., Sattler U., Completing description logic knowledge bases using formal concept analysis, IJCAI, pp. 230-235, (2007); Beltagy I., Chau C., Boleda G., Garrette D., Erk K., Mooney R., Montague meets markov: Deep semantics with probabilistic logical form, 2nd Joint Conference on Lexical and Computational Semantics: Proceeding of the Main Conference and the Shared Task, pp. 11-21, (2013); Beltagy I., Erk K., Mooney R.J., Probabilistic soft logic for semantic textual similarity, Proceedings of the 52nd Annual Meeting of the Association for Computational Linguistics (ACL-14), (2014); Bollacker K., Evans C., Paritosh P., Sturge T., Taylor J., Freebase: A collaboratively created graph database for structuring human knowledge, Proceedings of the 2008 ACM SIGMOD International Conference on Management of Data, pp. 1247-1250, (2008); Bordes A., Weston J., Collobert R., Bengio Y., Learning structured embeddings of knowledge bases, AAAI, (2011); Bos J., Markert K., Recognising textual entailment with logical inference, Proceedings of the Conference on Human Language Technology and Empirical Methods in Natural Language Processing, pp. 628-635, (2005); Bos J., Wide-coverage semantic analysis with boxer, Johan Bos and Rodolfo Delmonte, Editors, Semantics in Text Processing. STEP 2008 Conference Proceedings, Research in Computational Semantics, pp. 277-286, (2008); Bowman S.R., Can recursive neural tensor networks learn logical reasoning?, ICLR'14, (2014); Bunescu R.C., Mooney R.J., Learning to extract relations from theweb using minimal supervision, Annual Meeting of the Association for Computational Linguistics (ACL), (2007); Carlson A., Betteridge J., Wang R.C., Hruschka E.R., Mitchell T.M., Coupled semi-supervised learning for information extraction, International Conference on Web Search and Data Mining (WSDM), (2010); Chang M.-W., Ratinov L., Roth D., Guiding semi-supervision with constraint-driven learning, Annual Meeting of the Association for Computational Linguistics (ACL), pp. 280-287, (2007); Chang K.-W., Yih W.-T., Yang B., Meek C., Typed Tensor Decomposition of Knowledge Bases for Relation Extraction, (2014); Chiticariu L., Li Y., Reiss F.R., Rule-based information extraction is dead! long live rule-based information extraction systems!, Empirical Methods in Natural Language Processing (EMNLP), pp. 827-832, (2013); Clark S., Pulman S., Combining symbolic and distributional models of meaning, AAAI Spring Symposium: Quantum Interaction, pp. 52-55, (2007); Coecke B., Sadrzadeh M., Clark S., Mathematical foundations for a compositional distributional model of meaning, CoRR, (2010); Collins M., Dasgupta S., Schapire R.E., A generalization of principal components analysis to the exponential family, Advances in Neural Information Processing Systems, pp. 617-624, (2001); De Lacalle O.L., Lapata M., Unsupervised relation extraction with general domain knowledge, EMNLP, pp. 415-425, (2013); Druck G., Mann G., McCallum A., Semi-supervised learning of dependency parsers using generalized expectation criteria, Joint Conference of the Annual Meeting of the ACL and the International Joint Conference on Natural Language Processing of the AFNLP, (2009); Duchi J., Hazan E., Singer Y., Adaptive subgradient methods for online learning and stochastic optimization, The Journal of Machine Learning Research, 12, pp. 2121-2159, (2011); Fan M., Zhao D., Zhou Q., Liu Z., Fang Zheng T., Chang E.Y., Distant supervision for relation extraction with matrix completion, Proceedings of the 52nd Annual Meeting of the Association for Computational Linguistics, 1, pp. 839-849, (2014); Ganchev K., Graca J., Gillenwater J., Taskar B., Posterior regularization for structured latent variable models, Journal of Machine Learning Research (JMLR), (2010); Garrette D., Erk K., Mooney R., Integrating logical representations with probabilistic information using markov logic, Proceedings of the Ninth International Conference on Computational Semantics, pp. 105-114, (2011); Grefenstette E., Towards a formal distributional semantics: Simulating logical calculi with tensors, Proceedings of the Second Joint Conference on Lexical and Computational Semantics, pp. 1-10, (2013); Hermann K.M., Blunsom P., The role of syntax in vector space models of compositional semantics, Proc. of ACL, pp. 894-904, (2013); Hipp J., Guntzer U., Nakhaeizadeh G., Algorithms for association rule mininga general survey and comparison, ACM Sigkdd Explorations Newsletter, 2, 1, pp. 58-64, (2000); Hitzler P., Holldobler S., Seda A.K., Logic programs and connectionist networks, Journal of Applied Logic, 2, 3, pp. 245-272, (2004); Hoffmann R., Zhang C., Ling X., Zettlemoyer L., Weld D.S., Knowledge-based weak supervision for information extraction of overlapping relations, Annual Meeting of the Association for Computational Linguistics (ACL), (2011); Holldobler S., Kalinke Y., Storr H.-P., Approximating the semantics of logic programs by recurrent neural networks, Appl. Intell., 11, 1, pp. 45-58, (1999); Lewis M., Steedman M., Combined distributional and logical semantics, Transactions of the Association for Computational Linguistics, 1, pp. 179-192, (2013); Mann G.S., McCallum A., Generalized expectation criteria for semi-supervised learning of conditional random fields, Annual Meeting of the Association for Computational Linguistics (ACL), pp. 870-878, (2008); Mintz M., Bills S., Snow R., Jurafsky D., Distant supervision for relation extraction without labeled data, Association for Computational Linguistics (ACL), (2009); Mitchell J., Lapata M., Vector-based models of semantic composition, Proc. of ACL, pp. 236-244, (2008); Nickel M., Tresp V., Kriegel H.-P., Factorizing yago: Scalable machine learning for linked data, Proc. of WWW, pp. 271-280, (2012); Reiss F., Raghavan S., Krishnamurthy R., Zhu H., Vaithyanathan S., An algebraic approach to rule-based information extraction, International Conference on Data Engineering (ICDE), pp. 933-942, (2008); Richardson M., Domingos P., Markov logic networks, Machine Learning, 62, 1-2, pp. 107-136, (2006); Riedel S., Yao L., McCallum A., Marlin B.M., Relation extraction with matrix factorization and universal schemas, Proceedings of NAACL-HLT, pp. 74-84, (2013); Rocktaschel T., Bosnjak M., Singh S., Riedel S., Low-dimensional embeddings of logic, ACL Workshop on Semantic Parsing (SP'14), (2014); Sandhaus E., The New York Times Annotated Corpus, (2008); Schoenmackers S., Etzioni O., Weld D.S., Scaling textual inference to the web, Empirical Methods in Natural Language Processing (EMNLP), (2008); Schoenmackers S., Davis J., Etzioni O., Weld D., Learning first-order horn clauses from web text, Empirical Methods in Natural Language Processing (EMNLP), (2010); Singh S., Hillard D., Leggetter C., Minimally-supervised extraction of entities from text advertisements, North American Chapter of the Association for Computational Linguistics - Human Language Technologies (NAACL HLT), (2010); Socher R., Chen D., Manning C.D., Ng A.Y., Reasoning with neural tensor networks for knowledge base completion, NIPS, pp. 926-934, (2013); Surdeanu M., Tibshirani J., Nallapati R., Manning C.D., Multi-instance multilabel learning for relation extraction, Empirical Methods in Natural Language Processing (EMNLP), (2012); Towell G.G., Shavlik J.W., Knowledge-based artificial neural networks, Artificial Intelligence, 70, 1, pp. 119-165, (1994); Volker J., Niepert M., Statistical schema induction, The Semantic Web: Research and Applications, pp. 124-138, (2011); Wu W., Li H., Wang H., Zhu K.Q., Probase: A probabilistic taxonomy for text understanding, Proceedings of the 2012 ACM, (2012); SIGMOD International Conference on Management of Data, pp. 481-492; Yao L., Haghighi A., Riedel S., McCallum A., Structured relation discovery using generative models, Proceedings of the Conference on Empirical Methods in Natural Language Processing (EMNLP '11), (2011); Zettlemoyer L.S., Collins M., Learning to map sentences to logical form: Structured classification with probabilistic categorial grammars, Uncertainty in Artifical Intelligence (UAI), (2005)</t>
  </si>
  <si>
    <t>A9; Bloomberg; et al.; Goldman Sachs; Google; IBM Watson</t>
  </si>
  <si>
    <t>Conference of the North American Chapter of the Association for Computational Linguistics: Human Language Technologies, NAACL HLT 2015</t>
  </si>
  <si>
    <t>31 May 2015 through 5 June 2015</t>
  </si>
  <si>
    <t>Denver</t>
  </si>
  <si>
    <t>116756.0</t>
  </si>
  <si>
    <t>978-194164349-5</t>
  </si>
  <si>
    <t>NAACL HLT - Conf. North Am. Chapter Assoc. Comput. Linguist.: Hum. Lang. Technol., Proc. Conf.</t>
  </si>
  <si>
    <t>2-s2.0-84960112525</t>
  </si>
  <si>
    <t>Chen J.; Verspoor K.; Zhai Z.</t>
  </si>
  <si>
    <t>Chen, Jiyu (57216991109); Verspoor, Karin (12772581800); Zhai, Zenan (57216645849)</t>
  </si>
  <si>
    <t>57216991109; 12772581800; 57216645849</t>
  </si>
  <si>
    <t>A bag-of-concepts model improves relation extraction in a narrow knowledge domain with limited data</t>
  </si>
  <si>
    <t>NAACL HLT 2019 - 2019 Conference of the North American Chapter of the Association for Computational Linguistics: Human Language Technologies - Proceedings of the Student Research Workshop</t>
  </si>
  <si>
    <t>43.0</t>
  </si>
  <si>
    <t>52.0</t>
  </si>
  <si>
    <t>https://www.scopus.com/inward/record.uri?eid=2-s2.0-85085638027&amp;partnerID=40&amp;md5=b29a1a9e22b0c9dc26388717597a8950</t>
  </si>
  <si>
    <t>School of Computing and Information Systems, University of Melbourne, Australia</t>
  </si>
  <si>
    <t>Chen J., School of Computing and Information Systems, University of Melbourne, Australia; Verspoor K., School of Computing and Information Systems, University of Melbourne, Australia; Zhai Z., School of Computing and Information Systems, University of Melbourne, Australia</t>
  </si>
  <si>
    <t>This paper focuses on a traditional relation extraction task in the context of limited annotated data and a narrow knowledge domain. We explore this task with a clinical corpus consisting of 200 breast cancer follow-up treatment letters in which 16 distinct types of relations are annotated. We experiment with an approach to extracting typed relations called windowbounded co-occurrence (WBC), which uses an adjustable context window around entity mentions of a relevant type, and compare its performance with a more typical intra-sentential co-occurrence baseline. We further introduce a new bag-of-concepts (BoC) approach to feature engineering based on the state-of-the-art word embeddings and word synonyms. We demonstrate the competitiveness of BoC by comparing with methods of higher complexity, and explore its effectiveness on this small dataset. ¬© 2017 Association for Computational Linguistics.</t>
  </si>
  <si>
    <t>Computational linguistics; Extraction; Breast Cancer; Co-occurrence; Context window; Feature engineerings; Knowledge domains; Relation extraction; State of the art; Types of relations; Data mining</t>
  </si>
  <si>
    <t>Ben Abacha A., Zweigenbaum P., Automatic extraction of semantic relations between medical entities: A rule based approach, Journal of Biomedical Semantics, 2, 5, (2011); Ammar W., Peters M., Bhagavatula C., Power R., The AI2 system at SemEval-2017 Task 10 (ScienceIE): Semisupervised end-to-end entity and relation extraction, Proceedings of the 11th International Workshop on Semantic Evaluation (SemEval-2017), pp. 592-596, (2017); Aronson A.R., Effective mapping of biomedical text to the UMLS Metathesaurus: The MetaMap program, Proceedings of the AMIA Symposium, (2001); Bird S., Klein E., Loper E., Natural Language Processing with Python: Analyzing Text with the Natural Language Toolkit, (2009); Brown P.F., Desouza P.V., Mercer R.L., Pietra Della V.J., Lai J.C., Class-based n-gram models of natural language, Computational Linguistics, 18, 4, pp. 467-479, (1992); Chaix E., Dubreucq B., Fatihi A., Valsamou D., Bossy R., Ba M., Deleger L., Zweigenbaum P., Bessieres P., Lepiniec L., Et al., Overview of the Regulatory Network of Plant Seed Development (SeeDev) Task at the BioNLP Shared Task 2016, Proceedings of the 4th BioNLP Shared Task Workshop, pp. 1-11, (2016); Chollet F., Et al., Keras, (2015); Fundel K., Kuffner R., Zimmer R., RelExRelation extraction using dependency parse trees, Bioinformatics, 23, 3, pp. 365-371, (2006); Funk C., Baumgartner W., Garcia B., Roeder C., Bada M., Cohen K., Hunter L., Verspoor K., Largescale biomedical concept recognition: An evaluation of current automatic annotators and their parameters, BMC Bioinformatics, 15, 1, (2014); Hagberg A., Swart P., Chult D.S., Exploring Network Structure, Dynamics, and Function Using NetworkX, (2008); Hearst M.A., Support Vector Machines, IEEE Intelligent Systems, 13, 4, pp. 18-28, (1998); Yao Huang Y., Yang Wang W., Deep Residual Learning for Weakly-Supervised Relation Extraction, Proceedings of the 2017 Conference on Empirical Methods in Natural Language Processing, EMNLP 2017, pp. 1803-1807, (2017); Li J., Sun Y., Johnson R.J., Sciaky D., Wei C., Leaman R., Peter Davis A., Mattingly C.J., Wiegers T., Lu Z., Biocreative v Cdr Task Corpus: A Resource for Chemical Disease Relation Extraction, (2016); Liu H., Hunter L., Keselj V., Verspoor K., Approximate subgraph matchingbased literature mining for biomedical events and relations, PloS One, 8, 4, (2013); Manning C., Surdeanu M., Bauer J., Finkel J., Bethard S., McClosky D., The Stanford CoreNLP natural language processing toolkit, Proceedings of 52nd Annual Meeting of the Association for Computational Linguistics: System Demonstrations, pp. 55-60, (2014); Mikolov T., Chen K., Corrado G., Dean J., Efficient estimation of word representations in vector space, CoRR, (2013); Mikolov T., Sutskever I., Chen K., Corrado G.S., Dean J., Distributed representations of words and phrases and their compositionality, Advances in Neural Information Processing Systems, pp. 3111-3119, (2013); Moen S., Salakoski T., Sophia A., Distributional semantics resources for biomedical text processing, Proceedings of the 5th International Symposium on Languages in Biology and Medicine, pp. 39-43, (2013); Quoc Nguyen D., Verspoor K., Convolutional neural networks for chemical-disease relation extraction are improved with character-based word embeddings, Proceedings of the BioNLP 2018 Workshop, pp. 129-136, (2018); Huu Nguyen T., Grishman R., Combining Neural Networks and Log-linear Models to Improve Relation Extraction, Proceedings of IJCAI Workshop on Deep Learning for Artificial Intelligence (DLAI), (2016); Panyam N.C., Verspoor K., Cohn T., Kotagiri R., ASM Kernel: Graph Kernel using Approximate Subgraph Matching for Relation Extraction, Proceedings of the Australasian Language Technology Association Workshop 2016, pp. 65-73, (2016); Pedregosa F., Varoquaux G., Gramfort A., Michel V., Thirion B., Grisel O., Blondel M., Prettenhofer P., Weiss R., Dubourg V., Vanderplas J., Passos A., Cournapeau D., Brucher M., Perrot M., Duchesnay E., Scikit-learn: Machine learning in Python, Journal of Machine Learning Research, 12, pp. 2825-2830, (2011); Peng N., Poon H., Quirk C., Toutanova K., Yih W., Cross-Sentence N-ary Relation Extraction with Graph LSTMs, Transactions of the Association of Computational Linguistics, 5, 1, pp. 101-115, (2017); Pennington J., Socher R., Manning C., Glove: Global vectors for word representation, Proceedings of the 2014 Conference on Empirical Methods in Natural Language Processing (EMNLP), pp. 1532-1543, (2014); Pitson G., Banks P., Cavedon L., Verspoor K., Developing a Manually Annotated Corpus of Clinical Letters for Breast Cancer Patients on Routine Follow-Up, Studies in Health Technology and Informatics, 235, pp. 196-200, (2017); Rehurek R., Sojka P., Software framework for topic modelling with large corpora, Proceedings of the LREC 2010 Workshop on New Challenges for NLP Frameworks, (2010); Sahlgren M., Coster R., Using bag-of-concepts to improve the performance of support vector machines in text categorization, Proceedings of the 20th International Conference on Computational Linguistics, (2004); Song M., Chul Kim W., Lee D., Eun Heo G., Young Kang K., PKDE4J: Entity and relation extraction for public knowledge discovery, Journal of Biomedical Informatics, 57, pp. 320-332, (2015); Turian J., Ratinov L., Bengio Y., Word representations: A simple and general method for semi-supervised learning, Proceedings of the 48th Annual Meeting of the Association for Computational Linguistics, pp. 384-394, (2010); Verspoor K., Jimeno Yepes A., Cavedon L., McIntosh T., Herten-Crabb A., Thomas Z., Plazzer J., Annotating the biomedical literature for the human variome, Database 2013, (2013); Verspoor K.M., Eun Heo G., Young Kang K., Song M., Establishing a baseline for literature mining human genetic variants and their relationships to disease cohorts, BMC Medical Informatics and Decision Making, 16, 1, (2016); Wei C., Peng Y., Leaman R., Peter Davis A., Mattingly C.J., Li J., Wiegers T.C., Lu Z., Overview of the BioCreative V chemical disease relation (CDR) task, Proceedings of the Fifth BioCreative Challenge Evaluation Workshop, pp. 154-166, (2015)</t>
  </si>
  <si>
    <t>J. Chen; School of Computing and Information Systems, University of Melbourne, Australia; email: jiyuc@student.unimelb.edu.au</t>
  </si>
  <si>
    <t>2019 Conference of the North American Chapter of the Association for Computational Linguistics: Human Language Technologies, NAACL HLT 2019 - Student Research Workshop, SRW 2019</t>
  </si>
  <si>
    <t>3 June 2019 through 5 June 2019</t>
  </si>
  <si>
    <t>Minneapolis</t>
  </si>
  <si>
    <t>159853.0</t>
  </si>
  <si>
    <t>978-195073715-4</t>
  </si>
  <si>
    <t>NAACL HLT - Conf. N. Am. Chapter Assoc. Comput. Linguistics: Hum. Lang. Technol. - Proc. Stud. Res. Workshop</t>
  </si>
  <si>
    <t>2-s2.0-85085638027</t>
  </si>
  <si>
    <t>q3</t>
  </si>
  <si>
    <t>Shi J.; Yao H.; Wu X.; Li T.; Lin Z.; Wang T.; Zhao B.</t>
  </si>
  <si>
    <t>Shi, Jiatu (57746443100); Yao, Huaxiu (57196217415); Wu, Xian (57192073131); Li, Tong (57219791767); Lin, Zedong (57219787911); Wang, Tengfei (57219786805); Zhao, Binqiang (57209957042)</t>
  </si>
  <si>
    <t>57746443100; 57196217415; 57192073131; 57219791767; 57219787911; 57219786805; 57209957042</t>
  </si>
  <si>
    <t>Relation-aware Meta-learning for E-commerce Market Segment Demand Prediction with Limited Records</t>
  </si>
  <si>
    <t>WSDM 2021 - Proceedings of the 14th ACM International Conference on Web Search and Data Mining</t>
  </si>
  <si>
    <t>220.0</t>
  </si>
  <si>
    <t>228.0</t>
  </si>
  <si>
    <t>10.1145/3437963.3441750</t>
  </si>
  <si>
    <t>https://www.scopus.com/inward/record.uri?eid=2-s2.0-85102996128&amp;doi=10.1145%2f3437963.3441750&amp;partnerID=40&amp;md5=bc03de45a670e76daa02f140b3f6a064</t>
  </si>
  <si>
    <t>Alibaba Group, Hangzhou, China; Pennsylvania State University, Palo Alto, PA, United States; University of Notre Dame, South Bend, ND, United States</t>
  </si>
  <si>
    <t>Shi J., Alibaba Group, Hangzhou, China; Yao H., Pennsylvania State University, Palo Alto, PA, United States; Wu X., University of Notre Dame, South Bend, ND, United States; Li T., Alibaba Group, Hangzhou, China; Lin Z., Alibaba Group, Hangzhou, China; Wang T., Alibaba Group, Hangzhou, China; Zhao B., Alibaba Group, Hangzhou, China</t>
  </si>
  <si>
    <t>E-commerce business is revolutionizing our shopping experiences by providing convenient and straightforward services. One of the most fundamental problems is how to balance the demand and supply in market segments to build an efficient platform. While conventional machine learning models have achieved great success on data-sufficient segments, it may fail in a large-portion of segments in E-commerce platforms, where there are not sufficient records to learn well-trained models. In this paper, we tackle this problem in the context of market segment demand prediction. The goal is to facilitate the learning process in the target segments by leveraging the learned knowledge from data-sufficient source segments. Specifically, we propose a novel algorithm, RMLDP, to incorporate a multi-pattern fusion network (MPFN) with a meta-learning paradigm. The multi-pattern fusion network considers both local and seasonal temporal patterns for segment demand prediction. In the meta-learning paradigm, transferable knowledge is regarded as the model parameter initialization of MPFN, which are learned from diverse source segments. Furthermore, we capture the segment relations by combining data-driven segment representation and segment knowledge graph representation and tailor the segment-specific relations to customize transferable model parameter initialization. Thus, even with limited data, the target segment can quickly find the most relevant transferred knowledge and adapt to the optimal parameters. We conduct extensive experiments on two large-scale industrial datasets. The results justify that our RMLDP outperforms a set of state-of-the-art baselines. Besides, RMLDP has been deployed in Taobao, a real-world E-commerce platform. The online A/B testing results further demonstrate the practicality of RMLDP. ¬© 2021 ACM.</t>
  </si>
  <si>
    <t>market segment demand prediction; periodicity; segment relation extraction</t>
  </si>
  <si>
    <t>Electronic commerce; Forecasting; Information retrieval; Knowledge management; Knowledge representation; Large dataset; Learning systems; Websites; Conventional machines; Demand and supply; Demand prediction; E-commerce business; Knowledge graphs; Optimal parameter; Temporal pattern; Transferable knowledge; Data mining</t>
  </si>
  <si>
    <t>Juhuasuan, (2020); Taobao, (2020); Tiantiantemai, (2020); Andrychowicz M., Denil M., Gomez S., Hoffman M.W., Pfau D., Schaul T., Shillingford B., Freitas N.D., Learning to learn by gradient descent by gradient descent, NeurIPS, pp. 3981-3989, (2016); Chen T., Guestrin C., Xgboost: A scalable tree boosting system, Proceedings of the 22nd ACM SIGKDD International Conference on Knowledge Discovery and Data Mining, pp. 785-794, (2016); Chung J., Gulcehre C., Cho K.H., Bengio Y., Empirical Evaluation of Gated Recurrent Neural Networks on Sequence Modeling, (2014); Finn C., Abbeel P., Levine S., Model-agnostic meta-learning for fast adaptation of deep networks, ICML, pp. 1126-1135, (2017); Finn C., Levine S., Meta-learning and universality: Deep representations and gradient descent can approximate any learning algorithm, ICLR, (2018); Finn C., Xu K., Levine S., Probabilistic model-agnostic meta-learning, NeurIPS, (2018); Gong B., Shi Y., Sha F., Grauman K., Geodesic flow kernel for unsupervised domain adaptation, Computer Vision and Pattern Recognition (CVPR), 2012 IEEE Conference on, pp. 2066-2073, (2012); Hochreiter S., Schmidhuber J., Long short-term memory, Neural Computation, 9, 8, pp. 1735-1780, (1997); Huang C., Wu X., Zhang X., Zhang C., Zhao J., Yin D., Chawla N.V., Online purchase prediction via multi-scale modeling of behavior dynamics, KDD, (2019); Lai G., Chang W.-C., Yang Y., Liu H., Modeling long-and short-term temporal patterns with deep neural networks, SIGIR, pp. 95-104, (2018); Laptev N., Yosinski J., Li L.E., Smyl S., Time-series extreme event forecasting with neural networks at uber, ICML Time Series Workshop, (2017); Lee Y., Choi S., Gradient-based meta-learning with learned layerwise metric and subspace, ICML, pp. 2933-2942, (2018); Li Z., Li X., Wei Y., Bing L., Zhang Y., Yang Q., Transferable end-to-end aspect-based sentiment analysis with selective adversarial learning, EMNLP, (2019); Li Z., Zhou F., Chen F., Li H., Meta-sgd: Learning to Learn Quickly for Few Shot Learning, (2017); Lippi M., Bertini M., Frasconi P., Short-term traffic flow forecasting: An experimental comparison of time-series analysis and supervised learning, IEEE TITS, 14, 2, pp. 871-882, (2013); Long M., Cao Y., Wang J., Jordan M.I., Learning Transferable Features with Deep Adaptation Networks, (2015); Long M., Wang J., Ding G., Shen D., Yang Q., Transfer learning with graph co-regularization, IEEE Transactions on Knowledge and Data Engineering, 26, 7, pp. 1805-1818, (2013); Lv Z., Xu J., Zheng K., Yin H., Zhao P., Zhou X., LC-RNN: A deep learning model for traffic speed prediction, IJCAI, pp. 3470-3476, (2018); Ma F., Chitta R., Zhou J., You Q., Sun T., Gao J., Dipole: Diagnosis prediction in healthcare via attention-based bidirectional recurrent neural networks, KDD, pp. 1903-1911, (2017); Oreshkin B., Lopez P.R., Lacoste A., Tadam: Task dependent adaptive metric for improved few-shot learning, NeurIPS, pp. 721-731, (2018); Oreshkin B.N., Carpov D., Chapados N., Bengio Y., NBEATS: Neural basis expansion analysis for interpretable time series forecasting, ICLR, (2020); Pan B., Demiryurek U., Shahabi C., Utilizing real-world transportation data for accurate traffic prediction, ICDM, pp. 595-604, (2012); Pan S.J., Yang Q., A survey on transfer learning, IEEE TKDE, 22, 10, pp. 1345-1359, (2009); Perozzi B., Al-Rfou R., Skiena S., Deepwalk: Online learning of social representations, KDD, pp. 701-710, (2014); Qin Y., Song D., Cheng H., Cheng W., Jiang G., Cottrell G., A dual-stage attention-based recurrent neural network for time series prediction, IJCAI, (2017); Rangapuram S.S., Seeger M.W., Gasthaus J., Stella L., Wang Y., Januschowski T., Deep state space models for time series forecasting, NeurIPS, pp. 7785-7794, (2018); Ravi S., Larochelle H., Optimization as a model for few-shot learning, ICLR, (2016); Salinas D., Flunkert V., Gasthaus J., Januschowski T., DeepAR: Probabilistic forecasting with autoregressive recurrent networks, International Journal of Forecasting, (2019); Snell J., Swersky K., Zemel R., Prototypical networks for few-shot learning, NeurIPS, pp. 4077-4087, (2017); Tzeng E., Hoffman J., Saenko K., Darrell T., Adversarial discriminative domain adaptation, Proceedings of the IEEE Conference on Computer Vision and Pattern Recognition, pp. 7167-7176, (2017); Vinyals O., Blundell C., Lillicrap T., Wierstra D., Et al., Matching networks for one shot learning, NeurIPS, pp. 3630-3638, (2016); Vuorio R., Sun S.-H., Hu H., Lim J.J., Multimodal model-agnostic meta-learning via task-aware modulation, NeurIPS, pp. 1-12, (2019); Wang Y., Smola A., Maddix D., Gasthaus J., Foster D., Januschowski T., Deep factors for forecasting, ICML, pp. 6607-6617, (2019); Wu X., Shi B., Dong Y., Huang C., Et al., RESTFul: Resolution-aware forecasting of behavioral time series data, CIKM, pp. 1073-1082, (2018); Yao H., Liu Y., Wei Y., Tang X., Li Z., Learning from multiple cities: A meta-learning approach for spatial-temporal prediction, WWW, (2019); Yao H., Tang X., Wei H., Zheng G., Yu Y., Li Z., Revisiting spatial-temporal similarity: A deep learning framework for traffic prediction, AAAI Conference on Artificial Intelligence, (2019); Yao H., Wei Y., Huang J., Li Z., Hierarchically structured meta-learning, ICML, pp. 7045-7054, (2019)</t>
  </si>
  <si>
    <t>X. Wu; University of Notre Dame, South Bend, United States; email: xwu9@nd.edu</t>
  </si>
  <si>
    <t>ACM SIGIR; ACM SIGKDD; ACM SIGMOD; ACM SIGWEB</t>
  </si>
  <si>
    <t>14th ACM International Conference on Web Search and Data Mining, WSDM 2021</t>
  </si>
  <si>
    <t>8 March 2021 through 12 March 2021</t>
  </si>
  <si>
    <t>167734.0</t>
  </si>
  <si>
    <t>978-145038297-7</t>
  </si>
  <si>
    <t>WSDM - Proc. ACM Int. Conf. Web Search Data Min.</t>
  </si>
  <si>
    <t>2-s2.0-85102996128</t>
  </si>
  <si>
    <t>Yuan J.; Du W.; Liu X.; Zhang Y.</t>
  </si>
  <si>
    <t>Yuan, Jianyuan (58613681400); Du, Wei (58037374200); Liu, Xiaoxia (56290452000); Zhang, Yijia (37762522900)</t>
  </si>
  <si>
    <t>58613681400; 58037374200; 56290452000; 37762522900</t>
  </si>
  <si>
    <t>Biomedical Relation Extraction via Domain Knowledge and Prompt Learning</t>
  </si>
  <si>
    <t>51.0</t>
  </si>
  <si>
    <t>https://www.scopus.com/inward/record.uri?eid=2-s2.0-85202900872&amp;partnerID=40&amp;md5=8bbab51efb0933fa416053b48ea683b3</t>
  </si>
  <si>
    <t>Dalian Maritime University, Liaoning, Dalian, 116024, China; Department of Neurology and Neurological Sciences, Stanford University, Stanford, 94305, CA, United States</t>
  </si>
  <si>
    <t>Yuan J., Dalian Maritime University, Liaoning, Dalian, 116024, China; Du W., Dalian Maritime University, Liaoning, Dalian, 116024, China; Liu X., Department of Neurology and Neurological Sciences, Stanford University, Stanford, 94305, CA, United States; Zhang Y., Dalian Maritime University, Liaoning, Dalian, 116024, China</t>
  </si>
  <si>
    <t>Biomedical relation extraction plays a crucial role in extracting crucial biomedical information from extensive literature, thereby supporting disease treatment and the construction of biomedical knowledge bases. However, biomedical texts contain highly technical language and domain-specific terminology, which makes it difficult for models to fully understand their semantics. Furthermore, imbalances in the distribution of samples across different categories in biomedical datasets result in reduced classification accuracy for categories with limited training samples. In this study, we propose a biomedical relation extraction model based on domain knowledge and prompt learning. The prompt template guides the model to focus on key features and information, so that more knowledge can be obtained from limited data. Utilizing domain knowledge to acquire refined entity representations, thereby mitigating the challenges posed by technical language and domain-specific terminology. The model is evaluated on the DDI Extraction 2013 dataset and the ChemProt dataset, and the experimental results demonstrate that our model can achieve state-of-the-art performance. ¬© 2024 Copyright 2024 for this paper by its authors.</t>
  </si>
  <si>
    <t>biomedical literature; biomedical relation extraction; domain knowledge; prompt learning</t>
  </si>
  <si>
    <t>Adversarial machine learning; Contrastive Learning; Disease control; Semantics; Biomedical information; Biomedical literature; Biomedical relation extraction; Biomedical text; Disease treatment; Domain knowledge; Domain-specific terminology; Prompt learning; Relation extraction; Technical languages; Domain Knowledge</t>
  </si>
  <si>
    <t>National Natural Science Foundation of China, NSFC, (62072070, 62106034)</t>
  </si>
  <si>
    <t>This work is supported by grant from the Natural Science Foundation of China (No. 62072070 and 62106034)</t>
  </si>
  <si>
    <t>Zhao S., Su C., Lu Z., Wang F., Recent advances in biomedical literature mining, Briefings in Bioinformatics, 22, (2021); Zhang T., Leng J., Liu Y., Deep learning for drug‚Äìdrug interaction extraction from the literature: a review, Briefings in bioinformatics, 21, pp. 1609-1627, (2020); Zhang Y., Lin H., Yang Z., Wang J., Sun Y., Xu B., Zhao Z., Neural network-based approaches for biomedical relation classification: a review, Journal of biomedical informatics, 99, (2019); Qiu Y., Zhang Y., Deng Y., Liu S., Zhang W., A comprehensive review of computational methods for drug-drug interaction detection, IEEE/ACM transactions on computational biology and bioinformatics, 19, pp. 1968-1985, (2021); Zhao Q., Xu D., Li J., Zhao L., Rajput F. A., Knowledge guided distance supervision for biomedical relation extraction in chinese electronic medical records, Expert Systems with Applications, 204, (2022); Su P., Vijay-Shanker K., Investigation of improving the pre-training and fine-tuning of bert model for biomedical relation extraction, BMC bioinformatics, 23, (2022); Liu S., Tang B., Chen Q., Wang X., Et al., Drug-drug interaction extraction via convolutional neural networks, Computational and mathematical methods in medicine, 2016, (2016); Liu S., Chen K., Chen Q., Tang B., Dependency-based convolutional neural network for drug-drug interaction extraction, 2016 IEEE international conference on bioinformatics and biomedicine (BIBM), pp. 1074-1080, (2016); Asada M., Miwa M., Sasaki Y., Extracting drug-drug interactions with attention cnns, BioNLP 2017, 2017, pp. 9-18; Kavuluru R., Rios A., Tran T., Extracting drug-drug interactions with word and character-level recurrent neural networks, 2017 IEEE International Conference on Healthcare Informatics (ICHI), pp. 5-12, (2017); Lim S., Lee K., Kang J., Drug drug interaction extraction from the literature using a recursive neural network, PloS one, 13, (2018); Sahu S. K., Anand A., Drug-drug interaction extraction from biomedical texts using long short-term memory network, Journal of biomedical informatics, 86, pp. 15-24, (2018); Mostafapour V., Dikenelli O., Attention-wrapped hierarchical blstms for ddi extraction, (2019); Wang W., Yang X., Yang C., Guo X., Zhang X., Wu C., Dependency-based long short term memory network for drug-drug interaction extraction, BMC bioinformatics, 18, pp. 99-109, (2017); Huang D., Jiang Z., Zou L., Li L., Drug‚Äìdrug interaction extraction from biomedical literature using support vector machine and long short term memory networks, Information sciences, 415, pp. 100-109, (2017); Zheng W., Lin H., Luo L., Zhao Z., Li Z., Zhang Y., Yang Z., Wang J., An attention-based effective neural model for drug-drug interactions extraction, BMC bioinformatics, 18, pp. 1-11, (2017); Zhang Y., Zheng W., Lin H., Wang J., Yang Z., Dumontier M., Drug‚Äìdrug interaction extraction via hierarchical rnns on sequence and shortest dependency paths, Bioinformatics, 34, pp. 828-835, (2018); Peng Y., Rios A., Kavuluru R., Lu Z., Extracting chemical‚Äìprotein relations with ensembles of svm and deep learning models, Database, 2018, (2018); Sun C., Yang Z., Luo L., Wang L., Zhang Y., Lin H., Wang J., A deep learning approach with deep contextualized word representations for chemical‚Äìprotein interaction extraction from biomedical literature, IEEE Access, 7, pp. 151034-151046, (2019); Zhang Y., Lin H., Yang Z., Wang J., Sun Y., Chemical‚Äìprotein interaction extraction via contextualized word representations and multihead attention, Database, 2019, (2019); Xiong W., Li F., Yu H., Ji D., Extracting drug-drug interactions with a dependency-based graph convolution neural network, 2019 IEEE International Conference on Bioinformatics and Biomedicine (BIBM), pp. 755-759, (2019); Park C., Park J., Park S., Agcn: Attention-based graph convolutional networks for drug-drug interaction extraction, Expert Systems with Applications, 159, (2020); Peng Y., Yan S., Lu Z., Transfer learning in biomedical natural language processing: an evaluation of bert and elmo on ten benchmarking datasets, (2019); Lee J., Yoon W., Kim S., Kim D., Kim S., So C. H., Kang J., Biobert: a pre-trained biomedical language representation model for biomedical text mining, Bioinformatics, 36, pp. 1234-1240, (2020); Huang Z., An N., Liu J., Ren F., Emsi-bert: Asymmetrical entity-mask strategy and symbol-insert structure for drug‚Äìdrug interaction extraction based on bert, Symmetry, 15, (2023); Sun C., Yang Z., Su L., Wang L., Zhang Y., Lin H., Wang J., Chemical‚Äìprotein interaction extraction via gaussian probability distribution and external biomedical knowledge, Bioinformatics, 36, pp. 4323-4330, (2020); Sun C., Yang Z., Wang L., Zhang Y., Lin H., Wang J., Attention guided capsule networks for chemical-protein interaction extraction, Journal of Biomedical Informatics, 103, (2020); Liu X., Tan J., Fan J., Tan K., Hu J., Dong S., A syntax-enhanced model based on category keywords for biomedical relation extraction, Journal of Biomedical Informatics, 132, (2022); Herrero-Zazo M., Segura-Bedmar I., Martinez P., Declerck T., The ddi corpus: An annotated corpus with pharmacological substances and drug‚Äìdrug interactions, Journal of biomedical informatics, 46, pp. 914-920, (2013); Kringelum J., Kjaerulff S. K., Brunak S., Lund O., Oprea T. I., Taboureau O., Chemprot-3.0: a global chemical biology diseases mapping, Database, 2016, (2016); Lung P.-Y., Zhao T., He Z., Zhang J., Extracting chemical protein interactions from literature, Proceedings of the BioCreative VI Workshop, pp. 159-162, (2017); Lu H., Li L., He X., Liu Y., Zhou A., Extracting chemical-protein interactions from biomedical literature via granular attention based recurrent neural networks, Computer methods and programs in biomedicine, 176, pp. 61-68, (2019)</t>
  </si>
  <si>
    <t>Y. Zhang; Dalian Maritime University, Dalian, Liaoning, 116024, China; email: zhangyijia@dlmu.edu.cn</t>
  </si>
  <si>
    <t>Zhang C.; Nanjing University of Science and Technology, No. 200, Xiaolingwei, Nanjing; Zhang Y.; University of Technology Sydney, Australian Artificial Intelligence Institute, 15 Broadway, Ultimo, NSW; Mayr P.; GESIS - Leibniz-Institute for the Social Sciences, Unter Sachsenhausen 6-8, Cologne; Lu W.; Suominen A.; Chen H.; Ding Y.</t>
  </si>
  <si>
    <t>Joint Workshop of the 5th Extraction and Evaluation of Knowledge Entities from Scientific Documents and the 4th AI + Informetrics, EEKE-AII 2024</t>
  </si>
  <si>
    <t>23 April 2024 through 24 April 2024</t>
  </si>
  <si>
    <t>Hybrid, Changchun</t>
  </si>
  <si>
    <t>201912.0</t>
  </si>
  <si>
    <t>2-s2.0-85202900872</t>
  </si>
  <si>
    <t>Haoran X.; Lou K.; Chan S.</t>
  </si>
  <si>
    <t>Haoran, Xu (58503752600); Lou, Kechen (57208491744); Chan, Sixian (57188979700)</t>
  </si>
  <si>
    <t>58503752600; 57208491744; 57188979700</t>
  </si>
  <si>
    <t>Improved Chinese Few-Shot relation extraction using Large Language Model for Data Augmentation and Prototypical Network</t>
  </si>
  <si>
    <t>Conference Proceedings - IEEE International Conference on Systems, Man and Cybernetics</t>
  </si>
  <si>
    <t>3787.0</t>
  </si>
  <si>
    <t>3794.0</t>
  </si>
  <si>
    <t>10.1109/SMC54092.2024.10831350</t>
  </si>
  <si>
    <t>https://www.scopus.com/inward/record.uri?eid=2-s2.0-85217836906&amp;doi=10.1109%2fSMC54092.2024.10831350&amp;partnerID=40&amp;md5=a6474a939f84d48e2405637ac9427323</t>
  </si>
  <si>
    <t>College of Electronics and Information Engineering Tongji University, Shanghai, China; College of Computer Science and Technology, Zhejiang University of Technology, Hangzhou, China</t>
  </si>
  <si>
    <t>Haoran X., College of Electronics and Information Engineering Tongji University, Shanghai, China; Lou K., College of Computer Science and Technology, Zhejiang University of Technology, Hangzhou, China; Chan S., College of Computer Science and Technology, Zhejiang University of Technology, Hangzhou, China</t>
  </si>
  <si>
    <t>Chinese few-shot relation extraction aims to effectively identify relationships between entities in text using limited data, which is crucial for information extraction and knowledge construction and assists in extracting critical information from medical cases to support personalized rehabilitation treatment plans. However, due to the limited number of samples, existing methods struggle to capture sufficient relational features from limited data, resulting in poor extraction performance. Therefore, we propose an Improved Chinese Few-Shot Relation Extraction Using Large Language Model for Data Augmentation and Prototypical Network to address this issue. Specifically, we establish the Chinese few-shot relation extraction datasets DUIE Few and SanWen Few. Notably, we introduce a framework based on large language models for dataset augmentation, which effectively alleviates the problem of feature extraction due to insufficient data and improves task performance. Finally, we present baselines for prototype networks, Siamese networks, and the CFSRE model based on relational category information. Experimental results show that the CFSRE model improves accuracy, recall, and F1 score under few-shot conditions, particularly as the sample size decreases. In summary, the method we propose demonstrates promising results in Chinese few-shot relation extraction tasks and holds the potential to advance medical rehabilitation research. ¬© 2024 IEEE.</t>
  </si>
  <si>
    <t>Zero-shot learning; Data augmentation; Knowledge construction; Language model; Limited data; Medical case; Number of samples; Relation extraction; Relational features; Relationships between entities; Treatment plans; Information retrieval</t>
  </si>
  <si>
    <t>Natural Science Foundation of Zhejiang Province, ZJNSF, (LY23F020023)</t>
  </si>
  <si>
    <t>This work is partially supported by the Zhejiang Provincial Natural Science Foundation of China (Grant No. LY23F020023)</t>
  </si>
  <si>
    <t>Wang C., Fan J., Medical relation extraction with manifold models [C], Proceedings of the 52nd Annual Meeting of the Association for Computational Linguistics (Volume 1: Long Papers), pp. 828-838, (2014); Peng C., Yang X., Chen A., Et al., A study of generative large language model for medical research and healthcare [J], NPJ Digital Medicine, 6, 1, (2023); Wu X., Duan J., Pan Y., Et al., Medical knowledge graph: Data sources, construction, reasoning, and applications [J], Big Data Mining and Analytics, 6, 2, pp. 201-217, (2023); Lu J., Gong P., Ye J., Et al., A survey on machine learning from few samples [J], Pattern Recognition, 139, (2023); Han X., Zhu H., Yu P., Et al., Fewrel: A largescale supervised few-shot relation classification dataset with state-of-the-art evaluation [J], (2018); Gao T., Han X., Zhu H., Et al., FewRel 2. 0: Towards more challenging few-shot relation classification [J], (2019); Wu T., He S., Liu J., Et al., A brief overview of ChatGPT: The history, status quo and potential future development [J], IEEE/CAA Journal of Automatica Sinica, 10, 5, pp. 1122-1136, (2023); Wei X., Cui X., Cheng N., Et al., Zero-shot information extraction via chatting with chatgpt [J], (2023); Li S., He W., Shi Y., Et al., Duie: A large-scale chinese dataset for information extraction [C], Natural Language Processing and Chinese Computing: 8th CCF International Conference, NLPCC 2019, 8, pp. 791-800, (2019); Xu J., Wen J., Sun X., Et al., A discourse-level named entity recognition and relation extraction dataset for chinese literature text [J], (2017); Che W., Liu T., Li S., Automatic Extraction of Entity Relations [J], Journal of Chinese Information Technology, 19, 2, pp. 1-6, (2005); Zheng S., Et al., Joint entity and relation extraction based on a hybrid neural network, Neurocomputing, 257, 2017, pp. 59-66; Wan Z., Et al., Gpt-re: In-context learning for relation extraction using large language models, (2023); Brinkmann A., Shraga R., Der R.C., Et al., Product Information Extraction using ChatGPT [J], (2023); Li G., Wang P., Ke W., Revisiting large language models as zero-shot relation extractors [J], (2023); Li T., Et al., A Chinese relational extraction model fusing ERNIE and attention mechanisms, Journal of Chinese Computer Systems, 43, 6, pp. 1226-1231, (2022); Yimu J., Wang Z., Qiang L., Et al., Chinese text relationship extraction method based on small sample learning [J], Journal of Nanjing University of Posts and Telecommunications: Natural Science Edition, 43, 4, pp. 64-71, (2023); Lin C.-Y., Rouge: A package for automatic evaluation of summaries, Text summarization branches out., (2004); Cui Y., Et al., Pre-training with whole word masking for chinese bert, IEEE/ACM Transactions on Audio, Speech, and Language Processing, 29, 2021, pp. 3504-3514; Soares B.L., Et al., Matching the blanks: Distributional similarity for relation learning, (2019); Ma Y., Et al., Large language model is not a good few-shot information extractor, but a good reranker for hard samples!, (2023)</t>
  </si>
  <si>
    <t>2024 IEEE International Conference on Systems, Man, and Cybernetics, SMC 2024</t>
  </si>
  <si>
    <t>6 October 2024 through 10 October 2024</t>
  </si>
  <si>
    <t>Kuching</t>
  </si>
  <si>
    <t>206320.0</t>
  </si>
  <si>
    <t>1062922X</t>
  </si>
  <si>
    <t>978-166541020-5</t>
  </si>
  <si>
    <t>PICYE</t>
  </si>
  <si>
    <t>Conf. Proc. IEEE Int. Conf. Syst. Man Cybern.</t>
  </si>
  <si>
    <t>2-s2.0-85217836906</t>
  </si>
  <si>
    <t>Yandan Z.; Anran H.; Tuan L.A.</t>
  </si>
  <si>
    <t>Yandan, Zheng (58337888400); Anran, Hao (57973586500); Tuan, Luu Anh (55490655100)</t>
  </si>
  <si>
    <t>58337888400; 57973586500; 55490655100</t>
  </si>
  <si>
    <t>Jointprop: Joint Semi-supervised Learning for Entity and Relation Extraction with Heterogeneous Graph-based Propagation</t>
  </si>
  <si>
    <t>14541.0</t>
  </si>
  <si>
    <t>14555.0</t>
  </si>
  <si>
    <t>https://www.scopus.com/inward/record.uri?eid=2-s2.0-85174385164&amp;partnerID=40&amp;md5=f6f47967a7b9a5b803f0aa11b95b8bd2</t>
  </si>
  <si>
    <t>School of Computer Science and Engineering; Interdisciplinary Graduate Program-HealthTech Nanyang Technological University, Singapore</t>
  </si>
  <si>
    <t>Yandan Z., School of Computer Science and Engineering, Interdisciplinary Graduate Program-HealthTech Nanyang Technological University, Singapore; Anran H., School of Computer Science and Engineering; Tuan L.A., School of Computer Science and Engineering</t>
  </si>
  <si>
    <t>Semi-supervised learning has been an important approach to address challenges in extracting entities and relations from limited data. However, current semi-supervised works handle the two tasks (i.e., Named Entity Recognition and Relation Extraction) separately and ignore the cross-correlation of entity and relation instances as well as the existence of similar instances across unlabeled data. To alleviate the issues, we propose Jointprop, a Heterogeneous Graph-based Propagation framework for joint semi-supervised entity and relation extraction, which captures the global structure information between individual tasks and exploits interactions within unlabeled data. Specifically, we construct a unified span-based heterogeneous graph from entity and relation candidates and propagate class labels based on confidence scores. We then employ a propagation learning scheme to leverage the affinities between labelled and unlabeled samples. Experiments on benchmark datasets show that our framework outperforms the state-of-the-art semi-supervised approaches on NER and RE tasks. We show that the joint semi-supervised learning of the two tasks benefits from their codependency and validates the importance of utilizing the shared information between unlabeled data. ¬© 2023 Association for Computational Linguistics.</t>
  </si>
  <si>
    <t>Computational linguistics; Data mining; Graphic methods; 'current; Entity extractions; Graph-based; Heterogeneous graph; Limited data; Named entity recognition; Relation extraction; Semi-supervised; Semi-supervised learning; Unlabeled data; Extraction</t>
  </si>
  <si>
    <t>Nanyang Technological University, NTU, (020724-00001)</t>
  </si>
  <si>
    <t>This research is supported by Nanyang Technological University, under SUG Grant (020724-00001)</t>
  </si>
  <si>
    <t>Soares Livio Baldini, FitzGerald Nicholas, Ling Jeffrey, Kwiatkowski Tom, Matching the blanks: Distributional similarity for relation learning, Proceedings of the 57th Annual Meeting of the Association for Computational Linguistics, pp. 2895-2905, (2019); Batista David S., Martins Bruno, Silva Mario J., Semi-supervised bootstrapping of relationship extractors with distributional semantics, Proceedings of the 2015 Conference on Empirical Methods in Natural Language Processing, pp. 499-504, (2015); Beltagy Iz, Lo Kyle, Cohan Arman, SciBERT: A pretrained language model for scientific text, Proceedings of the 2019 Conference on Empirical Methods in Natural Language Processing and the 9th International Joint Conference on Natural Language Processing (EMNLP-IJCNLP), pp. 3615-3620, (2019); Blum Avrim, Mitchell Tom, Combining labeled and unlabeled data with co-training, Proceedings of the Eleventh Annual Conference on Computational Learning Theory, COLT' 98, pp. 92-100, (1998); Chan Yee Seng, Roth Dan, Exploiting syntactico-semantic structures for relation extraction, Proceedings of the 49th Annual Meeting of the Association for Computational Linguistics: Human Language Technologies, pp. 551-560, (2011); Chen Jiaao, Wang Zhenghui, Tian Ran, Yang Zichao, Yang Diyi, Local additivity based data augmentation for semi-supervised NER, Proceedings of the 2020 Conference on Empirical Methods in Natural Language Processing (EMNLP), pp. 1241-1251, (2020); Chen Mingda, Tang Qingming, Livescu Karen, Gimpel Kevin, Variational sequential labelers for semi-supervised learning, Proceedings of the 2018 Conference on Empirical Methods in Natural Language Processing, pp. 215-226, (2018); Delalleau Olivier, Bengio Yoshua, Le Roux Nicolas, Efficient non-parametric function induction in semi-supervised learning, Proceedings of the Tenth International Workshop on Artificial Intelligence and Statistics, volume R5 of Proceedings of Machine Learning Research, pp. 96-103, (2005); Devlin Jacob, Chang Ming-Wei, Lee Kenton, Toutanova Kristina, BERT: Pre-training of deep bidirectional transformers for language understanding, Proceedings of the 2019 Conference of the North American Chapter of the Association for Computational Linguistics: Human Language Technologies, Volume 1 (Long and Short Papers), pp. 4171-4186, (2019); Grishman Ralph, Information extraction: Techniques and challenges, Information Extraction, Lecture Notes in Computer Science (including sub-series Lecture Notes in Artificial Intelligence and Lecture Notes in Bioinformatics), pp. 11-27, (1997); Gupta Sonal, Manning Christopher, Improved pattern learning for bootstrapped entity extraction, Proceedings of the Eighteenth Conference on Computational Natural Language Learning, pp. 98-108, (2014); Gupta Sonal, Manning Christopher D., Distributed representations of words to guide bootstrapped entity classifiers, Proceedings of the 2015 Conference of the North American Chapter of the Association for Computational Linguistics: Human Language Technologies, pp. 1215-1220, (2015); Hendrickx Iris, Kim Su Nam, Kozareva Zornitsa, Nakov Preslav, Seaghdha Diarmuid O, Pado Sebastian, Pennacchiotti Marco, Romano Lorenza, Szpakowicz Stan, SemEval-2010 task 8: Multiway classification of semantic relations between pairs of nominals, Proceedings of the 5th International Workshop on Semantic Evaluation, pp. 33-38, (2010); Hu Xuming, Zhang Chenwei, Ma Fukun, Liu Chenyao, Wen Lijie, Yu Philip S., Semi-supervised relation extraction via incremental meta self-training, Findings of the Association for Computational Linguistics: EMNLP 2021, pp. 487-496, (2021); Hu Xuming, Zhang Chenwei, Yang Yawen, Li Xiaohe, Lin Li, Wen Lijie, Yu Philip S., Gradient imitation reinforcement learning for low resource relation extraction, Proceedings of the 2021 Conference on Empirical Methods in Natural Language Processing, (2021); Narayan Pooja Lakshmi, Nagesh Ajay, Surdeanu Mihai, Exploration of noise strategies in semi-supervised named entity classification, Proceedings of the Eighth Joint Conference on Lexical and Computational Semantics (*SEM 2019), pp. 186-191, (2019); Li Qi, Ji Heng, Incremental joint extraction of entity mentions and relations, Proceedings of the 52nd Annual Meeting of the Association for Computational Linguistics (Volume 1: Long Papers), pp. 402-412, (2014); Li Wanli, Qian Tieyun, Chen Xu, Tang Kejian, Zhan Shaohui, Zhan Tao, Exploit a multihead reference graph for semi-supervised relation extraction, 2021 International Joint Conference on Neural Networks (IJCNN), pp. 1-7, (2021); Lin Hongtao, Yan Jun, Qu Meng, Ren Xiang, Learning dual retrieval module for semi-supervised relation extraction, The World Wide Web Conference, WWW'19, pp. 1073-1083, (2019); Lin Ying, Ji Heng, Huang Fei, Wu Lingfei, A joint neural model for information extraction with global features, Proceedings of the 58th Annual Meeting of the Association for Computational Linguistics, pp. 7999-8009, (2020); Liu Yanbin, Lee Juho, Park Minseop, Kim Saehoon, Yang Eunho, Hwang Sungju, Yang Yi, Learning to propagate labels: Transductive propagation network for few-shot learning, International Conference on Learning Representations, (2019); Luan Yi, He Luheng, Ostendorf Mari, Hajishirzi Hannaneh, Multi-task identification of entities, relations, and coreference for scientific knowledge graph construction, Proceedings of the 2018 Conference on Empirical Methods in Natural Language Processing, pp. 3219-3232, (2018); Luan Yi, He Luheng, Ostendorf Mari, Hajishirzi Hannaneh, Multi-task identification of entities, relations, and coreferencefor scientific knowledge graph construction, Proc. Conf. Empirical Methods Natural Language Process. (EMNLP), (2018); Luan Yi, Ostendorf Mari, Hajishirzi Hannaneh, Scientific information extraction with semi-supervised neural tagging, Proceedings of the 2017 Conference on Empirical Methods in Natural Language Processing, pp. 2641-2651, (2017); Luan Yi, Wadden Dave, He Luheng, Shah Amy, Ostendorf Mari, Hajishirzi Hannaneh, A general framework for information extraction using dynamic span graphs, Proceedings of the 2019 Conference of the North American Chapter of the Association for Computational Linguistics: Human Language Technologies, Volume 1 (Long and Short Papers), pp. 3036-3046, (2019); Luu Anh Tuan, Kim Jung-jae, Kiong Ng See, Taxonomy construction using syntactic contextual evidence, Proceedings of the 2014 Conference on Empirical Methods in Natural Language Processing (EMNLP), pp. 810-819, (2014); Luu Anh Tuan, Kim Jung-jae, Kiong Ng See, Incorporating trustiness and collective synonym/contrastive evidence into taxonomy construction, Proceedings of the 2015 Conference on Empirical Methods in Natural Language Processing, pp. 1013-1022, (2015); Luu Anh Tuan, Tay Yi, Hui Siu Cheung, Kiong Ng See, Learning term embeddings for taxonomic relation identification using dynamic weighting neural network, Proceedings of the 2016 Conference on Empirical Methods in Natural Language Processing, pp. 403-413, (2016); Miwa Makoto, Sasaki Yutaka, Modeling joint entity and relation extraction with table representation, Proceedings of the 2014 Conference on Empirical Methods in Natural Language Processing (EMNLP), pp. 1858-1869, (2014); Ohta Tomoko, Tateisi Yuka, Kim Jin-Dong, The genia corpus: An annotated research abstract corpus in molecular biology domain, Proceedings of the Second International Conference on Human Language Technology Research, HLT'02, pp. 82-86, (2002); Ratinov Lev, Roth Dan, Design challenges and misconceptions in named entity recognition, Proceedings of the Thirteenth Conference on Computational Natural Language Learning (CoNLL-2009), pp. 147-155, (2009); Scudder H., Probability of error of some adaptive pattern-recognition machines, IEEE Transactions on Information Theory, 11, 3, pp. 363-371, (1965); Seeger Matthias, Learning with labeled and unlabeled data, (2001); Subramanya Amarnag, Bilmes Jeff, Semi-supervised learning with measure propagation, Journal of Machine Learning Research, 12, 102, pp. 3311-3370, (2011); Subramanya Amarnag, Petrov Slav, Pereira Fernando, Efficient graph-based semi-supervised learning of structured tagging models, Proceedings of the 2010 Conference on Empirical Methods in Natural Language Processing, EMNLP'10, pp. 167-176, (2010); Sogaard Anders, Semi-supervised learning and domain adaptation in natural language processing, Synthesis Lectures on Human Language Technologies, 6, pp. 1-103, (2013); Tjong Erik F., Sang Kim, De Meulder Fien, Introduction to the CoNLL-2003 shared task: Language-independent named entity recognition, Proceedings of the Seventh Conference on Natural Language Learning at HLT-NAACL 2003, pp. 142-147, (2003); Tuan Luu Anh, Hui Siu Cheung, Ng See Kiong, Utilizing temporal information for taxonomy construction, Transactions of the Association for Computational Linguistics, 4, pp. 551-564, (2016); Wadden David, Wennberg Ulme, Luan Yi, Hajishirzi Hannaneh, Entity, relation, and event extraction with contextualized span representations, Proceedings of the 2019 Conference on Empirical Methods in Natural Language Processing and the 9th International Joint Conference on Natural Language Processing (EMNLP-IJCNLP), pp. 5784-5789, (2019); Walker Christopher, Strassel Stephanie, Medero Julie, Maeda Kazuaki, Ace 2005 multilingual training corpus, Linguistic Data Consortium, (2006); Yamada Ikuya, Asai Akari, Shindo Hiroyuki, Takeda Hideaki, Matsumoto Yuji, LUKE: Deep contextualized entity representations with entity-aware self-attention, Proceedings of the 2020 Conference on Empirical Methods in Natural Language Processing (EMNLP), pp. 6442-6454, (2020); Yang Yaosheng, Chen Wenliang, Li Zhenghua, He Zhengqiu, Zhang Min, Distantly supervised NER with partial annotation learning and reinforcement learning, Proceedings of the 27th International Conference on Computational Linguistics, pp. 2159-2169, (2018); Ye Deming, Lin Yankai, Sun Maosong, Pack together: Entity and relation extraction with levitated marker, CoRR, (2021); Zeng Daojian, Liu Kang, Chen Yubo, Zhao Jun, Distant supervision for relation extraction via piecewise convolutional neural networks, Proceedings of the 2015 Conference on Empirical Methods in Natural Language Processing, pp. 1753-1762, (2015); Zhang Meishan, Zhang Yue, Fu Guohong, End-to-end neural relation extraction with global optimization, Proceedings of the 2017 Conference on Empirical Methods in Natural Language Processing, pp. 1730-1740, (2017); Zhou Dengyong, Bousquet Olivier, Lal Thomas, Weston Jason, Scholkopf Bernhard, Learning with local and global consistency, Advances in Neural Information Processing Systems, 16, (2004); Zhu Xiaojin, Ghahramani Zoubin, Learning from labeled and unlabeled data with label propagation, (2002)</t>
  </si>
  <si>
    <t>2-s2.0-85174385164</t>
  </si>
  <si>
    <t>Gao F.; Song X.; Gu J.; Zhang L.; Liu Y.; Zhang X.; Liu Y.; Jing S.</t>
  </si>
  <si>
    <t>Gao, Feng (50061267800); Song, Xuren (58303593500); Gu, Jinguang (8311080000); Zhang, Lihua (57249181000); Liu, Yun (55899963300); Zhang, Xiaoliang (57203620419); Liu, Yu (57188712968); Jing, Shenqi (7102238007)</t>
  </si>
  <si>
    <t>50061267800; 58303593500; 8311080000; 57249181000; 55899963300; 57203620419; 57188712968; 7102238007</t>
  </si>
  <si>
    <t>Fine-Grained Relation Extraction for Drug Instructions Using Contrastive Entity Enhancement</t>
  </si>
  <si>
    <t>51777.0</t>
  </si>
  <si>
    <t>51788.0</t>
  </si>
  <si>
    <t>10.1109/ACCESS.2023.3279288</t>
  </si>
  <si>
    <t>https://www.scopus.com/inward/record.uri?eid=2-s2.0-85160999982&amp;doi=10.1109%2fACCESS.2023.3279288&amp;partnerID=40&amp;md5=1327787e6298ec3d5a58707f129e572c</t>
  </si>
  <si>
    <t>Wuhan University of Science and Technology, Department of Computer Science and Technology, Wuhan, 430065, China; Institute of Scientific and Technical Information of China, Key Laboratory of Rich-Media Knowledge Organization and Service of Digital Publishing Content, Beijing, 100038, China; East China Jiaotong University, School of Software, Nanchang, 330013, China; Nanjing Medical University, School of Biomedical Engineering and Informatics, Department of Medical Informatics, Nanjing, 211166, China; The First Affiliated Hospital with Nanjing Medical University, Jiangsu Province Hospital, Center for Data Management, Nanjing, 210029, China</t>
  </si>
  <si>
    <t>Gao F., Wuhan University of Science and Technology, Department of Computer Science and Technology, Wuhan, 430065, China, Institute of Scientific and Technical Information of China, Key Laboratory of Rich-Media Knowledge Organization and Service of Digital Publishing Content, Beijing, 100038, China; Song X., Wuhan University of Science and Technology, Department of Computer Science and Technology, Wuhan, 430065, China, Institute of Scientific and Technical Information of China, Key Laboratory of Rich-Media Knowledge Organization and Service of Digital Publishing Content, Beijing, 100038, China; Gu J., Wuhan University of Science and Technology, Department of Computer Science and Technology, Wuhan, 430065, China, Institute of Scientific and Technical Information of China, Key Laboratory of Rich-Media Knowledge Organization and Service of Digital Publishing Content, Beijing, 100038, China; Zhang L., East China Jiaotong University, School of Software, Nanchang, 330013, China; Liu Y., Nanjing Medical University, School of Biomedical Engineering and Informatics, Department of Medical Informatics, Nanjing, 211166, China; Zhang X., Nanjing Medical University, School of Biomedical Engineering and Informatics, Department of Medical Informatics, Nanjing, 211166, China, The First Affiliated Hospital with Nanjing Medical University, Jiangsu Province Hospital, Center for Data Management, Nanjing, 210029, China; Liu Y., Wuhan University of Science and Technology, Department of Computer Science and Technology, Wuhan, 430065, China, Institute of Scientific and Technical Information of China, Key Laboratory of Rich-Media Knowledge Organization and Service of Digital Publishing Content, Beijing, 100038, China; Jing S., Nanjing Medical University, School of Biomedical Engineering and Informatics, Department of Medical Informatics, Nanjing, 211166, China, The First Affiliated Hospital with Nanjing Medical University, Jiangsu Province Hospital, Center for Data Management, Nanjing, 210029, China</t>
  </si>
  <si>
    <t>The extraction of relations between drug-related entities from drug instructions is essential for clinical diagnostic decision-making and drug use regulations, which is a critical task. However, due to the complexity of the textual descriptions in drug instructions, it is challenging to extract fine-grained relations, even with a considerable amount of training data. Moreover, since manually-labeled, high-quality datasets in the pharmaceutical domain are typically expensive, obtaining an extensive and accurate training dataset could be challenging. To overcome the above challenges, this paper proposes a drug relation extraction framework that combines entity information enhancement and contrastive feature learning, which can better extract fine-grained relations with limited data. More specifically, a sample generator creates a group of different samples with role semantic information from the training set, an entity encoder embeds the entity role information and context information to enhance the semantic representation, and a contrastive learning module employs a hybrid loss function to learn inter-sample and intra-sample differences. Empirical study indicates that the contrastive entity enhancement approach can achieve higher extraction accuracy and has better generalization capability. More specifically, the experimental results show that the F1 value of the model can reach 0.8892, which provides a 7.13% improvement compared to the baseline pre-training method.  ¬© 2013 IEEE.</t>
  </si>
  <si>
    <t>Contrastive learning; drug instruction; entity enhancement; fine-grained; relation extraction</t>
  </si>
  <si>
    <t>Bit error rate; Decision making; Drug delivery; Extraction; Job analysis; Semantics; Bit-error rate; Clinical diagnostics; Contrastive learning; Diagnostic decision makings; Drug instruction; Entity enhancement; Fine grained; Related entities; Relation extraction; Task analysis; Data mining</t>
  </si>
  <si>
    <t>Content Organization and Knowledge Service, (ZD2022-10/05); Key Laboratory of Rich Media Digital Publishing; National Natural Science Foundation of China, NSFC, (U1836118); National Natural Science Foundation of China, NSFC; National Key Research and Development Program of China, NKRDPC, (2020AAA0108500, 2022YEB2703300); National Key Research and Development Program of China, NKRDPC</t>
  </si>
  <si>
    <t>This work was supported in part by the National Key Research and Development Program under Grant 2020AAA0108500 and Grant 2022YEB2703300; in part by the National Natural Science Foundation of China under Grant U1836118; in part by the Key Laboratory of Rich Media Digital Publishing, Content Organization and Knowledge Service, under Grant ZD2022-10/05</t>
  </si>
  <si>
    <t>Zhong Z., Chen D., A frustratingly easy approach for entity and relation extraction, Proc. Conf. North Amer. Chapter Assoc. Comput. Linguistics, Human Lang. Technol., pp. 50-61, (2021); Wei Z., Su J., Wang Y., Tian Y., Chang Y., A novel cascade binary tagging framework for relational triple extraction, Proc. 58th Annu. Meeting Assoc. Comput. Linguistics, pp. 1476-1488, (2020); Zheng H., Wen R., Chen X., Yang Y., Zhang Y., Zhang Z., Zhang N., Qin B., Ming X., Zheng Y., PRGC: Potential relation and global correspondence based joint relational triple extraction, Proc. 59th Annu. Meeting Assoc. Comput. Linguistics, 11th Int. Joint Conf. Natural Lang. Process., pp. 6225-6235, (2021); Shang Y.M., Huang H., Mao X., OneRel: Joint entity and relation extraction with one module in one step, Proc. Aaai Conf. Artif. Intell., 36, 10, pp. 11285-11293, (2022); Gao F., Zhou L., Gu J., Entity pair recognition using semantic enrichment and adversarial training for Chinese drug knowledge extraction, Proc. 2nd Int. Symp. Artif. Intell. Med. Sci., pp. 35-42, (2021); Johnson R., Zhang T., Deep pyramid convolutional neural networks for text categorization, Proc. 55th Annu. Meeting Assoc. Comput. Linguistics, pp. 562-570, (2017); Wu L., Li J., Wang Y., Meng Q., Qin T., Chen W., Zhang M., Liu T.Y., R-Drop: Regularized dropout for neural networks, Proc. Neural Inf. Process. Syst., 34, pp. 10890-10905, (2021); Xu S., Sun S., Zhang Z., Xu F., Research on multi-feature fusion entity relation extraction based on deep learning, Int. J. Ad Hoc Ubiquitous Comput., 39, 1-2, pp. 93-104, (2022); Karimi A., Rossi L., Prati A., AEDA: An easier data augmentation technique for text classification, Proc. Findings Assoc. Comput. Linguistics, pp. 2748-2754, (2021); Gao T., Yao X., Chen D., SimCSE: Simple contrastive learning of sentence embeddings, Proc. Conf. Empirical Methods Natural Lang. Process., pp. 6894-6910, (2021); Zhang T., Cai Z., Wang C., Qiu M., Yang B., He X., SMed-BERT: A Knowledge-enhanced Pre-trained Language Model with Structured Semantics for Medical Text Mining, (2021); Yan Y., Li R., Wang S., Zhang F., Wu W., Xu W., ConSERT: A contrastive framework for self-supervised sentence representation transfer, Proc. 59th Annu. Meeting Assoc. Comput. Linguistics, 11th Int. Joint Conf. Natural Lang. Process., pp. 5065-5075, (2021); Zhang J., Lan Z., S-SimCSE: Sampled Sub-networks for Contrastive Learning of Sentence Embedding, (2021); Culotta A., Sorensen J., Dependency tree kernels for relation extraction, Proc. 42nd Annu. Meeting Assoc. Comput. Linguistics, pp. 423-429, (2004); Bunescu R., Mooney R.J., Subsequence kernels for relation extraction, Proc. Nips, pp. 171-178, (2005); Zeng D., Liu K., Lai S., Zhou G., Zhao J., Relation classification via convolutional deep neural network, Proc. 25th Int. Conf. Comput. Linguistics, Tech. Papers, pp. 2335-2344, (2014); Peters M., Neumann M., Iyyer M., Gardner M., Clark C., Lee K., Zettlemoyer L., Deep contextualized word representations, Proc. Conf. North Amer. Chapter Assoc. Comput. Linguistics, Human Lang. Technol., pp. 1-30, (2018); Vaswani A., Shazeer N., Parmar N., Uszkoreit J., Jones L., Gomez A.N., Kaiser L., Polosukhin I., Attention is all you need, Proc. Adv. Neural Inf. Process. Syst., pp. 5998-6008, (2017); Devlin J., Chang M.-W., Lee K., Toutanova K., BERT: Pretraining of deep bidirectional transformers for language understanding, Proc. Acl, pp. 4171-4186, (2019); Wu S., He Y., Enriching pre-trained language model with entity information for relation classification, Proc. 28th Acm Int. Conf. Inf. Knowl. Manag., pp. 2361-2364, (2019); Wan Y., Sun L., Zhao P., Wang J., Tu S., Relation classification based on information enhanced BERT, J. Chin. Inf. Process., 35, 3, pp. 69-77, (2021); Wang S., Zhang B., Xu Y., Wu Y., Xiao B., RCL: Relation contrastive learning for zero-shot relation extraction, Proc. Findings Assoc. Comput. Linguistics, pp. 2456-2468, (2022); Chen Q., Zhang R., Zheng Y., Mao Y., Dual Contrastive Learning: Text Classification Via Label-aware Data Augmentation, (2022); Cui Y., Che W., Liu T., Qin B., Yang Z., Pre-training with whole word masking for Chinese BERT, IEEE/ACM Trans. Audio, Speech, Language Process., 29, pp. 3504-3514, (2021); Zhang Y., Liao X., Chen L., Kang H., Cai Y., Wang Q., Multi-BERTwwm model based on probabilistic graph strategy for relation extraction, Proc. His, pp. 95-103, (2021); Chen T., Kornblith S., Norouzi M., Hinton G., A simple framework for contrastive learning of visual representations, Proc.ICML, pp. 1597-1607, (2020); Chen X., Fan H., Girshick R., He K., Improved Baselines with Momentum Contrastive Learning, (2020); Wu Z., Xiong Y., Yu S.X., Lin D., Unsupervised feature learning via non-parametric instance discrimination, Proc. IEEE/CVF Conf. Comput. Vis. Pattern Recognit., pp. 3733-3742, (2018); Wang D., Ding N., Li P., Zheng H., CLINE: Contrastive learning with semantic negative examples for natural language understanding, Proc. 59th Annu. Meeting Assoc. Comput. Linguistics, 11th Int. Joint Conf. Natural Lang. Process., pp. 2332-2342, (2021); Khosla P., Teterwak P., Wang C., Sarna A., Tian Y., Isola P., Maschinot A., Liu C., Krishnan D., Supervised contrastive learning, Proc. Adv. Neural Inf. Process. Syst., 33, pp. 18661-18673, (2020); Gunel B., Du J., Conneau A., Stoyanov V., Supervised contrastive learning for pre-trained language model fine-tuning, Proc. Iclr, pp. 1-15, (2021); Miao D., Zhang J., Xie W., Song J., Li X., Jia L., Guo N., Simple Contrastive Representation Adversarial Learning for Nlp Tasks, (2021); Wu X., Gao C., Zang L., Han J., Wang Z., Hu S., ESimCSE: Enhanced Sample Building Method for Contrastive Learning of Unsupervised Sentence Embedding, (2021); Chi J., Shand W., Yu Y., Chang K., Zhao H., Tian Y., Conditional supervised contrastive learning for fair text classification, Proc. Findings Assoc. Comput. Linguistics, pp. 2736-2756, (2022); Gong L., Liu X., Gao Z., Drug interaction relationship extraction based on bidirectional GRU and CNN, J. Shaanxi Normal Univ., 48, 6, pp. 108-113, (2020); Huang L., Lin J., Li X., Song L., Zheng Z., Wong K.-C., EGFI: Drug-drug interaction extraction and generation with fusion of enriched entity and sentence information, Briefings Bioinf., 23, 1, (2022); Yuan Z., Liu Y., Tan C., Huang S., Huang F., Improving biomedical pretrained language models with knowledge, Proc. 20th Workshop Biomed. Lang. Process., pp. 180-190, (2021); He K., Zhang X., Ren S., Sun J., Deep residual learning for image recognition, Proc. Cvpr, pp. 770-778, (2016); Riedel S., Yao L., McCallum A., Modeling relations and their mentions without labeled text, Proc. Joint Eur. Conf. Mach. Learn. Knowl. Discovery Databases, pp. 148-163, (2010); Gardent C., Shimorina A., Narayan S., Perez-Beltrachini L., Creating training corpora for NLG micro-planners, Proc. 55th Annu. Meeting Assoc. Comput. Linguistics, pp. 179-188, (2017); Zhang H., Xiao L., Wang Y., Jin Y., A generalized recurrent neural architecture for text classification with multi-task learning, Proc. 26th Int. Joint Conf. Artif. Intell., pp. 1-7, (2017)</t>
  </si>
  <si>
    <t>S. Jing; Nanjing Medical University, School of Biomedical Engineering and Informatics, Department of Medical Informatics, Nanjing, 211166, China; email: jingshenqi@njmu.edu.cn</t>
  </si>
  <si>
    <t>2-s2.0-85160999982</t>
  </si>
  <si>
    <t>Sachan M.; Dubey A.; Mitchell T.; Roth D.; Xing E.P.</t>
  </si>
  <si>
    <t>Sachan, Mrinmaya (36094978300); Dubey, Avinava (36016208000); Mitchell, Tom (7402175019); Roth, Dan (7401669040); Xing, Eric P. (57685890100)</t>
  </si>
  <si>
    <t>36094978300; 36016208000; 7402175019; 7401669040; 57685890100</t>
  </si>
  <si>
    <t>Learning pipelines with limited data and domain knowledge: A study in parsing physics problems</t>
  </si>
  <si>
    <t>2018.0</t>
  </si>
  <si>
    <t>Advances in Neural Information Processing Systems</t>
  </si>
  <si>
    <t>2018-December</t>
  </si>
  <si>
    <t>140.0</t>
  </si>
  <si>
    <t>151.0</t>
  </si>
  <si>
    <t>https://www.scopus.com/inward/record.uri?eid=2-s2.0-85064808357&amp;partnerID=40&amp;md5=aba7cd20d4ece50236720fdadb60a029</t>
  </si>
  <si>
    <t>Machine Learning Department, School of Computer Science, Carnegie Mellon University, United States; Department of Computer and Information Science, University of Pennsylvania, United States; Petuum Inc, United States</t>
  </si>
  <si>
    <t>Sachan M., Machine Learning Department, School of Computer Science, Carnegie Mellon University, United States; Dubey A., Machine Learning Department, School of Computer Science, Carnegie Mellon University, United States; Mitchell T., Machine Learning Department, School of Computer Science, Carnegie Mellon University, United States; Roth D., Department of Computer and Information Science, University of Pennsylvania, United States; Xing E.P., Machine Learning Department, School of Computer Science, Carnegie Mellon University, United States, Petuum Inc, United States</t>
  </si>
  <si>
    <t>As machine learning becomes more widely used in practice, we need new methods to build complex intelligent systems that integrate learning with existing software, and with domain knowledge encoded as rules. As a case study, we present such a system that learns to parse Newtonian physics problems in textbooks. This system, Nuts&amp;Bolts, learns a pipeline process that incorporates existing code, pre-learned machine learning models, and human engineered rules. It jointly trains the entire pipeline to prevent propagation of errors, using a combination of labelled and unlabelled data. Our approach achieves a good performance on the parsing task, outperforming the simple pipeline and its variants. Finally, we also show how Nuts&amp;Bolts can be used to achieve improvements on a relation extraction task and on the end task of answering Newtonian physics problems. ¬© 2018 Curran Associates Inc..All rights reserved.</t>
  </si>
  <si>
    <t>Fasteners; Intelligent systems; Machine learning; Domain knowledge; Limited data; Machine learning models; Newtonian physics; Propagation of error; Relation extraction; Simple pipelines; Pipelines</t>
  </si>
  <si>
    <t>National Institutes of Health, NIH, (R01GM114311); National Institutes of Health, NIH; Office of Naval Research, ONR, (N000141712463); Office of Naval Research, ONR</t>
  </si>
  <si>
    <t>This work is supported by the ONR grant N000141712463 and the NIH grant R01GM114311. Any opinions, findings and conclusions or recommendations expressed in this material are those of the author(s) and do not necessarily reflect the views of ONR or NIH.</t>
  </si>
  <si>
    <t>Alexe B., Deselaers T., Ferrari V., Measuring the objectness of image windows, IEEE Transactions on Pattern Analysis and Machine Intelligence, 34, 11, pp. 2189-2202, (2012); Andreas J., Rohrbach M., Darrell T., Klein D., Neural module networks, Proceedings of the IEEE Conference on Computer Vision and Pattern Recognition, pp. 39-48, (2016); Bach S.H., Broecheler M., Huang B., Getoor L., Hinge-loss markov random fields and probabilistic soft logic, Journal of Machine Learning Research, 18, 109, pp. 1-67, (2017); Brocheler M., Mihalkova L., Getoor L., Probabilistic similarity logic, Proceedings of the Twenty-Sixth Conference on Uncertainty in Artificial Intelligence, UAI'10, pp. 73-82, (2010); Carreira J., Li F., Sminchisescu C., Object recognition by sequential figure-ground ranking, International Journal of Computer Vision, 98, 3, pp. 243-262, (2012); Chang M.-W., Ratinov L., Roth D., Structured learning with constrained conditional models, Machine Learning, 88, 3, pp. 399-431, (2012); De Campos T.E., Babu B.R., Varma M., Character recognition in natural images, Proceedings of the International Conference on Computer Vision Theory and Applications, (2009); Dietterich T.G., Ensemble methods in machine learning, International Workshop on Multiple Classifier Systems, pp. 1-15, (2000); Duda R.O., Hart P.E., Use of the hough transformation to detect lines and curves in pictures, Communications of the ACM, 15, 1, pp. 11-15, (1972); Felzenszwalb P.F., Girshick R.B., McAllester D., Ramanan D., Object detection with discriminatively trained part-based models, IEEE TPAMI, 32, 9, pp. 1627-1645, (2010); Finkel J.R., Manning C.D., Ng A.Y., Solving the problem of cascading errors: Approximate Bayesian inference for linguistic annotation pipelines, Proceedings of the 2006 Conference on Empirical Methods in Natural Language Processing, pp. 618-626, (2006); Futrelle R.P., Shao M., Cieslik C., Grimes A.E., Extraction, layout analysis and classification of diagrams in pdf documents, Document Analysis and Recognition, 2003. Proceedings. Seventh International Conference on, pp. 1007-1013, (2003); Gu C., Lim J.J., Arbelaez P., Malik J., Recognition using regions, Computer Vision and Pattern Recognition (CVPR), pp. 1030-1037, (2009); Harris C., Stephens M., A combined corner and edge detection, Proceedings of the Fourth Alvey Vision Conference, pp. 147-151, (1988); Hollingshead K., Roark B., Pipeline iteration, Proceedings of the 45th Annual Meeting of the Association of Computational Linguistics, pp. 952-959, (2007); Hu Z., Ma X., Liu Z., Hovy E., Xing E., Harnessing Deep Neural Networks with Logic Rules, (2016); Kembhavi A., Salvato M., Kolve E., Seo M.J., Hajishirzi H., Farhadi A., A diagram is worth a dozen images, Computer Vision - ECCV 2016 - 14th European Conference, pp. 235-251, (2016); Kingma D.P., Mohamed S., Rezende D.J., Welling M., Semi-supervised learning with deep generative models, Advances in Neural Information Processing Systems, pp. 3581-3589, (2014); Kokkinos I., Highly accurate boundary detection and grouping, Conference on Computer Vision and Pattern Recognition (CVPR), pp. 2520-2527, (2010); Krizhevsky A., Sutskever I., Hinton G.E., Imagenet classification with deep convolutional neural networks, Advances in Neural Information Processing Systems, pp. 1097-1105, (2012); Levandowsky M., Winter D., Distance between sets, Nature, 234, 5323, (1971); Li Y., Deep Reinforcement Learning: An Overview, (2017); Lukasiewicz J., O logice tr√≥jwartociowej, Studia Filozoficzne, 270, 5, (1988); Marciniak T., Strube M., Beyond the pipeline: Discrete optimization in nlp, Proceedings of the Ninth Conference on Computational Natural Language Learning, pp. 136-143, (2005); Mintz M., Bills S., Snow R., Jurafsky D., Distant supervision for relation extraction without labeled data, Proceedings of the Joint Conference of the 47th Annual Meeting of the ACL and the 4th International Joint Conference on Natural Language Processing of the AFNLP, 2, pp. 1003-1011, (2009); Otsu N., A threshold selection method from gray-level histograms, Automatica, 11, 285-296, pp. 23-27, (1975); Park E., Han X., Berg T.L., Berg A.C., Combining multiple sources of knowledge in deep cnns for action recognition, Applications of Computer Vision (WACV), 2016 IEEE Winter Conference on, pp. 1-8, (2016); Platanios E.A., Blum A., Mitchell T.M., Estimating accuracy from unlabeled data, Proceedings of the Thirtieth Conference on Uncertainty in Artificial Intelligence, UAI 2014, pp. 682-691, (2014); Platanios E.A., Dubey A., Mitchell T.M., Estimating accuracy from unlabeled data: A Bayesian approach, Proceedings of the 33nd International Conference on Machine Learning, ICML 2016, pp. 1416-1425, (2016); Platanios E.A., Poon H., Mitchell T.M., Horvitz E., Estimating accuracy from unlabeled data: A probabilistic logic approach, CoRR, (2017); Punyakanok V., Roth D., Yih W.-T., Zimak D., Learning and inference over constrained output, IJCAI-05, Proceedings of the Nineteenth International Joint Conference on Artificial Intelligence, pp. 1124-1129, (2005); Raman K., Swaminathan A., Gehrke J., Joachims T., Beyond myopic inference in big data pipelines, Proceedings of the 19th ACM SIGKDD International Conference on Knowledge Discovery and Data Mining, pp. 86-94, (2013); Rantalankila P., Kannala J., Rahtu E., Generating object segmentation proposals using global and local search, Proceedings of the IEEE Conference on Computer Vision and Pattern Recognition, pp. 2417-2424, (2014); Ratner A.J., De Sa C.M., Wu S., Selsam D., Re C., Data programming: Creating large training sets, quickly, NIPS, pp. 3567-3575, (2016); Ratner A., Bach S.H., Ehrenberg H., Fries J., Wu S., Re C., Snorkel: Rapid Training Data Creation with Weak Supervision, (2017); Richardson M., Domingos P., Markov logic networks, Machine Learning, 62, 1-2, pp. 107-136, (2006); Sachan M., Xing E., Parsing to programs: A framework for situated qa, Proceedings of the 24rd SIGKDD Conference on Knowledge Discovery and Data Mining (KDD), (2018); Sachan M., Dubey K., Xing E., From textbooks to knowledge: A case study in harvesting axiomatic knowledge from textbooks to solve geometry problems, Proceedings of the 2017 Conference on Empirical Methods in Natural Language Processing, pp. 773-784, (2017); Sachan M., Seo M., Hajishirzi H., Xing E., Parsing to Programs: A Framework for Situated Question Answering, (2018); Seo M.J., Hajishirzi H., Farhadi A., Etzioni O., Diagram understanding in geometry questions, Proceedings of AAAI, (2014); Seo M.J., Hajishirzi H., Farhadi A., Etzioni O., Malcolm C., Solving geometry problems: Combining text and diagram interpretation, Proceedings of EMNLP, (2015); Shet V., Singh M., Bahlmann C., Ramesh V., Neumann J., Davis L., Predicate logic based image grammars for complex pattern recognition, IJCV, 93, 2, pp. 141-161, (2011); Simonyan K., Zisserman A., Very Deep Convolutional Networks for Large-Scale Image Recognition, (2014); Socher R., Lin C.C., Manning C., Ng A.Y., Parsing natural scenes and natural language with recursive neural networks, Proceedings of the 28th International Conference on Machine Learning (ICML-11), pp. 129-136, (2011); Srivastava N., Hinton G., Krizhevsky A., Sutskever I., Salakhutdinov R., Dropout: A simple way to prevent neural networks from overfitting, The Journal of Machine Learning Research, 15, 1, pp. 1929-1958, (2014); Tian T., Zhu J., Max-margin majority voting for learning from crowds, Advances in Neural Information Processing Systems, pp. 1621-1629, (2015); Towell G.G., Shavlik J.W., Knowledge-based artificial neural networks, Artificial Intelligence, 70, 1-2, pp. 119-165, (1994); Tu Z., Chen X., Yuille A.L., Zhu S.-C., Image parsing: Unifying segmentation, detection, and recognition, International Journal of Computer Vision, 63, 2, pp. 113-140, (2005); Uijlings J.R.R., Van De Sande K.E.A., Gevers T., Smeulders A.W.M., Selective search for object recognition, International Journal of Computer Vision, 104, 2, pp. 154-171, (2013); Viola P., Jones M.J., Robust real-time face detection, International Journal of Computer Vision, 57, 2, pp. 137-154, (2004); Wachsmuth H., Text Analysis Pipelines: Towards Ad-Hoc Large-Scale Text Mining, 9383, (2015); Wu Y., Schuster M., Chen Z., Le Q.V., Norouzi M., Macherey W., Krikun M., Cao Y., Gao Q., Macherey K., Et al., Google's Neural Machine Translation System: Bridging the Gap Between Human and Machine Translation, (2016); Zhang C., Bengio S., Hardt M., Recht B., Vinyals O., Understanding Deep Learning Requires Rethinking Generalization, (2016); Zhang Z., Warrell J., Torr P.H.S., Proposal generation for object detection using cascaded ranking svms, Computer Vision and Pattern Recognition (CVPR), pp. 1497-1504, (2011); Zhu S.-C., Mumford D., Et al., A stochastic grammar of images, Foundations and TrendsR in Computer Graphics and Vision, 2, 4, pp. 259-362, (2007); Lawrence Zitnick C., Dollar P., Edge boxes: Locating object proposals from edges, European Conference on Computer Vision, pp. 391-405, (2014)</t>
  </si>
  <si>
    <t>Cesa-Bianchi N.; Wallach H.; Grauman K.; Garnett R.; Bengio S.; Larochelle H.; Grauman K.</t>
  </si>
  <si>
    <t>Neural information processing systems foundation</t>
  </si>
  <si>
    <t>32nd Conference on Neural Information Processing Systems, NeurIPS 2018</t>
  </si>
  <si>
    <t>2 December 2018 through 8 December 2018</t>
  </si>
  <si>
    <t>Montreal</t>
  </si>
  <si>
    <t>147412.0</t>
  </si>
  <si>
    <t>Adv. neural inf. proces. syst.</t>
  </si>
  <si>
    <t>2-s2.0-85064808357</t>
  </si>
  <si>
    <t>Stickley D.</t>
  </si>
  <si>
    <t>Stickley, Daniel (57224354310)</t>
  </si>
  <si>
    <t>Relating relations: Meta-relation extraction from online health forum posts</t>
  </si>
  <si>
    <t>EACL 2021 - 16th Conference of the European Chapter of the Association for Computational Linguistics, Proceedings of the Student Research Workshop</t>
  </si>
  <si>
    <t>129.0</t>
  </si>
  <si>
    <t>136.0</t>
  </si>
  <si>
    <t>10.18653/v1/2021.eacl-srw.18</t>
  </si>
  <si>
    <t>https://www.scopus.com/inward/record.uri?eid=2-s2.0-85107459083&amp;doi=10.18653%2fv1%2f2021.eacl-srw.18&amp;partnerID=40&amp;md5=a2bc6e003b0cd2edf59f601af7d07882</t>
  </si>
  <si>
    <t>University of Brighton, United Kingdom</t>
  </si>
  <si>
    <t>Stickley D., University of Brighton, United Kingdom</t>
  </si>
  <si>
    <t>Relation extraction is a key task in knowledge extraction, and is commonly defined as the task of identifying relations that hold between entities in text. This thesis proposal addresses the specific task of identifying meta-relations, a higher order family of relations naturally construed as holding between other relations which includes temporal, comparative, and causal relations. More specifically, we aim to develop theoretical underpinnings and practical solutions for the challenges of (1) incorporating meta-relations into conceptualisations and annotation schemes for (lower-order) relations and named entities, (2) obtaining annotations for them with tolerable cognitive load on annotators, (3) creating models capable of reliably extracting meta-relations, and related to that (4) addressing the limited-data problem exacerbated by the introduction of meta-relations into the learning task. We explore recent works in relation extraction and discuss our plans to formally conceptualise meta-relations for the domain of user-generated health texts, and create a new dataset, annotation scheme and models for meta-relation extraction. ¬© 2021 Association for Computational Linguistics</t>
  </si>
  <si>
    <t>Computational linguistics; Natural language processing systems; Annotation scheme; Causal relations; High-order; Higher-order; Knowledge extraction; Low order; Practical solutions; Relation extraction; Specific tasks; Temporal relation; Extraction</t>
  </si>
  <si>
    <t>Alfattni Ghada, Peek Niels, Nenadic Goran, Extraction of temporal relations from clinical free text: A systematic review of current approaches, Journal of Biomedical Informatics, (2020); Belousov Maksim, Dixon William G, Nenadic Goran, Mednorm: A corpus and embeddings for cross-terminology medical concept normalisation, Proceedings of the Fourth Social Media Mining for Health Applications (# SMM4H) Workshop &amp; Shared Task, pp. 31-39, (2019); Belz Anya, Hoile Richard, Ford Elizabeth, Mullick Azam, Conceptualisation and annotation of drug nonadherence information for knowledge extraction from patient-generated texts, Proceedings of the 5th Workshop on Noisy User-generated Text (W-NUT 2019), pp. 202-211, (2019); Bossy Robert, Deleger Louise, Chaix Estelle, Ba Mouhamadou, Nedellec Claire, Bacteria biotope at bionlp open shared tasks 2019, Proceedings of The 5th Workshop on BioNLP Open Shared Tasks, pp. 121-131, (2019); Brown Elliot G, Wood Louise, Wood Sue, The medical dictionary for regulatory activities (meddra), Drug safety, 20, 2, pp. 109-117, (1999); Christopoulou Fenia, Miwa Makoto, Ananiadou Sophia, A walk-based model on entity graphs for relation extraction, (2019); Cohen Amir DN, Rosenman Shachar, Goldberg Yoav, Relation extraction as two-way span-prediction, (2020); Cui Lei, Wei Furu, Zhou Ming, Neural open information extraction, Proceedings of the 56th Annual Meeting of the Association for Computational Linguistics, 2, pp. 407-413, (2018); Devlin Jacob, Chang Ming-Wei, Lee Kenton, Toutanova Kristina, Bert: Pre-training of deep bidirectional transformers for language understanding, (2018); Gao Tianyu, Han Xu, Zhu Hao, Liu Zhiyuan, Li Peng, Sun Maosong, Zhou Jie, Fewrel 2.0: Towards more challenging few-shot relation classification, (2019); Geng ZhiQiang, Chen GuoFei, Han YongMing, Lu Gang, Li Fang, Semantic relation extraction using sequential and tree-structured lstm with attention, Information Sciences, 509, pp. 183-192, (2020); Han Xu, Gao Tianyu, Lin Yankai, Peng Hao, Yang Yaoliang, Xiao Chaojun, Liu Zhiyuan, Li Peng, Sun Maosong, Zhou Jie, More data, more relations, more context and more openness: A review and outlook for relation extraction, (2020); Hendrickx Iris, Kim Su Nam, Kozareva Zornitsa, Nakov Preslav, Seaghdha Diarmuid O, Pado Sebastian, Pennacchiotti Marco, Romano Lorenza, Szpakowicz Stan, Semeval-2010 task 8: Multi-way classification of semantic relations between pairs of nominals, Proceedings of the Workshop on Semantic Evaluations: Recent Achievements and Future Directions, SEW'09, pp. 94-99, (2009); Hoffmann Raphael, Zhang Congle, Ling Xiao, Zettlemoyer Luke, Weld Daniel S, Knowledge-based weak supervision for information extraction of overlapping relations, Proceedings of the 49th annual meeting of the association for computational linguistics: human language technologies, pp. 541-550, (2011); Huang Zhiheng, Xu Wei, Yu Kai, Bidirectional lstm-crf models for sequence tagging, (2015); Ivanin V, Artemova E, Batura T, Ivanov V, Sarkisyan V, Tutubalina E, Smurov I, Rurebus-2020 shared task: Russian relation extraction for business, Computational Linguistics and Intellectual Technologies: Proceedings of the International Conference ‚ÄúDialog, (2020); Li Cheng, Tian Ye, Downstream model design of pre-trained language model for relation extraction task, (2020); Ma Yunshan, Liao Lizi, Chua Tat-Seng, Automatic fashion knowledge extraction from social media, Proceedings of the 27th ACM International Conference on Multimedia, pp. 2223-2224, (2019); Manchanda Sanjeev, Phansalkar Ajeet, Automating knowledge extraction from unstructured knowledge articles, 2019 IEEE Pune Section International Conference (PuneCon), pp. 1-6, (2019); Min Bonan, Grishman Ralph, Wan Li, Wang Chang, Gondek David, Distant supervision for relation extraction with an incomplete knowledge base, Proceedings of the 2013 Conference of the North American Chapter of the Association for Computational Linguistics: Human Language Technologies, pp. 777-782, (2013); Mintz Mike, Bills Steven, Snow Rion, Jurafsky Dan, Distant supervision for relation extraction without labeled data, Proceedings of the Joint Conference of the 47th Annual Meeting of the ACL and the 4th International Joint Conference on Natural Language Processing of the AFNLP, pp. 1003-1011, (2009); Riedel Sebastian, Yao Limin, McCallum Andrew, Modeling relations and their mentions without labeled text, Joint European Conference on Machine Learning and Knowledge Discovery in Databases, pp. 148-163, (2010); Ritter Alan, Zettlemoyer Luke, Mausam, Etzioni Oren, Modeling missing data in distant supervision for information extraction, Transactions of the Association for Computational Linguistics, 1, pp. 367-378, (2013); Smirnova Alisa, Cudre-Mauroux Philippe, Relation extraction using distant supervision: A survey, ACM Computing Surveys (CSUR), 51, 5, pp. 1-35, (2018); Stearns Michael Q, Price Colin, Spackman Kent A, Wang Amy Y, Snomed clinical terms: overview of the development process and project status, Proceedings of the AMIA Symposium, (2001); Surdeanu Mihai, Tibshirani Julie, Nallapati Ramesh, Manning Christopher D, Multi-instance multi-label learning for relation extraction, Proceedings of the 2012 joint conference on empirical methods in natural language processing and computational natural language learning, pp. 455-465, (2012); Wang Haitao, He Zhengqiu, Zhu Tong, Shao Hao, Chen Wenliang, Zhang Min, Ccks 2019 shared task on inter-personal relationship extraction, (2019); Wang Yucheng, Yu Bowen, Zhang Yueyang, Liu Tingwen, Zhu Hongsong, Sun Limin, Tplinker: Single-stage joint extraction of entities and relations through token pair linking, (2020); Wang Yuxing, Zhou Kaiyin, Gachloo Mina, Xia Jingbo, An overview of the active gene annotation corpus and the bionlp ost 2019 agac track tasks, Proceedings of The 5th Workshop on BioNLP Open Shared Tasks, pp. 62-71, (2019); Wu Ruidong, Yao Yuan, Han Xu, Xie Ruobing, Liu Zhiyuan, Lin Fen, Lin Leyu, Sun Maosong, Open relation extraction: Relational knowledge transfer from supervised data to unsupervised data, Proceedings of EMNLP-IJCNLP 2019, pp. 219-228, (2019); Xu Wei, Hoffmann Raphael, Zhao Le, Grishman Ralph, Filling knowledge base gaps for distant supervision of relation extraction, Proceedings of the 51st Annual Meeting of the Association for Computational Linguistics, 2, pp. 665-670, (2013); Yang Jie, Han Soyeon Caren, Poon Josiah, A survey on extraction of causal relations from natural language text, (2021)</t>
  </si>
  <si>
    <t>D. Stickley; University of Brighton, United Kingdom; email: d.stickley@brighton.ac.uk</t>
  </si>
  <si>
    <t>16th Conference of the European Chapter of the Associationfor Computational Linguistics: Student Research Workshop, EACL 2021</t>
  </si>
  <si>
    <t>19 April 2021 through 23 April 2021</t>
  </si>
  <si>
    <t>169020.0</t>
  </si>
  <si>
    <t>978-195408504-6</t>
  </si>
  <si>
    <t>EACL - Conf. Eur. Chapter Assoc. Comput. Linguist., Proc. Stud. Res. Workshop</t>
  </si>
  <si>
    <t>2-s2.0-85107459083</t>
  </si>
  <si>
    <t>Yang X.; Mao K.; Zhao R.</t>
  </si>
  <si>
    <t>Yang, Xuefeng (56194089500); Mao, Kezhi (7006403609); Zhao, Rui (56717092800)</t>
  </si>
  <si>
    <t>56194089500; 7006403609; 56717092800</t>
  </si>
  <si>
    <t>Distributional sentence representation by expert knowledge for causal relation identification</t>
  </si>
  <si>
    <t>2015 10th International Conference on Information, Communications and Signal Processing, ICICS 2015</t>
  </si>
  <si>
    <t>10.1109/ICICS.2015.7459848</t>
  </si>
  <si>
    <t>https://www.scopus.com/inward/record.uri?eid=2-s2.0-84973636068&amp;doi=10.1109%2fICICS.2015.7459848&amp;partnerID=40&amp;md5=1725667cb66055ddf94bf84d8b7a347e</t>
  </si>
  <si>
    <t>Nanyang Technological University, 50 Nanyang Avenue, Singapore, 639798, Singapore</t>
  </si>
  <si>
    <t>Yang X., Nanyang Technological University, 50 Nanyang Avenue, Singapore, 639798, Singapore; Mao K., Nanyang Technological University, 50 Nanyang Avenue, Singapore, 639798, Singapore; Zhao R., Nanyang Technological University, 50 Nanyang Avenue, Singapore, 639798, Singapore</t>
  </si>
  <si>
    <t>Extracting causal relations from natural sentences is an important issue in knowledge discovery. As a typical high level semantic problem with limited data, most systems only employ hand crafted features from various lexical semantic resources because it may generate very robust feature to support classification. However, human summarized knowledge is limited and there are more information in unlabeled corpora. To employ the features learned from unlabeled corpora, the authors propose a distributional sentence representation to make the distributional word representation applicable for high level semantic meaning problems. Experiments show that added features contain complementary knowledge for the causal relation expressions and it may improve the performance of the relation extraction system. ¬© 2015 IEEE.</t>
  </si>
  <si>
    <t>Semantics; Causal relations; Expert knowledge; High level semantics; Lexical semantics; Limited data; Relation extraction; Word representations; Signal processing</t>
  </si>
  <si>
    <t>Khoo C.S., Myaeng S.H., Oddy R.N., Using Cause-Effect relations in text to improve information retrieval precision, Information Processing &amp; Management, 37, 1, pp. 119-145, (2001); Girju R., Automatic detection of causal relations for question answering, Proceedings of the ACL 2003 Workshop on Multilingual Summarization and Question Answering, 12, pp. 76-83, (2003); Sanchez-Graillet O., Poesio M., Acquiring Bayesian networks from text, Proc. of the 4th International Conference on Language Resources and Evaluation (LREC-2004), pp. 955-958, (2004); Raghuram S., Xia Y., Ge J., Palakal M., Jones J., Pecenka D., Tinsley E., Bandos J., Geesaman J., AutoBayesian: Developing Bayesian networks based on text mining, Database Systems for Advanced Applications, pp. 450-453, (2011); Khoo C.S., Chan S., Niu Y., Extracting causal knowledge from a medical database using graphical patterns, Proceedings of the 38th Annual Meeting on Association for Computational Linguistics. Association for Computational Linguistics, pp. 336-343, (2000); Bui Q.-C., Nuallain B.O., Boucher C.A., Sloot P.M., Extracting causal relations on HIV drug resistance from literature, BMC Bioinformatics, 11, 1, (2010); Chang D., Choi K., Incremental cue phrase learning and bootstrapping method for causality extraction using cue phrase and word pair probabilities, Information Processing &amp; Management, 42, 3, pp. 662-678, (2006); Beamer B., Rozovskaya A., Girju R., Automatic semantic relation extraction with multiple boundary generation, Proceedings of the 23rd National Conference on Artificial Intelligence, 2, pp. 824-829, (2008); Blanco E., Castell N., Moldovan D., Causal relation extraction, Proceedings of the Sixth International Language Resources and Evaluation (LREC08, pp. 310-313, (2008); Yang X., Mao K., Multi level causal relation identification using extended features, Expert Syst. Appl, 41, 16, pp. 7171-7181, (2014); Mitchell J., Lapata M., Composition in distributional models of semantics, Cognitive Science, 34, 8, pp. 1388-1429, (2010); Blacoe W., Lapata M., A comparison of Vector-Based representations for semantic composition, Proceedings of the 2012 Joint Conference on Empirical Methods in Natural Language Processing and Computational Natural Language Learning. Association for Computational Linguistics, pp. 546-556, (2012); Socher R., Huang E.H., Pennington J., Ng A.Y., Manning C.D., Dynamic pooling and unfolding recursive autoencoders for paraphrase detection, Advances in Neural Information Processing Systems, 24, pp. 801-809, (2011); Baroni M., Zamparelli R., Nouns are vectors, adjectives are matrices: Representing adjective-noun constructions in semantic space, Proceedings of the 2010 Conference on Empirical Methods in Natural Language Processing. Association for Computational Linguistics, pp. 1183-1193, (2010); Coecke B., Sadrzadeh M., Clark S., Mathematical foundations for a compositional distributional model of meaning, CoRR, (2010); Grefenstette E., Sadrzadeh M., Experimental support for a categorical compositional distributional model of meaning, Proceedings of the Conference on Empirical Methods in Natural Language Processing. Association for Computational Linguistics, pp. 1394-1404, (2011); Grefenstette E., Sadrzadeh M., Experimenting with Transitive Verbs in A Discocat, (2011); Grefenstette E., Dinu G., Zhang Y.-Z., Sadrzadeh M., Baroni M., Multi-step Regression Learning for Compositional Distributional Semantics, (2013); Clark S., Vector Space Models of Lexical Meaning, (2012); Socher R., Lin C.C., Ng A., Manning C., Parsing natural scenes and natural language with recursive neural networks, Proceedings of the 28th International Conference on Machine Learning (ICML-11), pp. 129-136, (2011); Socher R., Pennington J., Huang E.H., Ng A.Y., Manning C.D., Semi-Supervised recursive autoencoders for predicting sentiment distributions, Proceedings of the Conference on Empirical Methods in Natural Language Processing. Association for Computational Linguistics, pp. 151-161, (2011); Socher R., Huval B., Manning C.D., Ng A.Y., Semantic compositionality through recursive matrix-vector spaces, Proceedings of the 2012 Joint Conference on Empirical Methods in Natural Language Processing and Computational Natural Language Learning. Association for Computational Linguistics, pp. 1201-1211, (2012); De Marneffe M., Manning C., Stanford Typed Dependencies Manual, (2008); Bauer D., Furstenau H., Rambow O., The dependency-parsed framenet corpus, LREC, pp. 3861-3867, (2012); Collobert R., Weston J., Bottou L., Karlen M., Kavukcuoglu K., Kuksa P., Natural language processing (almost) from scratch, J. Mach. Learn. Res, 12, pp. 2493-2537, (2011); Turian J., Ratinov L., Bengio Y., Word representations: A simple and general method for semi-supervised learning, Proceedings of the 48th Annual Meeting of the Association for Computational Linguistics. Association for Computational Linguistics, pp. 384-394, (2010); Morin F., Bengio Y., Hierarchical probabilistic neural network language model, AISTATS05, pp. 246-252, (2005); Huang E.H., Socher R., Manning C.D., Ng A.Y., Improving word representations via global context and multiple word prototypes, Annual Meeting of the Association for Computational Linguistics (ACL), (2012)</t>
  </si>
  <si>
    <t>10th International Conference on Information, Communications and Signal Processing, ICICS 2015</t>
  </si>
  <si>
    <t>2 December 2015 through 4 December 2015</t>
  </si>
  <si>
    <t>121516.0</t>
  </si>
  <si>
    <t>978-146737218-3</t>
  </si>
  <si>
    <t>Int. Conf. Inf., Commun. Signal Process., ICICS</t>
  </si>
  <si>
    <t>2-s2.0-84973636068</t>
  </si>
  <si>
    <t>Bhatnagar R.; Sardar S.; Beheshti M.; Podichetty J.T.</t>
  </si>
  <si>
    <t>Bhatnagar, Roopal (57390567800); Sardar, Sakshi (57208109642); Beheshti, Maedeh (35752962700); Podichetty, Jagdeep T. (55216544500)</t>
  </si>
  <si>
    <t>57390567800; 57208109642; 35752962700; 55216544500</t>
  </si>
  <si>
    <t>How can natural language processing help model informed drug development?: a review</t>
  </si>
  <si>
    <t>JAMIA Open</t>
  </si>
  <si>
    <t>ooac043</t>
  </si>
  <si>
    <t>37.0</t>
  </si>
  <si>
    <t>10.1093/jamiaopen/ooac043</t>
  </si>
  <si>
    <t>https://www.scopus.com/inward/record.uri?eid=2-s2.0-85134911178&amp;doi=10.1093%2fjamiaopen%2fooac043&amp;partnerID=40&amp;md5=beca1e4ba7423cbc81972a169dba95a3</t>
  </si>
  <si>
    <t>Data Science, Data Collaboration Center, Critical Path Institute, Tucson, AZ, United States; Quantitative Medicine, Critical Path Institute, Tucson, AZ, United States</t>
  </si>
  <si>
    <t>Bhatnagar R., Data Science, Data Collaboration Center, Critical Path Institute, Tucson, AZ, United States; Sardar S., Quantitative Medicine, Critical Path Institute, Tucson, AZ, United States; Beheshti M., Quantitative Medicine, Critical Path Institute, Tucson, AZ, United States; Podichetty J.T., Quantitative Medicine, Critical Path Institute, Tucson, AZ, United States</t>
  </si>
  <si>
    <t>Objective: To summarize applications of natural language processing (NLP) in model informed drug development (MIDD) and identify potential areas of improvement. Materials and Methods: Publications found on PubMed and Google Scholar, websites and GitHub repositories for NLP libraries and models. Publications describing applications of NLP in MIDD were reviewed. The applications were stratified into 3 stages: drug discovery, clinical trials, and pharmacovigilance. Key NLP functionalities used for these applications were assessed. Programming libraries and open-source resources for the implementation of NLP functionalities in MIDD were identified. Results: NLP has been utilized to aid various processes in drug development lifecycle such as gene-disease mapping, biomarker discovery, patient-trial matching, adverse drug events detection, etc. These applications commonly use NLP functionalities of named entity recognition, word embeddings, entity resolution, assertion status detection, relation extraction, and topic modeling. The current state-of-the-art for implementing these functionalities in MIDD applications are transformer models that utilize transfer learning for enhanced performance. Various libraries in python, R, and Java like huggingface, sparkNLP, and KoRpus as well as open-source platforms such as DisGeNet, DeepEnroll, and Transmol have enabled convenient implementation of NLP models to MIDD applications. Discussion: Challenges such as reproducibility, explainability, fairness, limited data, limited language-support, and security need to be overcome to ensure wider adoption of NLP in MIDD landscape. There are opportunities to improve the performance of existing models and expand the use of NLP in newer areas of MIDD. Conclusions: This review provides an overview of the potential and pitfalls of current NLP approaches in MIDD.  ¬© 2022 The Author(s). Published by Oxford University Press on behalf of the American Medical Informatics Association.</t>
  </si>
  <si>
    <t>deep learning; drug development; machine learning; NLP</t>
  </si>
  <si>
    <t>adult; clinical trial (topic); drug development; drug research; embedding; female; human; male; natural language processing; open source research; pharmacodynamic parameters; pharmacokinetic parameters; pharmacovigilance; predictive value; publication; Review; systematic review; transfer of learning</t>
  </si>
  <si>
    <t>Khurana D, Koli A, Khatter K, Et al., Natural language processing: state of the art, current trends and challenges; Olaronke I, Olaleke J., A systematic review of natural language processing in healthcare, Int J Inf Technol Comput Sci, 7, 8, pp. 44-50, (2015); Kong H-J., Managing unstructured big data in healthcare system, Healthc Inform Res, 25, 1, pp. 1-2, (2019); Chen Z, Liu X, Hogan W, Et al., Applications of artificial intelligence in drug development using real-world data, Drug Discov Today, 26, 5, pp. 1256-1264, (2021); Wang Y, Zhu H, Madabushi R, Et al., Model-informed drug development: current US regulatory practice and future considerations, Clin Pharmacol Ther, 105, 4, pp. 899-911, (2019); Thafar MA, Olayan RS, Albaradei S, Et al., DTi2Vec: drug-target interaction prediction using network embedding and ensemble learning, J Cheminform, 13, 1, (2021); Hayes AL, Smith S., Predicting Drug-Drug Interactions from Text using NLP and Privileged Information, ACM, (2016); Singh S., Big dreams with big data! Use of clinical informatics to inform biomarker discovery, Clin Transl Gastroenterol, 10, 3, (2019); Subramanian S, Baldini I, Ravichandran S, Et al., A natural language processing system for extracting evidence of drug repurposing from scientific publications, AAAI, 34, pp. 13369-13381, (2020); Issa NT, Stathias V, Schurer S, Et al., Machine and deep learning approaches for cancer drug repurposing, Semin Cancer Biol, 68, pp. 132-142, (2021); Zhang K, Demner-Fushman D., Automated classification of eligibility criteria in clinical trials to facilitate patient-trial matching for specific patient populations, J Am Med Inform Assoc, 24, 4, pp. 781-787, (2017); Chan P, Peskov K, Song X., Applications of model-based meta-analysis in drug development, Pharm Res Published Online First, (2022); Barrett JS, Nicholas T, Azer K, Et al., Role of disease progression models in drug development, Pharm Res Published Online First, (2022); Liu Z, Roberts RA, Lal-Nag M, Et al., AI-based language models powering drug discovery and development, Drug Discov Today, 26, 11, pp. 2593-2607, (2021); Vamathevan J, Clark D, Czodrowski P, Et al., Applications of machine learning in drug discovery and development, Nat Rev Drug Discov, 18, 6, pp. 463-477, (2019); Ozturk H, Ozgur A, Schwaller P, Et al., Exploring chemical space using natural language processing methodologies for drug discovery, Drug Discov Today, 25, 4, pp. 689-705, (2020); Chen H, Engkvist O, Wang Y, Et al., The rise of deep learning in drug discovery, Drug Discov Today, 23, 6, pp. 1241-1250, (2018); Gupta R, Srivastava D, Sahu M, Et al., Artificial intelligence to deep learning: machine intelligence approach for drug discovery, Mol Divers, 25, 3, pp. 1315-1360, (2021); GloVe: Global Vectors for Word Representation; Mikolov T, Chen K, Corrado G, Et al., Efficient estimation of word representations in vector space; fastText; BioWordVec &amp; BioSentVec: pre-trained embeddings for biomedical words and sentences, (2022); Eltyeb S, Salim N., Chemical named entities recognition: a review on approaches and applications, J Cheminform, 6, (2014); A Natural Language Processing Resource; MetaMap; Denny JC, Irani PR, Wehbe FH, Et al., The KnowledgeMap Project: development of a concept-based medical school curriculum database, AMIA Annu Symp Proc, 2003, pp. 195-199, (2003); Apache cTAKESTM-clinical Text Analysis Knowledge Extraction System; HITEx Manual; GitHub-medtagger/MedTagger: a collaborative framework for annotating medical datasets using crowdsourcing; Rocktaschel T, Weidlich M, Leser U., ChemSpot: a hybrid system for chemical named entity recognition, Bioinformatics, 28, 12, pp. 1633-1640, (2012); Uzuner O, South BR, Shen S, Et al., 2010 i2b2/VA challenge on concepts, assertions, and relations in clinical text, J Am Med Inform Assoc, 18, 5, pp. 552-556, (2011); Trajanovska I., Assertion Detection in Electronic Health Records; Clark C, Aberdeen J, Coarr M, Et al., Determining Assertion Status for Medical Problems in Clinical Records, (2011); Bell D, Hahn-Powell G, Valenzuela-Escarcega MA, Et al., Sieve-based Coreference Resolution in the Biomedical Domain, Proceedings of the Tenth International Conference on Language Resources and Evaluation (LREC'16), pp. 177-183, (2016); Ebraheem M, Thirumuruganathan S, Joty S, Et al., Distributed representations of tuples for entity resolution, Proc VLDB Endow, 11, 11, pp. 1454-1467, (2018); Wei C-H, Peng Y, Leaman R, Et al., Assessing the state of the art in biomedical relation extraction: overview of the BioCreative V chemicaldisease relation (CDR) task, Database, 2016, (2016); Xing R, Luo J, Song T., BioRel: towards large-scale biomedical relation extraction, BMC Bioinformatics, 21, (2020); Peng Y, Yan S, Lu Z., Transfer learning in biomedical natural language processing: an evaluation of BERT and ELMo on ten benchmarking datasets, (2019); Vayansky I, Kumar SAP., A review of topic modeling methods, Inf Syst, 94, (2020); Wang R, Zhou D, He Y., ATM: Adversarial-neural Topic Model, Inf Process Manage, 56, 6, (2019); ElShal S, Mathad M, Simm J, Et al., Topic modeling of biomedical text, IEEE International Conference on Bioinformatics and Biomedicine (BIBM), pp. 712-716, (2016); Liu L, Tang L, Dong W, Et al., An overview of topic modeling and its current applications in bioinformatics, Springerplus, 5, 1, (2016); spaCy Industrial-strength Natural Language Processing in Python; Rehurek R, Sojka P., Software Framework for Topic Modelling with Large Corpora, (2010); NLTK:: Natural Language Toolkit; CoreNLP; Spark NLP; Spark NLP for Healthcare j Award Winning Medical NLP j John Snow Labs. Spark NLP for Healthcare; RoBERTa: An optimized method for pretraining self-supervised NLP systems; ALBERT: A Lite BERT for Self-Supervised Learning of Language Representations. Google AI Blog; scikit-learn: machine learning in Python-scikit-learn 1.0.2 documentation; TextBlob: Simplified Text Processing-TextBlob 0.16.0 documentation; Computational Linguistics Research Group 2022; Hugging Face-The AI community building the future; AllenNLP-Allen Institute for AI; Stanza; flairNLP/flair. flair 2022; A Guide to Using spacyr; DMIS Laboratory-Korea University 2022; Lee J, Yoon W, Kim S, Et al., BioBERT: a pre-trained biomedical language representation model for biomedical text mining, Bioinformatics, 36, 4, pp. 1234-1240, (2020); AI2 2022; Beltagy I, Lo K, Cohan A., SciBERT: a pretrained language model for scientific text, (2019); Huang K., ClinicalBERT 2022; Huang K, Altosaar J, Ranganath R., ClinicalBERT: modeling clinical notes and predicting hospital readmission, (2020); Bio_ClinicalBERT at main; Alsentzer E, Murphy J, Boag W, Et al., Publicly Available Clinical BERT Embeddings, Proceedings of the 2nd Clinical Natural Language Processing Workshop, pp. 72-78, (2019); Gururangan S, Marasovic A, Swayamdipta S, Et al., Don't stop pretraining: adapt language models to domains and tasks, (2020); Bio_Discharge_Summary_BERT at main; (2022); Chithrananda S., ChemBERTa, (2022); Chithrananda S, Grand G, Ramsundar B., ChemBERTa: large-scale self-supervised pretraining for molecular property prediction, (2020); Leyens L, Reumann M, Malats N, Et al., Use of big data for drug development and for public and personal health and care, Genet Epidemiol, 41, 1, pp. 51-60, (2017); Mohs RC, Greig NH., Drug discovery and development: role of basic biological research, Alzheimers Dement (N Y), 3, 4, pp. 651-657, (2017); Zheng S, Dharssi S, Wu M, Et al., Text mining for drug discovery, Bioinformatics and Drug Discovery, pp. 231-252, (2019); Opap K, Mulder N., Recent advances in predicting gene-disease associations, F1000Res, 6, (2017); Al-Aamri A, Taha K, Al-Hammadi Y, Et al., Analyzing a co-occurrence gene-interaction network to identify disease-gene association, BMC Bioinformatics, 20, 1, (2019); Bravo A, Pinero J, Queralt-Rosinach N, Et al., Extraction of relations between genes and diseases from text and large-scale data analysis: implications for translational research, BMC Bioinformatics, 16, (2015); Ben Abdessalem Karaa W, Alkhammash EH, Bchir A., Drug disease relation extraction from biomedical literature using NLP and machine learning, Mobile Inf Syst, 2021, pp. 1-10, (2021); Pinero J, Queralt-Rosinach N, Bravo A, Et al., DisGeNET: a discovery platform for the dynamical exploration of human diseases and their genes, Database (Oxford), 2015, (2015); Deng C, Zou J, Deng J, Et al., Extraction of gene-disease association from literature using BioBERT, The 2nd International Conference on Computing and Data Science, pp. 1-4, (2021); Huang K, Xiao C, Glass LM, Et al., MolTrans: molecular interaction transformer for drug-target interaction prediction, Bioinformatics, 37, 6, pp. 830-836, (2021); Zhang Y-F, Wang X, Kaushik AC, Et al., SPVec: a Word2vec-inspired feature representation method for drug-target interaction prediction, Front Chem, 7, (2019); Ozturk H, Ozgur A, Ozkirimli E., DeepDTA: deep drug-target binding affinity prediction, Bioinformatics, 34, 17, pp. i821-i829, (2018); Shin B, Park S, Kang K, Et al., Self-attention based molecule representation for predicting drug-target interaction, (2019); Predicting commercially available antiviral drugs that may act on the novel coronavirus (SARS-CoV-2) through a drug-target interaction deep learning model-ScienceDirect; Abbasi K, Razzaghi P, Poso A, Et al., Deep learning in drug target interaction prediction: current and future perspectives, Curr Med Chem, 28, 11, pp. 2100-2113, (2021); Bagherian M, Sabeti E, Wang K, Et al., Machine learning approaches and databases for prediction of drug-target interaction: a survey paper, Brief Bioinform, 22, 1, pp. 247-269, (2021); Zhang F, Wu X, Chen J., Computational Biomarker Discovery, Approaches in Integrative Bioinformatics, pp. 355-386, (2014); Song H-J, Yoon B-H, Youn Y-S, Et al., A method of inferring the relationship between biomedical entities through correlation analysis on text, Biomed Eng Online, 17, (2018); Holmes B, Chitale D, Loving J, Et al., Customizable natural language processing biomarker extraction tool, JCO Clin Cancer Inf, 5, pp. 833-841, (2021); Subramanian S, Baldini I, Ravichandran S, Et al., Drug repurposing for cancer: an NLP approach to identify low-cost therapies, (2019); Baldini I, Bernagozzi M, Aggarwal S, Et al., Exploring the efficacy of generic drugs in treating cancer, Proc AAAI Conf Artif Intell, 35, pp. 15988-15990, (2021); Sosa DN, Derry A, Guo M, Et al., A literature-based knowledge graph embedding method for identifying drug repurposing opportunities in rare diseases, Pac Symp Biocomput, 25, pp. 463-474, (2020); Bloom B., Recent successes and future predictions on drug repurposing for rare diseases, Expert Opin Orphan Drugs, 4, 1, pp. 1-4, (2016); Roessler HI, Knoers NVAM, van Haelst MM, Et al., Drug repurposing for rare diseases, Trends Pharmacol Sci, 42, 4, pp. 255-267, (2021); Singh TU, Parida S, Lingaraju MC, Et al., Drug repurposing approach to fight COVID-19, Pharmacol Rep, 72, 6, pp. 1479-1508, (2020); Senanayake SL., Drug repurposing strategies for COVID-19, Future Drug Discovery, 2, 2, (2020); Dotolo S, Marabotti A, Facchiano A, Et al., A review on drug repurposing applicable to COVID-19, Brief Bioinform, 22, (2020); Xu R, Wang Q., Large-scale extraction of accurate drug-disease treatment pairs from biomedical literature for drug repurposing, BMC Bioinformatics, 14, (2013); Sohn S, Clark C, Halgrim SR, Et al., MedXN: an open source medication extraction and normalization tool for clinical text, J Am Med Inform Assoc, 21, 5, pp. 858-865, (2014); Bejan CA, Cahill KN, Staso PJ, Et al., DrugWAS: drug-wide association studies for COVID-19 drug repurposing, Clin Pharmacol Ther, 110, 6, pp. 1537-1546, (2021); Liu X, IJzerman A, Westen G., Computational approaches for de novo drug design: past, present, and future, Artificial Neural Networks. Methods in Molecular Biology, 2190, pp. 139-165, (2020); Zhumagambetov R, Molnar FA, Peshkov V, Et al., Transmol: repurposing a language model for molecular generation, RSC Adv, 11, 42, pp. 25921-25932, (2021); Santana MVS, Silva FP, De novo design and bioactivity prediction of SARS-CoV-2 main protease inhibitors using recurrent neural networkbased transfer learning, BMC Chem, 15, 1, (2021); Ghanbarpour A, Lill MA., Seq2Mol: Automatic design of de novo molecules conditioned by the target protein sequences through deep neural networks, (2020); Harrer S, Shah P, Antony B, Et al., Artificial intelligence for clinical trial design, Trends Pharmacol Sci, 40, 8, pp. 577-591, (2019); Fogel DB., Factors associated with clinical trials that fail and opportunities for improving the likelihood of success: a review, Contemp Clin Trials Commun, 11, pp. 156-164, (2018); Liu H, Chi Y, Butler A, Et al., A knowledge base of clinical trial eligibility criteria, J Biomed Inform, 117, (2021); Kang T, Zhang S, Tang Y, Et al., EliIE: an open-source information extraction system for clinical trial eligibility criteria, J Am Med Inform Assoc, 24, 6, pp. 1062-1071, (2017); Bompelli A, Silverman G, Finzel R, Et al., Comparing NLP systems to extract entities of eligibility criteria in dietary supplements clinical trials using NLP-ADAPT, Artificial Intelligence in Medicine-18th International Conference on Artificial Intelligence in Medicine, AIME 2020, Proceedings, pp. 67-77, (2020); Hao T, Chen X, Huang G., Discovering commonly shared semantic concepts of eligibility criteria for learning clinical trial design, Advances in Web-Based Learning-ICWL 2015, pp. 3-13, (2015); Tseo Y, Salkola MI, Mohamed A, Et al., Information extraction of clinical trial eligibility criteria, (2020); Tissot HC, Shah AD, Brealey D, Et al., Natural language processing for mimicking clinical trial recruitment in critical care: a semi-automated simulation based on the LeoPARDS trial, IEEE J Biomed Health Inform, 24, 10, pp. 2950-2959, (2020); Ni Y, Kennebeck S, Dexheimer JW, Et al., Automated clinical trial eligibility prescreening: increasing the efficiency of patient identification for clinical trials in the emergency department, J Am Med Inform Assoc, 22, 1, pp. 166-178, (2015); Chen L, Gu Y, Ji X, Et al., Clinical trial cohort selection based on multilevel rule-based natural language processing system, J Am Med Inform Assoc, 26, 11, pp. 1218-1226, (2019); Raghavan P, Chen JL, Fosler-Lussier E, Et al., How essential are unstructured clinical narratives and information fusion to clinical trial recruitment?, AMIA Jt Summits Transl Sci Proc, 2014, pp. 218-223, (2014); Yuan C, Ryan PB, Ta C, Et al., Criteria2Query: a natural language interface to clinical databases for cohort definition, J Am Med Inform Assoc, 26, 4, pp. 294-305, (2019); Zhang X, Xiao C, Glass LM, Et al., DeepEnroll: patient-trial matching with deep embedding and entailment prediction, (2020); Gao J, Xiao C, Glass LM, Et al., COMPOSE: cross-modal pseudo-siamese network for patient trial matching, (2020); Roberts JA, Taccone FS, Lipman J., Understanding PK/PD, Intensive Care Med, 42, 11, pp. 1797-1800, (2016); Choi L, Beck C, McNeer E, Et al., Development of a system for postmarketing population pharmacokinetic and pharmacodynamic studies using real-world data from electronic health records, Clin Pharmacol Ther, 107, 4, pp. 934-943, (2020); Xu H, Stenner SP, Doan S, Et al., MedEx: a medication information extraction system for clinical narratives, J Am Med Inform Assoc, 17, 1, pp. 19-24, (2010); Weeks HL, Beck C, McNeer E, Et al., medExtractR: a medication extraction algorithm for electronic health records using the R programming language, (2019); Viswanath S, Fennell JW, Balar K, Et al., An industrial approach to using artificial intelligence and natural language processing for accelerated document preparation in drug development, J Pharm Innov, 16, 2, pp. 302-316, (2021); Jagannatha A, Liu F, Liu W, Et al., Overview of the first natural language processing challenge for extracting medication, indication, and adverse drug events from electronic health record notes (MADE 1.0), Drug Saf, 42, 1, pp. 99-111, (2019); Ujiie S, Yada S, Wakamiya S, Et al., Identification of adverse drug event-related japanese articles: natural language processing analysis, JMIR Med Inform, 8, 11, (2020); Cocos A, Fiks AG, Masino AJ., Deep learning for pharmacovigilance: recurrent neural network architectures for labeling adverse drug reactions in Twitter posts, J Am Med Inform Assoc, 24, 4, pp. 813-821, (2017); Friedman C, Shagina L, Lussier Y, Et al., Automated encoding of clinical documents based on natural language processing, J Am Med Inform Assoc, 11, 5, pp. 392-402, (2004); Wu C, Wu F, Liu J, Et al., Detecting tweets mentioning drug name and adverse drug reaction with hierarchical tweet representation and multihead self-Attention, Proceedings of the 2018 EMNLP Workshop SMM4H: The 3rd Social Media Mining for Health Applications Workshop &amp; Shared Task, pp. 34-37, (2018); Wu H-Y, Chiang C-W, Li L., Text mining for drug-drug interaction, Methods Mol Biol, 1159, pp. 47-75, (2014); Lim S, Lee K, Kang J., Drug drug interaction extraction from the literature using a recursive neural network, PLoS One, 13, 1, (2018); Trienes J., De-identification of electronic health records using NLP, Nedap, (2020); Naylor M, French C, Terker S, Et al., Quantifying explainability in NLP and analyzing algorithms for performance-explainability tradeoff; Gao K, Fokoue A, Luo H, Et al., Interpretable drug target prediction using deep neural representation, International Joint Conference on Artificial Intelligence, pp. 3371-3377, (2018); Goh G, Hodas N, Siegel C, Et al., SMILES2Vec: an interpretable generalpurpose deep neural network for predicting chemical properties, (2017); Feldhus N, Schwarzenberg R, Moller S., Thermostat: a large collection of NLP model explanations and analysis tools, (2021); Olthof AW, Shouche P, Fennema EM, Et al., Machine learning based natural language processing of radiology reports in orthopaedic trauma, Comput Methods Programs Biomed, 208, (2021); Neveol A, Dalianis H, Velupillai S, Et al., Clinical natural language processing in languages other than English: opportunities and challenges, J Biomed Semantics, 9, 1, (2018); Hofer M, Kormilitzin A, Goldberg P, Et al., Few-shot learning for named entity recognition in medical text, (2018); Pinero J, Sauch J, Sanz F, Et al., The DisGeNET cytoscape app: exploring and visualizing disease genomics data, Comput Struct Biotechnol J, 19, pp. 2960-2967, (2021); MedXN: Medication Extraction and Normalization for Clinical Text, (2022); TRANSMOL, (2021); Huang K., MolTrans: Molecular Interaction Transformer for Drug Target Interaction Prediction, (2022); COMPOSE: Cross-Modal Pseudo-Siamese Network for Patient Trial Matching, (2021); (2021); EGFI, (2022); (2022); The Comparative Toxicogenomics Database j CTD; GWAS Catalog; Literature-derived Human Gene-Disease Network; MarkerDB; Drugs@FDA: FDA-Approved Drugs; CURE ID; ChEMBL Database; GDB Databases; Sterling T, Irwin JJ., ZINC 15-ligand discovery for everyone, J Chem Inf Model, 55, 11, pp. 2324-2337, (2015); Liu T, Lin Y, Wen X, Et al., BindingDB: a web-accessible database of experimentally determined protein-ligand binding affinities, Nucleic Acids Res, 35, pp. D198-D201, (2007); Tanoli Z, Alam Z, Vaha-Koskela M, Et al., Drug Target Commons 2.0: a community platform for systematic analysis of drug-target interaction profiles, Database (Oxford), 2018, (2018); Wishart DS, Feunang YD, Guo AC, Et al., DrugBank 5.0: amajor update to the DrugBank database for 2018, Nucleic Acids Res, 46, D1, pp. D1074-D1082, (2018); ClinicalTrials.gov; SIDER Side Effect Resource; Research C for DE and FDA Adverse Event Reporting System (FAERS) Public Dashboard; DDinter; PharmGKB; Johnson A, Pollard T, Mark R., MIMIC-III Clinical Database, (2015)</t>
  </si>
  <si>
    <t>J.T. Podichetty; Tucson, 1730 E River Rd #200, 85718, United States; email: jpodichetty@c-path.org</t>
  </si>
  <si>
    <t>Oxford University Press</t>
  </si>
  <si>
    <t>2-s2.0-85134911178</t>
  </si>
  <si>
    <t>peer_review_color</t>
  </si>
  <si>
    <t>full text</t>
  </si>
  <si>
    <t>choosen</t>
  </si>
  <si>
    <t>notes</t>
  </si>
  <si>
    <t>It talks about data augmentantion form text with no external resources and LLMs</t>
  </si>
  <si>
    <t>It speaks about IE within two taks: NER and RE. It seems to be speaking about triplet extraction.</t>
  </si>
  <si>
    <t xml:space="preserve">Self-training again but this time it seems to be making rare kind of data agumentation with LLMs before self-training. </t>
  </si>
  <si>
    <t>Out of scope due to it speaks about relation classification.</t>
  </si>
  <si>
    <t xml:space="preserve">KGC. It focus explicity on triplet extraction for contructing a KG within a joint model. Uses PLMs and DSRE to make data augmentation. It is more focused on NER. </t>
  </si>
  <si>
    <t xml:space="preserve">KGCompletion. If focuses on IE with three tasks: NER, RE and attribute extraction. Use DSRE. </t>
  </si>
  <si>
    <t>The task and approaches are not aligned with the secope of the paper. (Quick look of the abstract)</t>
  </si>
  <si>
    <t>Semantic similarity full based. Dynamic domains and how to adaptate the same model to each one.</t>
  </si>
  <si>
    <t xml:space="preserve">Domain adaptation and might be semantic similarity. Prompt based techniques were used. </t>
  </si>
  <si>
    <t xml:space="preserve">Offers a system to make data augmentation by LLMs for RE. It focuses on triplet extraction. </t>
  </si>
  <si>
    <t>Multilingual approach with LLMs to extract information. Agents.</t>
  </si>
  <si>
    <t>KGC. It speaks about UIE in terms of entities and relations. Also, mentions quatuples and quintuples, is said n-ary relations.</t>
  </si>
  <si>
    <t>Only focus on extracting entities. It is centered on biomedical domain.</t>
  </si>
  <si>
    <t>Use LLMs and traditional RE methods as a combinated one. It is suposes to inject the prior knowledge of LLM to the RE system, but might be they put it inverse</t>
  </si>
  <si>
    <t>Althought it speaks about UIE, it makes it under classification point of view for RE.</t>
  </si>
  <si>
    <t xml:space="preserve">Use of LLMs to data augmentation integrating external resources DSRE and a dependency parser. </t>
  </si>
  <si>
    <t>Transformers to extracting triplets constraining the decoding process.</t>
  </si>
  <si>
    <t xml:space="preserve">Relation clustering to perform coreference resolution applied to entities. </t>
  </si>
  <si>
    <t>Multilingual prompt learning for transformers and language adaptation for RE.</t>
  </si>
  <si>
    <t>Combination of rules inferred by external bases DSRE. It is formulates as a RClassification</t>
  </si>
  <si>
    <t xml:space="preserve">Even relation extraction is out of the scope of this paper. </t>
  </si>
  <si>
    <t>Prompt engineering. It tries to give context and formulate RE like fact check, moreless.</t>
  </si>
  <si>
    <t>Ontology guided RE by visual models. Multimodal models are out of the scope of this paper. It defines RE as a classification task.</t>
  </si>
  <si>
    <t xml:space="preserve">Knowledge graph completion. It defines RE as triplet extraction. It tries to represent better relations. </t>
  </si>
  <si>
    <t>Relation clustering to perform prototyping through semantics</t>
  </si>
  <si>
    <t>It is focused on biomedical domain. It talks about improve relation classsification by a Bag-of-concepts and context.</t>
  </si>
  <si>
    <t xml:space="preserve">KGC. It first extracts entitites then classify the relations. </t>
  </si>
  <si>
    <t>Causal RE. It treats RE as a classification task. Semantic similarity.</t>
  </si>
  <si>
    <t>Error calibration and semantic relation extraction. Semantic similarity(-?)</t>
  </si>
  <si>
    <t>Relation triplet extraction in low resources, totally aligned with the scope.</t>
  </si>
  <si>
    <t>Multimodal approaches are out of the scope of this paper.</t>
  </si>
  <si>
    <t>Multimodal approaches are out of the scope of this paper. Differenciates between NER and RE.</t>
  </si>
  <si>
    <t>It is focused only in NER.</t>
  </si>
  <si>
    <t>Contrastive learning using a template. It treats RE as a classification task.</t>
  </si>
  <si>
    <t xml:space="preserve">Concept map generation. Seems author are talking about triplet extraction for relations that are systematic bewteen two entitites. </t>
  </si>
  <si>
    <t>It treats relation extractions as a classification task. Multilingual. Uses a tree-dependency of the context.</t>
  </si>
  <si>
    <t>Sentiment event relation extraction which is out of the scope. It is applied in the financial domain.</t>
  </si>
  <si>
    <t xml:space="preserve">Survey on RE. It exposes Triplet extaction also. </t>
  </si>
  <si>
    <t xml:space="preserve">Dependency parse trees and semantic similarity. </t>
  </si>
  <si>
    <t>Seems to not to be neither near from the task.</t>
  </si>
  <si>
    <t xml:space="preserve">Biomedical RE. It focuses on shortest dependency paths. </t>
  </si>
  <si>
    <t xml:space="preserve">It is a survey focusing on grammar checking, what means dependency parser and POS. Also focuses on RE. </t>
  </si>
  <si>
    <t>NER and RE separately, at the beginning. Multilingual approach and pass from one language (input) to other (output)</t>
  </si>
  <si>
    <t>DSRE for tibetan laguange using attention and ELMO model. Treat RE as a classification taks.</t>
  </si>
  <si>
    <t>Semantic similarity and enahncing representations for better extract drug-drug interactions. Biomedical domain.</t>
  </si>
  <si>
    <t>Enahncing entity representations for classifiying relations given more information before training whithin a supervised learning form</t>
  </si>
  <si>
    <t xml:space="preserve">RE given an ontology. They want to propose an universal way to extract both, but it is not clear if they treat RE as a classification task or not. </t>
  </si>
  <si>
    <t>Event Causal RE is out of the scope</t>
  </si>
  <si>
    <t xml:space="preserve">Prompt engineering to extract directly triplets from texts. </t>
  </si>
  <si>
    <t>Use of GNNs. Either title either abstract exhibits alignment with the paper's scope; generative approaches. Biomedical domain with wet labs protocol.</t>
  </si>
  <si>
    <t>Relation classification out of the scope</t>
  </si>
  <si>
    <t>Exploiting semantic representations to verbalization through KG representation models</t>
  </si>
  <si>
    <t xml:space="preserve">POS for extracting patters to perform RE. It is focused on Persian language. </t>
  </si>
  <si>
    <t>Event relation extraction is out of the paper's scope</t>
  </si>
  <si>
    <t>Althought it speaks abput two tasks (NER and RE) it talks about extracting triplets. Biomedical domain focused on chinese within EHRs</t>
  </si>
  <si>
    <t>Do not know if when they say relation pair and event pair, they mean the same. Prototyping</t>
  </si>
  <si>
    <t xml:space="preserve">It uses Knowledge Graph ATTention (KGATT) which is not a generative method. By other side, long-tail distributions are outside. </t>
  </si>
  <si>
    <t>Focuses on business domain. Also, it is focused on more general terms as is IE. Data augmentation for IE.</t>
  </si>
  <si>
    <t>Multi-Granularity Contrastive Learning for Distantly Supervised Relation Extraction (MGCL) to enahnce the representations of rare data.</t>
  </si>
  <si>
    <t xml:space="preserve">Entity linking is out of the scope. It is focused on hindonesian language.  </t>
  </si>
  <si>
    <t>It is focused only in NER. Experiments were performed in Malasyan english.</t>
  </si>
  <si>
    <t xml:space="preserve">Co-training and protoyping for few-shot RE. </t>
  </si>
  <si>
    <t>Paid access</t>
  </si>
  <si>
    <t>downloaded</t>
  </si>
  <si>
    <t>Appropiate name of the task, because authors discern between Relation extraction and relation classification. It proposes a method for transfer learning with multilingual datasets. Special focus on indian. It leverages the use of mBERT</t>
  </si>
  <si>
    <t>Aspect sentiment triplet extraction.  (!)</t>
  </si>
  <si>
    <t>Rejected</t>
  </si>
  <si>
    <t>Accepted</t>
  </si>
  <si>
    <t>Doubt</t>
  </si>
  <si>
    <t xml:space="preserve">It talks about data augmentantion form text with no external resources and LLMs. The key here is the validation. Althought it, it talks about Causal event RE. </t>
  </si>
  <si>
    <t>Use of patters and speaks about triplets directly in abstract. Depiste this fact, it treats re as a classification task.</t>
  </si>
  <si>
    <t xml:space="preserve">Ontology guided RE using transformer models. Focused on biomedical domain. </t>
  </si>
  <si>
    <t>llms</t>
  </si>
  <si>
    <t>data augmentation</t>
  </si>
  <si>
    <t>low resource</t>
  </si>
  <si>
    <t>prompt</t>
  </si>
  <si>
    <t>ontology</t>
  </si>
  <si>
    <t>uie</t>
  </si>
  <si>
    <t>triple</t>
  </si>
  <si>
    <t>done</t>
  </si>
  <si>
    <t>choosen_state</t>
  </si>
  <si>
    <t>i didnt have to read it</t>
  </si>
  <si>
    <t>Uses transformers with reinforcement learning to extract triplets. Transformers with reinforcement learning to perform RE. Speaks about KGC.It defines RE as a classification task.</t>
  </si>
  <si>
    <t>General count</t>
  </si>
  <si>
    <t>By Selection</t>
  </si>
  <si>
    <t>Accepted counts</t>
  </si>
  <si>
    <t>Ontology learning by transformer models in an unified framework based on trasnformers. But seems to separate re from ner.</t>
  </si>
  <si>
    <t xml:space="preserve">Data augmentation through co-training. Thwo components and they are perfomr at the same time as annotator and validator </t>
  </si>
  <si>
    <t xml:space="preserve">Reformulates RE as data augmentation for doing zeroshot RE with other model. They unify prompts to structure text and contrain the generation of PLMs (LLMs).  </t>
  </si>
  <si>
    <t>It focus on UIE discerning between classification and generation tasks. Biomedical domain. Trasnformer based methods.</t>
  </si>
  <si>
    <t>It offers a full benchmark for Relation Extraction in low resource scenarios. Good general schema. Long tail distributions are outside.</t>
  </si>
  <si>
    <t xml:space="preserve">Promptuning models by global and locas KGs (DSRE) through prompts with zero shot setting. </t>
  </si>
  <si>
    <t xml:space="preserve">Data augmentation for RE within diffusion models. Objective is to train prototypical models with enhanced features. It introduces attention mechanisms also. </t>
  </si>
  <si>
    <t xml:space="preserve">It goes beyond data augmentation with rules made by PLMs. Guidance of PLM to reasoning and then summarise this reasoning into rules. </t>
  </si>
  <si>
    <t>Data augmentation with LLMs and protrotyping networks to agroup data. Data augmentation for LLMs and protrotyping networks afterwards</t>
  </si>
  <si>
    <t>General</t>
  </si>
  <si>
    <t xml:space="preserve">Adapting fine-tuning for UIE; a method for selecting the best parameters depending of concret task. PEFT and transfer learning. </t>
  </si>
  <si>
    <t xml:space="preserve">It speaks more about semantic similarity for solving long-tail distribution problem through label-aware (context-re label) and label-agnostic (n context to represent same relations). </t>
  </si>
  <si>
    <t>Cognitvie task analysis. It is a type of information extraction to represent human knowledge from experts. It is out of the paper' scope.</t>
  </si>
  <si>
    <t>The name makes me doubt. IT could talk about semantic similarity. Althought it talks about self-training and self-ensembling.</t>
  </si>
  <si>
    <t xml:space="preserve">Semantic similarity through DSRE (databook store). Improving entitty and relation representations but it is for solving long-tail distribution problem. </t>
  </si>
  <si>
    <t xml:space="preserve">Contrastive learning with descriptions and instructions to represent relations better.Prompt learning, relation clustering, contrastive learning to solve long-tail distribution problem. </t>
  </si>
  <si>
    <t xml:space="preserve">Semantic similarity. It makes RE for low resources with LLMs and DSRE to improve representations of noisy and incorrect data. </t>
  </si>
  <si>
    <t xml:space="preserve">This paper uses reinforcement learning to imitate gradient descent behaviour. Also, seems to make data augmentation from text. Guide the self-trainign through dsre labels and then reinforcement learning over all process. </t>
  </si>
  <si>
    <t xml:space="preserve">Contrastive (Adversarial) learning to improve RE. Out of scope due to it relies on probabilistic methods (ML). Despite this fact, it is interesting how they analyze if model learns either from entitites either from context. </t>
  </si>
  <si>
    <t xml:space="preserve">Contrastive  learning through prompts tuning to perform dialogue RE. As dialogue RE is considered in because it is unstructured text. </t>
  </si>
  <si>
    <t xml:space="preserve">Fully talks about meta learning and how to handle such representations. DS with external graph and model for embeddings. Extract all possible triplets given entitity correlations. </t>
  </si>
  <si>
    <t xml:space="preserve">Full prompt based. It could be talking about semantic similarity. It wnat to use MLMs with discriminative prompts that leverages label information. </t>
  </si>
  <si>
    <t>Contrastive Prompt Learning to perform RE learning the new relation instances without forgetting old ones.</t>
  </si>
  <si>
    <t xml:space="preserve">It speaks about IE. Verbalization after creating triplets with LLMs. It talks about events and it reformulates from structures to text. </t>
  </si>
  <si>
    <t xml:space="preserve">Data augmentation through rules. DSRE with wordnet. Enhancing with commonsense knowledge. </t>
  </si>
  <si>
    <t>Data annotation to perform multitask learning. An universal way to train all by once. 4 phase pipleine including: entity mention detection, entity linking, co-reference resolution, and relation extraction.</t>
  </si>
  <si>
    <t>Data annotation within guided distant supervision to create a large biographical relationship extraction dataset for German.</t>
  </si>
  <si>
    <t>NLU with PLMs for entity and relations. NLU is out of the scope of this paper. Although they want the PLMs better understand each entitty through theire relations and undertand the relations through reasoning pattens.</t>
  </si>
  <si>
    <t>Ordenar por choosen</t>
  </si>
  <si>
    <t>Prompt-based training of transformer language models for new text genres. It is based on question answering for object prediction. Question Answerign reformulated as relation extraction task.</t>
  </si>
  <si>
    <t xml:space="preserve">Do not know what are key figures, it it referes to images or key parts of the text. It uses transformers applied in legal domain to perform information extraction. It focus on triplet extraction. Key figures are like entities. </t>
  </si>
  <si>
    <t>Relation triple extraction for multilingual approaches. Introcues two elements; language aggregator and laguange switcher. RE as classifiaction task</t>
  </si>
  <si>
    <t xml:space="preserve">It speaks more about semantic similarity. Contextualization of low resources re. Metric learning (meta-learning) and reinforcement learning iterative process.  </t>
  </si>
  <si>
    <t xml:space="preserve">It is based on biomedical domain. Two problems, data scarcity and coverage. It refers more like long-tail case. Despite this fackt it refourmulates RE asn NLI task. </t>
  </si>
  <si>
    <t xml:space="preserve">It speaks more about semantic similarity. In this case, it adds prototyping with prompt learning and contrastive learning with entity information. </t>
  </si>
  <si>
    <t xml:space="preserve">Data augmentation for KGC. It tries to use relation-aware gradient denoising for desingning prompts properly. Triplet extraction. Promts and prototyping. </t>
  </si>
  <si>
    <t xml:space="preserve">Semantic similarity applied for concepts to enhance RE. Prototypical networks, dsre to provide concept descptions and training whit self-training. </t>
  </si>
  <si>
    <t>This one talks about self-training again. Makes first a classification of ambiguous instances into reliable and not reliable, simply. It seems more about data annotation and not delve into model or approach.</t>
  </si>
  <si>
    <t>DS for annotating with local and global KGs. Cosntructing global relations graphs to discern betwwen different relations and local subgraphs to discern between similar relations.</t>
  </si>
  <si>
    <t>Reformulates RE with coreferences to refer the same entity in document level re.</t>
  </si>
  <si>
    <t xml:space="preserve">It speaks about semantic similarity between relation representations (instances) and context (descriptions). By other hand, use PLMs to do that. Full based on prompting. Zs re. </t>
  </si>
  <si>
    <t xml:space="preserve">Contrastive learning with PLMs. Pretraining entity pair embedding. Self-supervised training. By othe side, could be talking about semantic similarity. </t>
  </si>
  <si>
    <t xml:space="preserve">Focused on Cathode materials. NER and RE as modules. Much more details about cathode materials than the pipeline for extracting anc creating such corpus. </t>
  </si>
  <si>
    <t xml:space="preserve">Q/A is out of the paper's scope.But they reformulate re as a qa problem. Thye use distan supervision. </t>
  </si>
  <si>
    <t xml:space="preserve">Sematinc similarity. DL methods, neither PLMs. It is in tibetan and uses BiLSTM, Cnn, attention and a decoder. For extracting tiplets; each layer focuses on some issues. </t>
  </si>
  <si>
    <t xml:space="preserve">It is focused on physics. It propose a specific pipeline and arguee that can be used for RE improvement. Although it uses logic programming to extract and represents semantics. </t>
  </si>
  <si>
    <t xml:space="preserve">Meta-learning. Also, segment demand prediction. Based on patterns. </t>
  </si>
  <si>
    <t xml:space="preserve">Semantic similarity full based. Prompt within entity and relation semantic representations injected. </t>
  </si>
  <si>
    <t xml:space="preserve">It speaks about improving representations of entities as individuals as a whole with different loss for entity representation, entity pair representation, and relation classification modules. </t>
  </si>
  <si>
    <t xml:space="preserve">Data augmentation for business RE. It is not clear it they handle RE as a classification task or tripelt extraction. Re as a classification taks. Also, focuses on long-tail distributions. </t>
  </si>
  <si>
    <t xml:space="preserve">It speaks about semantic similarity and how to improve embeddings (representations). It uses a joint model with dsre and manual annotations under logic constaints. </t>
  </si>
  <si>
    <t>Meta-learning. Also, is focused on online health forums. Thesis proposal.</t>
  </si>
  <si>
    <t xml:space="preserve">This one wants to use PLMs to better represent relations throught prompt engineering. Decompositiond of re into multiple vector to catch all possibilities given different contexts. Fill mask, fill label. </t>
  </si>
  <si>
    <t xml:space="preserve">KGC and meta-learning. It focus explicity on triplet extraction for contructing a KG within a joint model. Uses PLMs to make data augmentation. RE as a classification task. </t>
  </si>
  <si>
    <t>inferencia</t>
  </si>
  <si>
    <t>input</t>
  </si>
  <si>
    <t>output</t>
  </si>
  <si>
    <t>entrenamiento</t>
  </si>
  <si>
    <t>tipo de problema</t>
  </si>
  <si>
    <t>No diagramas sino tablas para los trabajos</t>
  </si>
  <si>
    <t>Diagrama para representar las tecnicas que hay</t>
  </si>
  <si>
    <t>metodo (modelo)</t>
  </si>
  <si>
    <t>Overview</t>
  </si>
  <si>
    <t>Fortalezas y limitaciones</t>
  </si>
  <si>
    <t>Paper ID</t>
  </si>
  <si>
    <t>Title</t>
  </si>
  <si>
    <t>Authors</t>
  </si>
  <si>
    <t>Year</t>
  </si>
  <si>
    <t>Venue</t>
  </si>
  <si>
    <t>Query</t>
  </si>
  <si>
    <t>Description</t>
  </si>
  <si>
    <t>(RQ1) Differences in approaches/models</t>
  </si>
  <si>
    <t>(RQ1) Evaluation methods</t>
  </si>
  <si>
    <t>(RQ3) Challenges addressed</t>
  </si>
  <si>
    <t>(RQ4) Low-resource definition</t>
  </si>
  <si>
    <t>(RQ6) Benchmarks/datasets used</t>
  </si>
  <si>
    <t>Inference Input</t>
  </si>
  <si>
    <t>Inference Output</t>
  </si>
  <si>
    <t>Training Input</t>
  </si>
  <si>
    <t>bai</t>
  </si>
  <si>
    <t>Solution name</t>
  </si>
  <si>
    <t>ClearRE</t>
  </si>
  <si>
    <t>Solution base</t>
  </si>
  <si>
    <t>Task (Relation extraction or Triplet extraction)</t>
  </si>
  <si>
    <t>Low-resource approach used (prompt-tuning/ meta-learning/ transfer learning/ distant supervision/ data agumentation...)</t>
  </si>
  <si>
    <t>CrossRE, FewRel 1.0, FewRel 2.0</t>
  </si>
  <si>
    <t>Relation extraction/ Triplet extraction definition</t>
  </si>
  <si>
    <t>Baselines compared</t>
  </si>
  <si>
    <t xml:space="preserve">Proposes relation-aware prompt learning (label + context prompts) to decompose relations. Uses two pre-training tasks: prompt MLM (masked language modeling on prompts) and relation contrastive discrimination (with hard negative samples). Addresses cross-domain confusion via semantic and feature filters to identify similar relations.
</t>
  </si>
  <si>
    <t>Identify the relations between given entities in a sentence</t>
  </si>
  <si>
    <t>Cross-domain confusion (distinguishing similar relations in new domains). Limited labeled data in target domain.</t>
  </si>
  <si>
    <t>Few-shot learning in cross-domain scenarios (e.g., 1–5 labeled examples per relation in the target domain).</t>
  </si>
  <si>
    <t>Concatenated sequence: L [SEP] original sentence [SEP] context prompt [SEP] label prompt. Context prompt: Sentence with entities replaced by [BLANK]. Label prompt: "relation is not [similar_relations] or [non-similar_relation]."</t>
  </si>
  <si>
    <t>Predicted relation label (closest class prototype in embedding space).</t>
  </si>
  <si>
    <t xml:space="preserve"> Support instances with labels, prompts, and entity markers. Uses cross-entropy loss and prototype learning.</t>
  </si>
  <si>
    <t>A prompt-based framework for cross-domain few-shot RE that reduces confusion between similar relations via relation-aware prompts and contrastive pre-training. Achieves SOTA on CrossRE and FewRel.</t>
  </si>
  <si>
    <t>Proto-BERT, BERT-PAIR, LPD, HCRP, IDA, CP</t>
  </si>
  <si>
    <t>Masked language model (MLM): BERT-base</t>
  </si>
  <si>
    <t>chen2</t>
  </si>
  <si>
    <t>KnowPrompt</t>
  </si>
  <si>
    <t>Introduces learnable virtual answer/type words to inject semantic and prior knowledge into prompts. Uses synergistic optimization with structured constraints (entity-relation interactions). Addresses manual prompt engineering by dynamically adjusting prompts via knowledge injection. Supports single-token answer form for model-agnostic compatibility (vs. PTR’s multi-token rules).</t>
  </si>
  <si>
    <t>Extract structured knowledge by identifying relations between two given entities in text.</t>
  </si>
  <si>
    <t>Manual prompt engineering for RE. Leveraging semantic/structural knowledge among relations. Low-resource adaptation (few-shot and multi-label scenarios).</t>
  </si>
  <si>
    <t>Few-shot learning with 8, 16, or 32 labeled examples per relation class.</t>
  </si>
  <si>
    <t>SemEval 2010 Task 8, DialogRE, TACRED, TACRED-Revisit, Re-TACRED.</t>
  </si>
  <si>
    <t>RoBERTa-large (RoBERTa-base for DialogRE).</t>
  </si>
  <si>
    <t>Template: [sub]Entity1[sub] [MASK] [obj]Entity2[obj] with virtual type words. Original sentence + entity markers + [MASK] token.</t>
  </si>
  <si>
    <t>Predicted relation label via closest virtual answer word embedding to [MASK].</t>
  </si>
  <si>
    <t>Support instances with entity markers, virtual type/answer words. Loss: Cross-entropy + structured constraints (entity-relation interactions).</t>
  </si>
  <si>
    <t>A knowledge-aware prompt-tuning framework for RE that injects semantic/prior knowledge into learnable virtual words, optimizes them with context and structured constraints, and achieves SOTA in low-resource settings. Outperforms PTR and fine-tuning baselines by up to 22.4% F1 in 8-shot scenarios.</t>
  </si>
  <si>
    <t>chen</t>
  </si>
  <si>
    <t>Fine-tuning: solution base,  GDPNet, PTR, SpanBERT, KnowBERT, LUKE, MTB, Dual. Prompt-tuning: PTR-roBERTa, KnowPrompt-roBERTa</t>
  </si>
  <si>
    <t>DiffFSRE</t>
  </si>
  <si>
    <t>Micro F1 scores in standard (full data) and low-resource (8/16/32-shot) settings following LM-BFF to measure the average performance across five different randomly sampled data based on every experiment using a fixed set of seeds. Ablation studies on virtual words and structured constraints.</t>
  </si>
  <si>
    <t>Accuracy (%) in 5-way/10-way 1-shot/5-shot settings. Ablation studies and LLM comparisons (ChatGPT).</t>
  </si>
  <si>
    <t>Integrates a conditional relation generation diffusion model for data augmentation.Proposes a pseudo-sample-enhanced prototypical network to refine class prototypes. Introduces a pseudo-sample-aware attention mechanism to distinguish real vs. generated samples.Combines diffusion models with meta-learning (prototypical networks) for few-shot learning.</t>
  </si>
  <si>
    <t>Discerning the semantic relationships between the head and tail entities within contexts.</t>
  </si>
  <si>
    <t>Accuracy (%) under N-way-K-shot settings (e.g., 5-way-1-shot, 10-way-5-shot).</t>
  </si>
  <si>
    <t>Overfitting in prototypical networks due to limited training data. Noise in pseudo-samples generated by diffusion models. Generalization to unseen relation classes in low-resource scenarios.</t>
  </si>
  <si>
    <t>FewRel 1.0, FewRel 2.0.</t>
  </si>
  <si>
    <t>Prototypical network + BERT encoding.</t>
  </si>
  <si>
    <t>Sentences with marked entities ([E1], [E2]). Relation descriptions and pseudo-samples generated by the diffusion model.</t>
  </si>
  <si>
    <t>Predicted relation label based on proximity to class prototypes in embedding space.</t>
  </si>
  <si>
    <t>Support set instances (real + pseudo-samples) and query set. Episodic training with N-way-K-shot configuration. Loss: Cross-entropy with pseudo-sample-aware attention.</t>
  </si>
  <si>
    <t>A framework combining diffusion models and prototypical networks for few-shot RE. Generates pseudo-samples via a conditional diffusion model to alleviate overfitting, enhances prototypes with an attention mechanism, and achieves SOTA on FewRel datasets. Outperforms baselines by up to ~10% accuracy in 1-shot settings.</t>
  </si>
  <si>
    <t>chen3</t>
  </si>
  <si>
    <t>PTCAS</t>
  </si>
  <si>
    <t>Proposes continuous answer search in a gradient-optimized embedding space, unlike discrete verbalization in prior works. Integrates TransH-based structured knowledge constraints to model entity-type relations. Uses prototype initialization for relation/entity-type embeddings to capture semantic priors.</t>
  </si>
  <si>
    <t>Detects semantic relationships (e.g., org-founded-by) between two given entities in a sentence.</t>
  </si>
  <si>
    <t>Relation Extraction</t>
  </si>
  <si>
    <t>Micro F1 scores under fully supervised and low-resource (K=8, 16, 32 instances per relation) settings.</t>
  </si>
  <si>
    <t>Suboptimal performance from discrete answer spaces in complex tasks like RE. Labor-intensive manual answer engineering for relation labels. Incorporating structured entity-type knowledge into prompt-tuning frameworks.</t>
  </si>
  <si>
    <t>Few-shot learning with K=8, 16, 32 annotated instances per relation.</t>
  </si>
  <si>
    <t>Prompt-tuning with continuous answer search and TransH constraints.</t>
  </si>
  <si>
    <t>TACRED, TACREV, ReTACRED, SemEval 2010 Task 8.</t>
  </si>
  <si>
    <t>RoBERTa-Large.</t>
  </si>
  <si>
    <t>Fine-tuning: RoBERTa, GDPNet, TYP Marker, NLI, KNOWBERT, SpanBERT, LUKE. Prompt-tuning: PTR, KnowPrompt, FPC, GenPT.</t>
  </si>
  <si>
    <t>Sentences with entity mentions, converted into cloze-style templates with [MASK] tokens for entity types ([T]) and relations ([R]).</t>
  </si>
  <si>
    <t>Predicted relation label based on joint scores from entity-type and relation embeddings.</t>
  </si>
  <si>
    <t>Annotated sentences with entity mentions, relation labels, and entity types. Uses prototype words (e.g., "born" for per:city_of_birth) to initialize embeddings.</t>
  </si>
  <si>
    <t>PTCAS optimizes continuous answer embeddings via gradient descent, avoiding manual verbalization. Integrates TransH constraints to model entity-type hyperplanes, improving structured knowledge utilization. Achieves competitive performance in low-resource settings by leveraging prototype initialization and joint optimization.</t>
  </si>
  <si>
    <t>chia</t>
  </si>
  <si>
    <t>RelationPrompt</t>
  </si>
  <si>
    <t>Extracting structured triplets of the form (head entity, tail entity, relation label) from sentences, even for unseen relation labels during training.</t>
  </si>
  <si>
    <t>Triplet Extraction (Zero-Shot Relation Triplet Extraction)</t>
  </si>
  <si>
    <t>Micro F1, precision, and recall for multi-triplet sentences. Accuracy for single-triplet sentences. Evaluated under varying numbers of unseen relations (m=5, 10, 15) on FewRel and Wiki-ZSL datasets.</t>
  </si>
  <si>
    <t xml:space="preserve">Data scarcity for unseen relations in zero-shot settings. Generating high-quality synthetic data to train models for unseen relations. Extracting multiple triplets from a single sentence despite training on single-triplet synthetic data.
</t>
  </si>
  <si>
    <t>Zero-shot learning with no annotated training samples for target (unseen) relation labels.</t>
  </si>
  <si>
    <t xml:space="preserve">FewRel, Wiki-ZSL (reorganized for zero-shot evaluation).
</t>
  </si>
  <si>
    <t>GPT-2 (124M parameters) as the relation generator. BART (140M parameters) as the relation extractor.</t>
  </si>
  <si>
    <t>ZeroRTE: TableSequence, NoGen. ZeroRC: R-BERT, CIM, ZS-BERT.</t>
  </si>
  <si>
    <t>Raw sentences (no pre-specified entities or relations).</t>
  </si>
  <si>
    <t>Extracted triplets (head entity, tail entity, relation label), including for unseen relations.</t>
  </si>
  <si>
    <t>Synthetic data generated by RelationPrompt using relation labels as prompts. Fine-tuning on seen relations before training on synthetic data.</t>
  </si>
  <si>
    <t>Generates synthetic training data by prompting LLMs (e.g., GPT-2) to produce structured texts containing relation triplets. Uses Triplet Search Decoding to decode multiple candidate triplets per sentence, ranking them via likelihood thresholds. Achieves state-of-the-art performance on ZeroRTE and ZeroRC without manual templates, outperforming methods like ZS-BERT and TableSequence. Demonstrates scalability to larger unseen relation sets and robustness in low-resource scenarios.</t>
  </si>
  <si>
    <t>souza_508</t>
  </si>
  <si>
    <t>gao</t>
  </si>
  <si>
    <t>CEE (Contrastive Entity Enhancement)</t>
  </si>
  <si>
    <t>Combines entity role information and contextual features via BERT (wwm), unlike R-BERT or EC-BERT. Introduces intra-sample and inter-sample contrastive learning to distinguish fine-grained relations. Uses Entity Pair Calibration (EPC) to filter irrelevant entity pairs and reduce noise.</t>
  </si>
  <si>
    <t>Extracting fine-grained relations (e.g., drug interactions) between entity pairs in drug instructions.</t>
  </si>
  <si>
    <t>Precision, Recall, F1 scores on custom drug dataset, NYT, and WebNLG. Evaluated under low-resource settings (50–300 samples per relation).</t>
  </si>
  <si>
    <t>Limited annotated data in pharmaceutical domain. Fine-grained relation distinction (e.g., "prohibited use" vs. "not recommended"). Entity role ambiguity (entities with same type but different roles).</t>
  </si>
  <si>
    <t>Data augmentation (dropout, sentence feature modification) + contrastive learning (intra-/inter-sample).</t>
  </si>
  <si>
    <t>Custom drug instruction dataset (5,017 samples, 10 relations). Public datasets: NYT, WebNLG.</t>
  </si>
  <si>
    <t>Traditional models: RNN. BERT variants: R-BERT, EC-BERT, SimCSE, SCL, CSCL. Joint extraction models: CasRel, PRGC, OneRel.</t>
  </si>
  <si>
    <t>Sentences from drug instructions with annotated entity pairs.</t>
  </si>
  <si>
    <t>Predicted relation labels (e.g., "should not be used together").</t>
  </si>
  <si>
    <t>Manually labeled drug instruction sentences with entity pairs and relations. Augmented samples via dropout, entity position changes, and sentence length adjustments.</t>
  </si>
  <si>
    <t>CEE enhances entity representations by embedding role and context information into BERT (wwm). Uses contrastive learning to differentiate fine-grained relations and improve generalization in low-resource settings. Achieves 7.13% higher F1 than vanilla BERT (wwm) and outperforms SOTA models (e.g., R-BERT, SimCSE) on drug datasets. Demonstrates robustness on general-domain datasets (NYT, WebNLG) in few-shot scenarios.</t>
  </si>
  <si>
    <t>guo</t>
  </si>
  <si>
    <t>KBPT (Knowledge-Based Prompt Tuning)</t>
  </si>
  <si>
    <t>Zero-shot relation triplet extraction aims to extract multiple triplets (head entity, tail entity, relation label) from sentences where the relation labels are unseen during training.</t>
  </si>
  <si>
    <t>Triplet extraction</t>
  </si>
  <si>
    <t>Micro F1 score, precision (Prec.), recall (Rec.), and accuracy (Acc.) for single and multiple triplet extraction. Area under the PR curve (AUC) for overall performance.</t>
  </si>
  <si>
    <t>Data scarcity in zero-shot settings. Semantic incompleteness in relation labels. Noise in external knowledge bases. Extracting multiple triplets from a single sentence.</t>
  </si>
  <si>
    <t>Zero-shot setting where no annotated samples are available for unseen relations.</t>
  </si>
  <si>
    <t>FewRel, Wiki-ZSL, NYT, TACRED-Revisit.</t>
  </si>
  <si>
    <t>BERT (BERT-base and BERT-large).</t>
  </si>
  <si>
    <t xml:space="preserve">RelationPrompt, NoSyn, TableSequence, DEEPEX, REDN, ZSLRE, AdaPrompt-tuning.
</t>
  </si>
  <si>
    <t>Multiple relation triplets (head entity, tail entity, relation label).</t>
  </si>
  <si>
    <t>Synthetic training samples generated using relation labels and ontology knowledge. Seen relation instances from the training set.</t>
  </si>
  <si>
    <t xml:space="preserve">KBPT leverages external ontology knowledge and relation labels to create structured prompt templates for generating synthetic training samples. It uses a collective training method to optimize embeddings and employs MTD to extract multiple triplets from sentences. The approach is model-agnostic and achieves state-of-the-art performance in zero-shot settings.
</t>
  </si>
  <si>
    <t>halike</t>
  </si>
  <si>
    <t>Zero-Shot-Prompt-RE for Uyghur</t>
  </si>
  <si>
    <t xml:space="preserve">Extends relation triple extraction to a zero-shot setting specifically for Uyghur. Uses structured relation prompts to generate synthetic training examples from unlabeled data. Combines two key modules—a relation generator and a relation detector—to first synthesize and then extract triplets. Incorporates Uyghur-specific morphological processing by separating entities from their suffixes. Employs a triplet search decoding mechanism to handle multiple triplets per sentence.
</t>
  </si>
  <si>
    <t>Extraction of structured triplets (subject, relation type, object) from Uyghur sentences without relying on annotated training samples.</t>
  </si>
  <si>
    <t>Triplet Extraction (Zero-Shot Relation Triple Extraction)</t>
  </si>
  <si>
    <t>Evaluated using metrics such as Accuracy, Precision, Recall, and F1 score (micro F1 for multi-triplet extraction). Experiments are conducted with different unseen relation set sizes (e.g., m = 5 and m = 10).</t>
  </si>
  <si>
    <t>Data scarcity in low-resource languages like Uyghur, where annotated examples are few. Morphological complexity due to affixation in Uyghur, which requires specialized processing to separate entity stems from suffixes. The difficulty of extracting complete relation triplets in a zero-shot setting for unseen relation types. Generating high-quality synthetic data to effectively train the model in the absence of large annotated datasets.</t>
  </si>
  <si>
    <t xml:space="preserve">A scenario with extremely limited annotated data for relation extraction in Uyghur.
</t>
  </si>
  <si>
    <t>UyRE-ZSP: a Uyghur relation extraction dataset comprising 23,652 samples, 20,742 entities, and 24 relation classes.</t>
  </si>
  <si>
    <t>Built on a pre-trained multilingual BERT (mBERT) fine-tuned for Uyghur, integrated with a relation generator (gU) and a relation detector (eU).</t>
  </si>
  <si>
    <t xml:space="preserve">Compared against methods such as Table Sequence, NoGen, Relation Prompt, and Zero-Shot-RTE for Uyghur.
</t>
  </si>
  <si>
    <t>Raw Uyghur sentences formatted with a structured prompt template (e.g., “Context: [sentence] — subject: [ ], object: [ ], Relation:”).</t>
  </si>
  <si>
    <t>Extracted Uyghur relation triplets (subject, relation type, object) with proper handling of morphological affixes.</t>
  </si>
  <si>
    <t>Synthetic training data generated by the relation generator using structured prompts, along with preprocessed Uyghur data (with entity-suffix separation) forming the labeled seen dataset (D_new_s).</t>
  </si>
  <si>
    <t>A novel zero-shot relation triple extraction method for Uyghur that leverages prompt-based synthetic data generation. Addresses the challenges of low-resource relation extraction by handling Uyghur’s complex morphology and limited training data. Utilizes a two-module architecture where a relation generator creates synthetic examples and a relation detector extracts triplets using triplet search decoding. Achieves competitive performance with a maximum weighted average F1 score of 47.39%, demonstrating scalability to unseen relation types.</t>
  </si>
  <si>
    <t>han</t>
  </si>
  <si>
    <t>Model</t>
  </si>
  <si>
    <t>DeepSeek</t>
  </si>
  <si>
    <t>ChatGPT</t>
  </si>
  <si>
    <t>LoRE</t>
  </si>
  <si>
    <t>Integrates distant supervision with large language models to enable zero-shot relation extraction in low-resource settings. Leverages LLM-driven OpenIE to synthesize synthetic training examples from unlabeled data, mitigating data sparsity. Incorporates heuristic entity alignment (using Levenshtein distance) and heuristic relationship alignment (using BERT-based semantic similarity) to reduce noise from distant supervision. Enhances semantic disambiguation through integration with a lexical resource (TongYiCi CiLin) to improve the quality of extracted triples.</t>
  </si>
  <si>
    <t>Extraction of structured relation triplets—comprising a subject, relation, and object—from unstructured text in a zero-shot manner.</t>
  </si>
  <si>
    <t>Low-resource scenarios where there is an extreme scarcity of high-quality, manually annotated relation extraction data.</t>
  </si>
  <si>
    <t>Compared against models such as Bert-base-chinese, mREBEL, GPT-2, OneRel, and casRel.</t>
  </si>
  <si>
    <t xml:space="preserve">Extracted relation triplets (subject, relation, object) with correct morphological handling and noise filtering.
</t>
  </si>
  <si>
    <t>haoran</t>
  </si>
  <si>
    <t>CFSRE model (LLM-based Chinese Few-Shot Relation Extraction)</t>
  </si>
  <si>
    <t>Integrates a large language model (Baichuan-13B) for data augmentation via in-context learning. Applies a Rouge-based filtering mechanism to refine synthetic training data. Employs a prototypical network to learn robust relation prototypes from limited samples. Tailors the approach specifically for Chinese text, addressing challenges like character-level ambiguity and flexible grammar.</t>
  </si>
  <si>
    <t>Extracts structured triplets in the form ⟨head entity, relation, tail entity⟩ from Chinese text. Designed to work under few-shot conditions where training data are extremely limited.</t>
  </si>
  <si>
    <t>Triplet Extraction (Few-Shot Relation Extraction)</t>
  </si>
  <si>
    <t>Uses Precision, Recall, and F1 scores under various N-way K-shot settings (e.g., 5W-1S, 5W-5S, 10W-1S, etc.). Performance is measured on reconstructed Chinese few-shot datasets (DUIE Few and SanWen Few).</t>
  </si>
  <si>
    <t>Data scarcity and noise in few-shot relation extraction. Difficulty in capturing sufficient relational features from limited Chinese annotated data. Complexities of Chinese language processing, such as multi-character word formation and flexible grammar.</t>
  </si>
  <si>
    <t>DUIE Few and SanWen Few datasets (reconstructed from the DUIE and SanWen full-shot datasets).</t>
  </si>
  <si>
    <t>Baichuan-13B LLM for data augmentation. Chinese-Bert-wwm for encoding Chinese text. Prototypical network architecture (forming the CFSRE model) for relation extraction.</t>
  </si>
  <si>
    <t>Traditional few-shot models such as BiLSTM, Prototype networks, Siamese networks, and HCRP (contrastive learning based).</t>
  </si>
  <si>
    <t>Raw Chinese sentences containing entity mentions.</t>
  </si>
  <si>
    <t>Extracted relation triplets in the form ⟨head entity, relation, tail entity⟩.</t>
  </si>
  <si>
    <t>An augmented few-shot dataset combining original few-shot samples (from DUIE Few and SanWen Few) with synthetic samples generated by the fine-tuned Baichuan-13B.</t>
  </si>
  <si>
    <t>Proposes an improved method for Chinese few-shot relation extraction by leveraging LLM-based data augmentation and a prototypical network. Uses in-context learning and Rouge-based filtering to generate high-quality synthetic training data. The CFSRE model integrates relational category information to effectively learn from limited samples. Experimental results show improved accuracy, recall, and F1 scores in low-resource settings, especially under 1-shot and 5-shot scenarios. Addresses challenges specific to Chinese language processing, such as handling character-level ambiguity and diverse word formation.</t>
  </si>
  <si>
    <t>hsu</t>
  </si>
  <si>
    <t>Prompt‑XRE</t>
  </si>
  <si>
    <t>Extracts the relation type between a given pair of entities in a sentence. Identifies and classifies the semantic relationship (e.g., “located in”, “founder of”) between entities.</t>
  </si>
  <si>
    <t>Scenarios where target languages have little to no annotated relation extraction data (zero‑shot settings). Contexts with extremely limited labeled resources for the RE task.</t>
  </si>
  <si>
    <t>Prompt‑tuning</t>
  </si>
  <si>
    <t>Built on the mBART multilingual pre‑trained sequence‑to‑sequence model.</t>
  </si>
  <si>
    <t>The predicted relation type for the specified entity pair.</t>
  </si>
  <si>
    <t>Source language sentences with annotated relation labels formatted via the prompt‑tuning approach.</t>
  </si>
  <si>
    <t>hu2</t>
  </si>
  <si>
    <t>SelfLRE</t>
  </si>
  <si>
    <t xml:space="preserve">Integrates self-training and self-ensembling methods into a unified self‑refining framework. Uses pseudo-labels generated by a fine‑tuned BERT model to iteratively refine task‑specific representations learned via self‑ensembling. Combines the strengths of both approaches to mitigate confirmation bias and improve semantic clustering.
</t>
  </si>
  <si>
    <t>Extracts relational triplets from text, where each triplet consists of two entities and the relation connecting them. Employs special entity markers to delineate entity boundaries within input sentences.</t>
  </si>
  <si>
    <t xml:space="preserve"> Relation Extraction</t>
  </si>
  <si>
    <t>Evaluates performance using F1 Score across multiple datasets. Assesses model performance under varying proportions of labeled data.</t>
  </si>
  <si>
    <t xml:space="preserve">Overcomes the confirmation bias inherent in conventional self‑training methods. Addresses the difficulty in learning task‑specific representations with self‑ensembling methods alone. Enhances the quality of pseudo-labels in low‑resource settings through iterative refinement.
</t>
  </si>
  <si>
    <t>Defined by the scarcity of annotated relation extraction data, relying on a small labeled set supplemented by a large amount of unlabeled data.</t>
  </si>
  <si>
    <t>SemEval, TACRED, and Re‑TACRED datasets.</t>
  </si>
  <si>
    <t>Built on a BERT‑Base architecture augmented with a classifier head and a mapping head for representation learning.</t>
  </si>
  <si>
    <t>Self‑Training, Mean‑Teacher, DualRE (both pairwise and pointwise variants), RE‑Ensemble, MRefG, MetaSRE, GradLRE, MixRE, UG‑MCT, and an upper bound model (BERT with gold labels).</t>
  </si>
  <si>
    <t>Raw sentences annotated with special entity markers (e.g., [E1start], [E1end], [E2start], [E2end]).</t>
  </si>
  <si>
    <t>The predicted relation label (or probability distribution over relation classes) for the given input.</t>
  </si>
  <si>
    <t>SelfLRE is a self‑refining representation learning framework for low‑resource relation extraction that fuses self‑training and self‑ensembling methods. It iteratively refines pseudo‑labels and task‑specific representations via a representation graph learning module, leading to improved semantic clustering and overall extraction performance. Demonstrates a significant performance gain (e.g., 1.81% F1 improvement) over state‑of‑the‑art baselines on multiple benchmarks.</t>
  </si>
  <si>
    <t>A combination of labeled sentences with ground truth relation labels and unlabeled sentences that are pseudo‑labeled. Augmented sentences generated via synonym replacement to support representation graph learning.</t>
  </si>
  <si>
    <t>hu</t>
  </si>
  <si>
    <t>GDA</t>
  </si>
  <si>
    <t>Utilizes a multi‑task learning framework with a shared encoder and two decoders for complementary tasks: original sentence restructuring and pattern approximation. Incorporates entity hints as prior knowledge to guide the generation of diverse, entity‑oriented augmented sentences. Balances semantic consistency with syntactic diversity, overcoming the limitations of rule‑based and previous generative approaches.</t>
  </si>
  <si>
    <t xml:space="preserve">Extracts semantic relations as triplets (subject, relation, object) from sentences. Transforms raw sentences into structured triplet representations for relation extraction.
</t>
  </si>
  <si>
    <t>Triplet Extraction</t>
  </si>
  <si>
    <t>Evaluated using micro F1 scores on benchmark datasets (SemEval, TACRED, and TACREV). Performance improvements measured in low‑resource settings by comparing F1 gains over various augmentation baselines.</t>
  </si>
  <si>
    <t xml:space="preserve">Tackles data scarcity in low‑resource relation extraction scenarios. Ensures augmented sentences maintain both semantic consistency and syntactic structure. Enhances diversity in generated data to improve overall model robustness.
</t>
  </si>
  <si>
    <t>Low‑resource scenarios where only a limited percentage (e.g., 10%, 25%, 50%) of annotated training data is available.</t>
  </si>
  <si>
    <t>Data augmentation via a generative multi‑task learning framework using T5.</t>
  </si>
  <si>
    <t>SemEval 2010 Task 8, TACRED, and TACREV.</t>
  </si>
  <si>
    <t>Built on the T5 architecture (primarily T5‑Base, with experiments also on T5‑Small and BART‑Base). Employs a shared encoder–decoder model for multi‑task training.</t>
  </si>
  <si>
    <t>Rule‑based techniques: EDA, Paraphrase Graph. Example interpolation methods: MixText, Ex2, BackMix. Model‑based techniques: Soft DA, LAMBADA, DARE, and Text Gen.</t>
  </si>
  <si>
    <t>Annotated sentences with entity markers (e.g., [Esub], [/Esub], [Eobj], [/Eobj]) accompanied by an entity hint.</t>
  </si>
  <si>
    <t>Augmented pseudo sentences that preserve the original relation label and entity annotations.</t>
  </si>
  <si>
    <t>Original annotated sentences with entity markers. Paired inputs for multi‑task learning: one set for original sentence restructuring and another for pattern approximation, both including entity hints.</t>
  </si>
  <si>
    <t>GDA is a generative data augmentation technique for relation extraction that generates diverse, coherent, and semantically consistent augmented sentences. It leverages a multi‑task learning framework with dual decoders—one to restructure the original sentence and one to approximate its syntactic pattern—to maintain both the semantic and syntactic integrity of the input. The incorporation of entity hints enhances controllability and diversity, resulting in significant micro F1 improvements in low‑resource settings.</t>
  </si>
  <si>
    <t>hu3</t>
  </si>
  <si>
    <t>GradLRE</t>
  </si>
  <si>
    <t>Extracts semantic relations from text by transforming sentences into structured triplets (entity head, relation, entity tail). Utilizes contextualized representations of entity pairs (encoded by BERT) to classify relational facts.</t>
  </si>
  <si>
    <t>SemEval 2010 Task 8 and TACRED</t>
  </si>
  <si>
    <t>Built upon a BERT‑Base_Cased encoder for generating contextualized entity-level representations.</t>
  </si>
  <si>
    <t>Raw sentences annotated with entity markers (e.g., [E1], [/E1], [E2], [/E2])</t>
  </si>
  <si>
    <t>Predicted relation labels for the given entity pairs, forming structured triplets</t>
  </si>
  <si>
    <t>A combination of limited labeled data and pseudo‑labeled data—either obtained from abundant unlabeled data or generated via contextualized data augmentation—with proper entity annotations</t>
  </si>
  <si>
    <t>jian</t>
  </si>
  <si>
    <t>li2</t>
  </si>
  <si>
    <t>CoPrompt</t>
  </si>
  <si>
    <t>Integrates contrastive learning into prompt tuning to refine relational feature embeddings. Constructs both manual and continuous (trainable) templates to reduce template construction cost while capturing dialogue-specific relational signals. Designs positive and negative sample pairs for contrastive loss to better distinguish relevant from irrelevant relational features in multiparty dialogues.</t>
  </si>
  <si>
    <t xml:space="preserve"> Triplet Extraction (for dialogue character relationships)</t>
  </si>
  <si>
    <t>Low information density and high noise in dialogue texts. Difficulty in capturing complex, cross-sentence character relationships. High cost and expertise requirements in manual template construction.</t>
  </si>
  <si>
    <t>Scenarios where only a few annotated dialogue samples are available for relationship extraction (few-shot settings).</t>
  </si>
  <si>
    <t>Triplet Extraction (for dialogue character relationships)</t>
  </si>
  <si>
    <t>DialogRE (including both Chinese and English versions) and CRECIL.</t>
  </si>
  <si>
    <t>Built on pre-trained language models with added trainable continuous templates to embed relational information.</t>
  </si>
  <si>
    <t>Multiparty dialogue text with speaker-turn information and annotated character entities.</t>
  </si>
  <si>
    <t>Predicted relational triplets indicating the relationship type between character entities in dialogues.</t>
  </si>
  <si>
    <t xml:space="preserve">Dialogue datasets with annotated character relationships, augmented with manually and continuously learned prompt templates.
</t>
  </si>
  <si>
    <t>CoPrompt applies contrastive prompt tuning to extract character relationships from multiparty dialogues. It leverages contrastive learning to generate positive and negative sample pairs, enhancing the model's ability to discern relational features. The method achieves state-of-the-art performance on Chinese dialogue RE benchmarks and shows robust effectiveness in low-resource (few-shot) settings.</t>
  </si>
  <si>
    <t>liu2</t>
  </si>
  <si>
    <t>RexUIE</t>
  </si>
  <si>
    <t>Redefines UIE by formulating extraction as a recursive query process that supports multi-span (n‑ary) schema extraction (e.g., quadruples and quintuples). Introduces an Explicit Schema Instructor (ESI) to provide rich, explicit label semantics that guide the extraction process and prevent interference between different types. Employs three unified token-linking operations (token head-tail linking, token head-type linking, and type-token tail linking) with techniques like rotary position embeddings to compute extraction scores recursively.</t>
  </si>
  <si>
    <t>Extracts structured information from text by retrieving a sequence of spans paired with their corresponding types, covering not only binary relations but also n‑ary relations (e.g., quadruples and quintuples).</t>
  </si>
  <si>
    <t>Universal Information Extraction (n‑ary Relation Extraction)</t>
  </si>
  <si>
    <t>Inability of previous UIE models to extract complex schemas beyond simple span pairs. Interference among heterogeneous types and implicit schema constraints that hinder extraction quality in low-resource settings. Need for explicit guidance to ensure consistency and correctness in multi-span extractions when training data is scarce.</t>
  </si>
  <si>
    <t xml:space="preserve">Scenarios where only limited annotated data is available for complex IE tasks, including few-shot settings with very scarce labeled examples.
</t>
  </si>
  <si>
    <t>Evaluated on multiple standard IE benchmarks including ACE04, ACE05 (entities, relations, events), CoNLL03, CoNLL04, NYT, SciERC, HyperRED (quadruple extraction) and Camera-COQE (quintuple extraction).</t>
  </si>
  <si>
    <t>Built on a pre-trained text encoder (DeBERTaV3-Large) with recursive query mechanisms and unified token-linking operations, incorporating an Explicit Schema Instructor to guide extraction.</t>
  </si>
  <si>
    <t>Compared against previous UIE models such as T5‑UIE and USM as well as other task‑specific state‑of‑the‑art methods for IE tasks.</t>
  </si>
  <si>
    <t>Input queries constructed by concatenating the Explicit Schema Instructor (including special tokens like [CLS], [P], [T], and [Text]) with the raw text, representing the extraction schema and dialogue context.</t>
  </si>
  <si>
    <t xml:space="preserve">Structured extraction results in the form of a set of spans paired with their types that together form complete information units (entities, relations, quadruples, quintuples).
</t>
  </si>
  <si>
    <t>Pre-training data from a combination of supervised NER/RE datasets, MRC datasets, and 3M distant supervision instances; training queries constructed with explicit schema instructions and recursive extraction targets.</t>
  </si>
  <si>
    <t>RexUIE is a recursive universal information extraction model that leverages an explicit schema instructor and unified token-linking operations to extract multi-span structured information. It overcomes the limitations of previous UIE approaches by supporting complex schemas and mitigating type interference, and it achieves state-of-the-art performance in both full-shot and few-shot settings, particularly in low-resource scenarios.</t>
  </si>
  <si>
    <t>liu</t>
  </si>
  <si>
    <t>BMRC with Data Augmentation and Task Feedback</t>
  </si>
  <si>
    <t>Integrates data augmentation into the BMRC framework by using mask prediction and mark replacement to enrich the training data. Introduces a task feedback module that fuses features from span extraction and sentiment classification, mitigating the error accumulation caused by treating these tasks separately. Adopts a direct span extraction method with a single classifier to improve adaptive capability across different datasets.</t>
  </si>
  <si>
    <t>Extracts aspect sentiment triplets, i.e., a combination of an aspect term, its associated opinion expression, and the corresponding sentiment polarity, from texts.</t>
  </si>
  <si>
    <t>Triplet Extraction (Aspect Sentiment Triplet Extraction)</t>
  </si>
  <si>
    <t>Evaluated using micro F1 scores, precision, and recall on benchmark ASTE datasets. Performance is measured under full-shot and few-shot settings using standard metrics from SemEval-based benchmarks.</t>
  </si>
  <si>
    <t>Data scarcity in aspect sentiment triplet extraction tasks. The separation between span extraction and sentiment classification, which can lead to error accumulation. Integrating complementary information from span extraction and sentiment analysis to improve triplet recognition.</t>
  </si>
  <si>
    <t>Scenarios where only a limited amount of annotated data is available for aspect sentiment triplet extraction, necessitating methods that can generalize under few-shot conditions.</t>
  </si>
  <si>
    <t>Data augmentation via mask prediction and mark replacement to expand the training set.</t>
  </si>
  <si>
    <t>Evaluated on ASTE benchmarks derived from SemEval datasets, such as SemEval 2014 Task 4 (14res), SemEval 2015 Task 12 (15res), and SemEval 2016 Task 5 (16res), as well as datasets like 14lap.</t>
  </si>
  <si>
    <t>Built on the BMRC (Bidirectional Machine Reading Comprehension) model as the backbone, using a direct span extraction method with one classifier. Employs BERT-based encoding for contextual feature extraction.</t>
  </si>
  <si>
    <t>Raw review or social media texts containing aspects and opinions, formatted as input to BMRC (with queries designed to extract spans for aspects and opinions).</t>
  </si>
  <si>
    <t>Extracted aspect sentiment triplets in the form (aspect, opinion, sentiment polarity).</t>
  </si>
  <si>
    <t>The original annotated dataset of aspect sentiment triplets, augmented with additional synthetic data generated through mask prediction and mark replacement. The combined dataset is used to fine-tune the BMRC model with the task feedback mechanism.</t>
  </si>
  <si>
    <t>This paper proposes an enhanced approach for aspect sentiment triplet extraction that addresses data scarcity by augmenting the training data using mask prediction and mark replacement. It improves the BMRC model by adopting a direct span extraction method with a single classifier and by establishing a task feedback module that fuses features from both span extraction and sentiment classification. Extensive experiments demonstrate that this method significantly boosts the performance and robustness of ASTE in low-resource scenarios, leading to improved generalization across diverse datasets.</t>
  </si>
  <si>
    <t xml:space="preserve">DCFT (Domain-aware and Co-adaptive Feature Transformation)
</t>
  </si>
  <si>
    <t>Extracting relation labels between entity pairs from text in a few-shot setting, with emphasis on transferring knowledge from a source to a target domain.</t>
  </si>
  <si>
    <t>Relation Extraction (Few-shot Domain Adaptation)</t>
  </si>
  <si>
    <t xml:space="preserve">Significant domain gap between the source (general domain) and target (specialized domain). Difficulty in transferring useful knowledge with very few labeled target instances. Ambiguity in distinguishing confusing relation classes due to similar support instances.
</t>
  </si>
  <si>
    <t>A few-shot learning scenario where the target domain has only a limited number of labeled examples and the relation classes in the target domain are disjoint from those in the source.</t>
  </si>
  <si>
    <t>BERT-base (uncased) as the text encoder. Custom modules: Domain-aware Transformation Module (DTM) and Co-adaptive Prototypical Networks (CPN).</t>
  </si>
  <si>
    <t>Meta-learning/metric learning methods (e.g., Proto, Proto-ADV, MAML). Relation extraction models such as BERT-PAIR, DaFeC, REGRAB, and REGRAB-ADV. External information enhanced models (e.g., MTB, CP, HCPR, FAFE, GM_GEN). LLM-based baseline (ChatGPT).</t>
  </si>
  <si>
    <t>Raw sentences from the target domain with pre-annotated entity markers.</t>
  </si>
  <si>
    <t>Predicted relation labels (i.e., classification of the relation for each query instance).</t>
  </si>
  <si>
    <t>Abundant labeled source domain data (e.g., from Wikipedia). A few-shot support set from the target domain. Unlabeled target domain data used to guide the domain-aware feature transformation.</t>
  </si>
  <si>
    <t>DCFT is a domain adaptation method for few-shot relation extraction that explicitly aligns source domain features with target domain distributions through a learnable transformation layer. It further refines relation prototypes using co-adaptive prototypical networks that perform intra-class aggregation and inter-class adaptation. The approach overcomes the domain gap and enables the model to better distinguish confusing relation classes, achieving state-of-the-art performance on DAFSRE benchmarks.</t>
  </si>
  <si>
    <t>liu5_349</t>
  </si>
  <si>
    <t>lu</t>
  </si>
  <si>
    <t>SURE</t>
  </si>
  <si>
    <t>Reformulates relation extraction as a summarization task, leveraging indirect supervision. Converts input sentences using entity information verbalization and relation verbalization templates. Employs Trie scoring for constrained decoding to rank relation candidates. Incorporates calibration for NA relation prediction to selectively decide between positive and abstaining outputs.</t>
  </si>
  <si>
    <t>Extracts relational facts by generating concise, verbalized summaries that express the relation between entity pairs.</t>
  </si>
  <si>
    <t xml:space="preserve">Uses micro F1 scores (for TACRED and TACREV) and macro F1 (for SemEval). Evaluated under both full training and low-resource splits (e.g., 1%, 5%, 10% of training data).
</t>
  </si>
  <si>
    <t xml:space="preserve">High annotation cost and scarcity of labeled data. Difficulty in capturing semantic nuances of relations with standard classification. Improving performance in low-resource scenarios where direct supervision is limited.
</t>
  </si>
  <si>
    <t>Scenarios with limited annotated training data, such as using only 1%, 5%, or 10% of the full dataset.</t>
  </si>
  <si>
    <t>Leverages indirect supervision through transfer learning from pretrained summarization models.</t>
  </si>
  <si>
    <t xml:space="preserve">Pretrained sequence-to-sequence summarization models (e.g., BART-large-cnn, BART-large-xsum, PEGASUS-large)
</t>
  </si>
  <si>
    <t>Processed sentences augmented with entity information (via entity information verbalization and/or typed markers)</t>
  </si>
  <si>
    <t>Generated verbalized relation summaries that capture the structured relation (i.e., the relation between the subject and object)</t>
  </si>
  <si>
    <t>Converted input-output pairs where the input is the augmented sentence and the target is the verbalized relation derived from templates</t>
  </si>
  <si>
    <t>SURE converts the relation extraction task into a summarization problem by rewriting sentences to include explicit entity details and employing semantic templates for relation verbalization. It leverages indirect supervision from large summarization corpora to reduce dependency on expensive, direct annotations. Constrained inference via Trie scoring and calibration for NA relations ensures more precise predictions, particularly under low-resource conditions.</t>
  </si>
  <si>
    <t>lu2</t>
  </si>
  <si>
    <t>ARIA</t>
  </si>
  <si>
    <t>Leverages a pre-trained language model (PLM) to mimic human reasoning for automatically generating logic rules. Alternates between a Data-to-Rule stage and a Rule-to-Data stage to iteratively refine and enrich the rules set. Introduces a Compound Rules Compiler to merge multiple reasoning rules into robust compound rules. Employs a Graph-based Data Filter to select high-quality model-labeled data, thereby mitigating noise in pseudo labeling.</t>
  </si>
  <si>
    <t>Extracts relation labels for entity pairs by distilling explainable, compound logic rules from the reasoning process. Generates rules that capture the underlying association between entities in a way that mirrors human reasoning.</t>
  </si>
  <si>
    <t>Scarcity of annotated data and the gradual drift problem inherent in self-training pipelines. The high human labor required for manually crafting comprehensive and high-quality logic rules. Noise accumulation in pseudo labels generated by conventional data augmentation techniques.</t>
  </si>
  <si>
    <t xml:space="preserve">Scenarios characterized by extremely limited labeled training data (small percentages of the full dataset). Settings where direct supervision is minimal, necessitating alternative labeling approaches.
</t>
  </si>
  <si>
    <t>TACRED, SemEval</t>
  </si>
  <si>
    <t>Built on pre-trained language models (e.g., RoBERTa-base) for reasoning and rule generation. Integrates DualRE-Pointwise as the underlying relation extraction model.</t>
  </si>
  <si>
    <t>Unlabeled sentences augmented with entity mentions and contextual information, which serve as inputs for generating reasoning rules via PLM prompts.</t>
  </si>
  <si>
    <t>Predicted relation labels for entity pairs derived by matching compound rules. Associated labeling confidence scores based on the similarity between generated rules and input reasoning.</t>
  </si>
  <si>
    <t>A combined training set consisting of limited seed data and pseudo-labeled data generated by applying the distilled compound rules. Iteratively enriched with high-quality, rule-labeled data filtered by the Graph-based Data Filter.</t>
  </si>
  <si>
    <t>ARIA is an automatic task-specific rules distilling framework that guides a PLM to mimic human reasoning and summarize this reasoning into logic rules for relation extraction. It goes beyond traditional data augmentation by iteratively generating compound rules and filtering high-quality pseudo labels to overcome data scarcity and noise issues in low-resource settings. The framework employs a Compound Rules Compiler and a Graph-based Data Filter to ensure the robustness and accuracy of the extracted relations.</t>
  </si>
  <si>
    <t>ly</t>
  </si>
  <si>
    <t>DSP (Discriminative Soft Prompts)</t>
  </si>
  <si>
    <t>Reformulates zero-shot extraction tasks as discriminative language modeling problems, eliminating the need for verbalizers. Leverages a prompt-based strategy that directly incorporates label information into soft prompts. Introduces a soft prompt co-reference strategy to significantly improve inference speed by reducing repetitive token-level computations. Converts entity and relation extraction into binary token discrimination tasks, thus retaining more general pre-trained knowledge.</t>
  </si>
  <si>
    <t>Extracts entities and classifies the relations between them in a zero-shot setting by discriminating among token spans using soft prompts. Does not rely on task-specific annotated data, instead transferring knowledge from pre-trained language models.</t>
  </si>
  <si>
    <t xml:space="preserve">Relation Extraction (Zero-Shot Entity and Relation Extraction)
</t>
  </si>
  <si>
    <t>Overcomes the inefficiency and slow inference speed of cloze-style prompt methods that require extensive span enumeration. Eliminates the difficulty of designing comprehensive verbalizers for label mapping. Addresses the challenge of transferring and preserving general pre-trained knowledge during task-specific fine-tuning. Mitigates the gap between pre-training and downstream task requirements in zero-shot scenarios.</t>
  </si>
  <si>
    <t>Zero-shot setting where no annotated training data for target (unseen) entities or relations is available, relying solely on transferred pre-trained knowledge.</t>
  </si>
  <si>
    <t>Built on discriminative pre-trained language models, notably ELECTRA-Base. Integrates a soft prompt co-reference mechanism to enhance inference efficiency and accuracy.</t>
  </si>
  <si>
    <t>For ZSNER: Binary Entailment Model (BEM), MRC, SMXM, and DLM-Point. For ZSRC/ZSRE: RelationPrompt, TableSequence, NoGen, ZS-BERT, and CIM. Compared against state-of-the-art zero-shot models in both entity recognition and relation classification.</t>
  </si>
  <si>
    <t>Input text augmented with soft prompts that encode position and label information. For ZSNER: The sequence includes soft prompts ([s] and [e]) to mark potential entity boundaries. For ZSRC: The sequence incorporates a soft prompt ([r]) alongside candidate relation labels and identified entity spans.</t>
  </si>
  <si>
    <t xml:space="preserve">For ZSNER: Binary classification results for each token, aggregated into predicted entity spans with associated types. For ZSRC: Discriminative scores for candidate relation labels, yielding the final predicted relation between entity pairs. Overall, outputs comprise the recognized entities and their corresponding relation labels.
</t>
  </si>
  <si>
    <t>Constructs training inputs by combining original text with soft prompts and task-specific templates. Uses data from the seen label set (with a prescribed split between seen and unseen labels) to fine-tune the model in a zero-shot learning framework. Training is performed under a discriminative language modeling objective that minimizes cross-entropy loss with regularization.</t>
  </si>
  <si>
    <t>DSP reformulates zero-shot entity and relation extraction as a discriminative token classification problem, bypassing the need for cloze-style verbalizers. It employs soft prompts to efficiently encode label information and co-reference strategies to accelerate inference. The approach leverages the robust general knowledge of pre-trained models with minimal parameter modification, achieving significant improvements in both accuracy and inference speed on standard zero-shot benchmarks.</t>
  </si>
  <si>
    <t>ma</t>
  </si>
  <si>
    <t xml:space="preserve">Contrastive Prompt Learning (CPL)
</t>
  </si>
  <si>
    <t xml:space="preserve">Leverages prompt learning to convert relation extraction into a text infilling task, aligning with PLMs’ pre-training. Uses a semi-automated continuous prompt template that incorporates entity information and a [MASK] token to represent the relation. Introduces a margin-based contrastive learning objective to focus on hard samples and enforce a uniform feature distribution. Integrates a memory augmentation strategy that employs ChatGPT to generate diverse extra samples, enhancing data diversity. Employs a Nearest-Class-Mean classifier for relation prediction to mitigate catastrophic forgetting in a continual learning framework.
</t>
  </si>
  <si>
    <t>Extracts relations between a head entity and a tail entity by infilling a [MASK] token in a prompt template. Operates in a continual few-shot setting, enabling the model to learn new relations while retaining knowledge of previously learned ones.</t>
  </si>
  <si>
    <t>Relation Extraction (Continual Few-Shot Relation Extraction)</t>
  </si>
  <si>
    <t>Evaluated using average accuracy across sequential tasks (T1 to T8) on few-shot settings. Performance measured on standard benchmarks (FewRel and TACRED) with comparisons against lower bound (Finetune) and upper bound (Joint-train) models. Reports improvements in accuracy and robustness against catastrophic forgetting and overfitting.</t>
  </si>
  <si>
    <t>Catastrophic forgetting: retaining knowledge of old relations while learning new ones. Overfitting: preventing overfitting in low-resource scenarios with limited labeled samples. Balancing continual learning where new tasks have very few labeled instances.</t>
  </si>
  <si>
    <t>Continual few-shot setting where each new task provides only a handful of labeled examples per relation (e.g., 5-shot or 10-shot). Scenario with scarce training data for new relations while maintaining performance on previously learned relations.</t>
  </si>
  <si>
    <t>Based on pre-trained language models (e.g., BERT-base-uncased) with a hybrid prompt representation. Utilizes a continuous prompt template, margin-based contrastive learning, and memory augmentation modules. Implements a Nearest-Class-Mean classifier for relation prediction.</t>
  </si>
  <si>
    <t>Finetune (sequential training without memory replay). Joint-train (training with all historical data). State-of-the-art continual relation extraction models: EMAR+ACA, InfoCL, RP-CRE, CRL, CRECL, ERDA, and SCKD. Variants from ablation studies (e.g., without prompt template, without MCL loss, without generated samples).</t>
  </si>
  <si>
    <t>Input sentence with two entities, transformed via the prompt template: “x. [v₀: n₀–1] eh [vₙ₀: n₁–1] [MASK] [vₙ₁: n₂–1] et [vₙ₂: n₃–1].”</t>
  </si>
  <si>
    <t>Predicted relation label obtained from the [MASK] token’s representation. Final relation prediction is determined using a Nearest-Class-Mean classifier comparing test features with memory prototypes.</t>
  </si>
  <si>
    <t>Few-shot labeled samples from the current task processed with the prompt template. Memory samples from previous tasks (one sample per relation stored in memory). Augmented samples generated by ChatGPT based on well-crafted prompts, combined with memory samples during memory replay.</t>
  </si>
  <si>
    <t>The paper presents a Contrastive Prompt Learning (CPL) framework for continual few-shot relation extraction. It addresses catastrophic forgetting and overfitting by reformulating relation extraction into a text infilling task using prompt representation, augmented with margin-based contrastive learning. A memory augmentation strategy leveraging ChatGPT is used to generate diverse samples, further mitigating overfitting in low-resource settings. A Nearest-Class-Mean classifier is employed for robust relation prediction. Extensive experiments on FewRel and TACRED show significant improvements over state-of-the-art methods in continual few-shot scenarios.</t>
  </si>
  <si>
    <t>miao</t>
  </si>
  <si>
    <t>CCG (Commonsense Counterfactual Generation)</t>
  </si>
  <si>
    <t>Introduces an intervention‐based strategy to accurately identify causal terms under invariant entity constraints. Leverages a constituency parser to correct and expand the identified causal terms. Incorporates commonsense constraints by exploiting WordNet and a bottom-up relation expansion algorithm. Implements a controlled editing module that replaces causal terms to flip relation labels while preserving minimal context changes.</t>
  </si>
  <si>
    <t>Generates counterfactual instances by minimally editing causal terms in a sentence to flip the relation between an entity pair, ensuring consistency with commonsense knowledge.</t>
  </si>
  <si>
    <t>Relation Extraction (Stable Relation Extraction via Counterfactual Data Augmentation)</t>
  </si>
  <si>
    <t>Evaluated using F1-scores under low-resource, out-of-domain, and adversarial-attack settings. Includes human studies to assess the quality of causal term identification and commonsense alignment.</t>
  </si>
  <si>
    <t>Accurately identifying causal terms without altering invariant entity information. Enforcing commonsense constraints in counterfactual data generation to prevent spurious relation alterations. Enhancing model stability and robustness in low-resource and adversarial scenarios.</t>
  </si>
  <si>
    <t>Zero-shot/low-resource settings where very few labeled training instances are available for relation extraction.</t>
  </si>
  <si>
    <t xml:space="preserve">SemEval (for low-resource evaluation) ACE 2005 (for out-of-domain evaluation) RE-Attack (for adversarial-attack evaluation)
</t>
  </si>
  <si>
    <t>A pipeline combining a masked language model (as intervenor), a trained indicator, a constituency parser, and a WordNet-based bottom-up relation expansion algorithm. Uses GPT-2 as the editor for controlled causal term replacement.</t>
  </si>
  <si>
    <t>Conventional augmentation methods (Synonym Replacement, Back Translation, BERT-MLM) Counterfactual methods (MICE, AutoCAD, CoCo) ChatGPT-based counterfactual generation as a baseline</t>
  </si>
  <si>
    <t>Original sentence containing an entity pair with identified causal terms (via intervention-based strategy and parser) and a [MASK] placeholder for editing.</t>
  </si>
  <si>
    <t>Generated counterfactual sentence with the causal term replaced to flip the relation label, ensuring adherence to commonsense constraints.</t>
  </si>
  <si>
    <t>Combination of original labeled relation extraction data and the generated commonsense counterfactual instances used for data augmentation.</t>
  </si>
  <si>
    <t>Proposes CCG, a framework for generating commonsense counterfactuals to stabilize relation extraction. Addresses challenges in fine-grained RE by accurately identifying causal terms and enforcing commonsense constraints. Uses an intervention-based method and constituency parsing for precise causal term detection. Expands potential relations through a WordNet-based bottom-up algorithm to ensure counterfactuals are commonsensically valid. Employs controlled editing to flip relation labels with minimal changes, thereby improving model robustness and stability. Demonstrates effectiveness across low-resource, out-of-domain, and adversarial-attack settings, enhancing the stability of base RE models.</t>
  </si>
  <si>
    <t>moscato</t>
  </si>
  <si>
    <t>Multi‑task learning framework with knowledge distillation for few‑shot biomedical relation extraction</t>
  </si>
  <si>
    <t>Utilizes a transformer‑based multi‑task architecture (MT‑DNN) with shared encoder layers and task‑specific classification heads. Incorporates knowledge distillation by aggregating soft labels from multiple models with different dropout values. Leverages heterogeneous biomedical datasets to enable cross‑task transfer and mitigate negative transfer effects</t>
  </si>
  <si>
    <t>Extracts biomedical relations between entities (e.g., drug–drug interactions, chemical–protein relations, medical problem–treatment relations) from unstructured text.</t>
  </si>
  <si>
    <t>Relation Extraction (Few‑Shot Biomedical Relation Extraction)</t>
  </si>
  <si>
    <t>Uses precision, recall, and F1‑score metrics under various few‑shot settings (e.g., 1‑shot, 10‑shot, 50‑shot). Compares multi‑task performance against single‑task baselines and established few‑shot learning methods</t>
  </si>
  <si>
    <t>Scarcity of annotated biomedical data in few‑shot scenarios. Negative transfer and overfitting when integrating datasets with heterogeneous structures and semantics. Balancing inter‑task influences to achieve robust relation extraction performance</t>
  </si>
  <si>
    <t>Few‑shot settings where only a very limited number of labeled examples per relation are available (e.g., 1, 10, 50, 100, or 1000 samples)</t>
  </si>
  <si>
    <t>DDI‑2013, ChemProt, I2B2‑2010 RE</t>
  </si>
  <si>
    <t xml:space="preserve">Siamese Network, ProtoNET, BioBERT, ClinicalBERT, PET
</t>
  </si>
  <si>
    <t>Biomedical text sentences processed through a shared transformer encoder with special tokens (e.g., [CLS]) and marked entity mentions</t>
  </si>
  <si>
    <t xml:space="preserve">Predicted relation label for each biomedical entity pair in the input sentence
</t>
  </si>
  <si>
    <t>Labeled few‑shot examples from biomedical relation extraction datasets (DDI‑2013, ChemProt, I2B2‑2010 RE) used within a multi‑task learning framework. Includes task‑specific inputs fed into shared transformer layers followed by classification heads</t>
  </si>
  <si>
    <t>Proposes a multi‑task learning framework that improves few‑shot biomedical relation extraction by leveraging shared representations across diverse datasets. Enhances performance via knowledge distillation, where dark knowledge from multiple teacher models is distilled into a single student model. Addresses challenges of data scarcity, negative transfer, and overfitting by integrating data from DDI‑2013, ChemProt, and I2B2‑2010 RE. Demonstrates significant improvements, particularly in recall and overall F1 scores, compared to state‑of‑the‑art few‑shot baselines in the biomedical domain</t>
  </si>
  <si>
    <t>Based on a transformer‑based multi‑task architecture (MT‑DNN) with shared encoding layers, Uses a pre‑trained BERT‑base model as the backbone and enhances it via knowledge distillation</t>
  </si>
  <si>
    <t>plum</t>
  </si>
  <si>
    <t>Guided Distant Supervision (GDS) for Multilingual Relation Extraction</t>
  </si>
  <si>
    <t>Adapts traditional distant supervision by incorporating external resources (Pantheon, Wikidata, Wikipedia) to guide and correct the automatic labeling process. Overcomes the noise inherent in standard distant supervision by “guiding” the labeling, ensuring higher label accuracy for biographical relation extraction in a non‑English (German) setting. Enables cross‑lingual experiments by creating a large, automatically annotated dataset for German, while also releasing a manually annotated evaluation set</t>
  </si>
  <si>
    <t>Extracts structured relations (e.g., birthdate, birthplace, educated, occupation, parent, child, etc.) between entities from biographical texts. Focuses on the extraction of biographical relationships using automatically generated labels from guided distant supervision</t>
  </si>
  <si>
    <t>Relation Extraction (Multilingual, specifically for biographical information in German)</t>
  </si>
  <si>
    <t>Manual evaluation on a gold standard set of 2,000 annotated instances. Reporting precision, recall, and F1‑scores per relation type as well as macro-averaged metrics. Comparison of downstream performance using state-of-the-art transformer models</t>
  </si>
  <si>
    <t>Limited availability and high cost of manually annotated biographical RE data in non‑English languages. High noise in traditional distant supervision due to the assumption that every sentence with two entities expresses the same relation. Adaptation of distant supervision to new languages and low‑resource scenarios while maintaining label accuracy</t>
  </si>
  <si>
    <t>A low-resource scenario where manually annotated data for biographical RE in German is scarce. Emphasis on automatically generated labels to overcome the lack of high-quality training data</t>
  </si>
  <si>
    <t xml:space="preserve">The newly created German biographical relation extraction dataset (80,000+ instances for nine relationship types). A manually annotated evaluation subset of 2,000 instances. Cross‑lingual experiments using the English biographical dataset as a reference
</t>
  </si>
  <si>
    <t>Traditional distant supervision methods (e.g., Mintz et al., 2009). State‑of‑the‑art supervised RE models developed for English biographical data. Previously published multilingual RE datasets and models (e.g., from Plum et al., 2022)</t>
  </si>
  <si>
    <t>Raw text from German Wikipedia articles with entities tagged (using markers such as &lt;e1&gt; and &lt;e2&gt;). Processed through a non‑neural NER model (spaCy for German) and aligned with structured data from Pantheon and Wikidata</t>
  </si>
  <si>
    <t>Predicted relation labels for each entity pair in the input text (e.g., birthdate, birthplace, educated, occupation, parent, child)</t>
  </si>
  <si>
    <t>Automatically compiled, guided distantly supervised dataset containing over 80,000 labeled instances. A manually annotated subset (2,000 instances) used for evaluation and model tuning. Combined training data from external resources (Pantheon, Wikidata, Wikipedia) adapted to German</t>
  </si>
  <si>
    <t>Proposes a guided distant supervision framework to compile the largest German biographical relation extraction dataset. Leverages multilingual external resources to overcome the limitations of manual annotation and traditional distant supervision. Provides both an extensive automatically labeled dataset and a manually annotated evaluation set. Trains state‑of‑the‑art transformer‑based models and performs cross‑lingual experiments, demonstrating the viability of the approach for low-resource languages. Releases the dataset, code, and pre‑trained models for community use, aiming to boost research in multilingual RE and digital humanities applications</t>
  </si>
  <si>
    <t>qin</t>
  </si>
  <si>
    <t>ERICA</t>
  </si>
  <si>
    <t>rocktaschel</t>
  </si>
  <si>
    <t>Low-Rank Logic Embeddings</t>
  </si>
  <si>
    <t>Integrates matrix factorization–based relation extraction with first-order logic background knowledge. Proposes two injection methods: pre-factorization inference (deterministically augmenting training data via logic) and joint optimization (incorporating logic as a loss term). Bridges the gap between symbolic rule-based methods and distant supervision by encoding logical constraints in the embeddings.</t>
  </si>
  <si>
    <t>Learning low-dimensional embeddings for entity pairs and relations to predict missing relation facts from a sparse distant supervision matrix, enhanced with logical constraints.</t>
  </si>
  <si>
    <t>Assessed using mean average precision (MAP) and weighted MAP (wMAP) on the NY-Times corpus with Freebase relations. Utilizes precision–recall curves to evaluate zero-shot relation learning performance.</t>
  </si>
  <si>
    <t>Overcomes sparse or missing distant supervision for certain relations. Mitigates noise and alignment errors inherent in distant supervision. Improves generalization to textual patterns not explicitly covered by manual logic rules.</t>
  </si>
  <si>
    <t>Defined as scenarios with few or no observed distant supervision alignments for target relations.</t>
  </si>
  <si>
    <t>Distant supervision augmented with logical constraints via joint optimization.</t>
  </si>
  <si>
    <t>Evaluated on the New York Times corpus with Freebase relations, following the protocol of Riedel et al. (2013).</t>
  </si>
  <si>
    <t>Based on matrix factorization to learn embeddings, extended with first-order logic injection for enhanced relation extraction.</t>
  </si>
  <si>
    <t>Standard matrix factorization (MF) without logic injection, logical inference (Inf), and post-factorization inference (Post).</t>
  </si>
  <si>
    <t>A sparse binary matrix of observed distant supervision facts (entity pairs and corresponding textual relation patterns).</t>
  </si>
  <si>
    <t>Predicted relation scores for entity pairs, computed as the dot product of learned relation and entity-pair embeddings.</t>
  </si>
  <si>
    <t>Distant supervision data consisting of ground atoms (facts) extracted from the NY-Times corpus and Freebase, supplemented with additional logical formulae (either pre-inferred or jointly optimized).</t>
  </si>
  <si>
    <t>It speaks about semantic similarity and how to improve embeddings (representations). It uses a joint model with distant supervision relation extraction and manual annotations under logic constraints.</t>
  </si>
  <si>
    <t>shi</t>
  </si>
  <si>
    <t>AgentRE</t>
  </si>
  <si>
    <t>Proposes an agent-based framework that leverages a large language model (LLM) as an interactive agent. Integrates multiple specialized modules—retrieval, memory, and extraction—to process diverse and auxiliary information. Introduces multi-turn reasoning, where the agent dynamically refines its extraction process and distills reasoning trajectories for further fine-tuning.</t>
  </si>
  <si>
    <t>Extracts structured relation triples (head, relation, tail) from unstructured text by iteratively interacting with retrieval and memory components to enhance contextual understanding.</t>
  </si>
  <si>
    <t>Evaluated using F1 score, precision, and recall on both English and Chinese datasets (SciERC and DuIE). Assesses performance across zero-shot, few-shot, and supervised fine-tuning settings, including ablation studies on individual modules.</t>
  </si>
  <si>
    <t>Tackles the ambiguity and diversity of relation types in complex texts. Overcomes the limitations of “text-in, text-out” LLMs by utilizing multi-round interactions and auxiliary information. Addresses low-resource scenarios where annotated training data is sparse.</t>
  </si>
  <si>
    <t>Scenarios with limited or sparse labelled data, particularly in specific or multilingual domains where traditional supervised methods struggle.</t>
  </si>
  <si>
    <t>Combines in-context learning with dynamic retrieval and memory modules. Utilizes distillation learning by converting agent reasoning trajectories into high-quality training data to fine-tune smaller models.</t>
  </si>
  <si>
    <t>DuIE (Chinese relation extraction dataset), SciERC (English scientific domain relation extraction dataset)</t>
  </si>
  <si>
    <t>Built upon large language models (e.g., gpt-3.5-turbo) that function as the core agent interacting with supporting modules.</t>
  </si>
  <si>
    <t>ChatIE (single and multi-turn dialogue-based methods), GPT-RE, CodeKGC, CodeIE, UIE, USM, InstructUIE</t>
  </si>
  <si>
    <t>Raw unstructured text, augmented with relevant retrieved samples, annotation guidelines, and entity-related information from the knowledge graph.</t>
  </si>
  <si>
    <t xml:space="preserve">Structured relation triples (head entity, relation, tail entity) along with possible reasoning trajectories.
</t>
  </si>
  <si>
    <t>Labelled samples from RE datasets enriched with auxiliary information (e.g., retrieved examples, annotation guidelines, and KG data). Distilled reasoning trajectories that serve as high-quality training signals for fine-tuning smaller models.</t>
  </si>
  <si>
    <t>AgentRE is an agent-based RE framework that uses an LLM as an interactive agent to navigate complex information landscapes. It leverages retrieval, memory, and extraction modules to gather, process, and refine diverse sources of information, enabling multi-turn reasoning. The framework excels in low-resource scenarios and supports distillation of its reasoning trajectories to improve the performance of smaller models.</t>
  </si>
  <si>
    <t>wang_109</t>
  </si>
  <si>
    <t>wang4</t>
  </si>
  <si>
    <t>fmLRE</t>
  </si>
  <si>
    <t>Proposes an iterative feedback mechanism that combines metric learning with reinforcement learning. Uses a feature mapping space to compute similarity between pseudo-labels and support set features, integrating category information. Implements a filtering mechanism to select high-precision pseudo-labels, thereby reducing selection bias. Incorporates reinforcement learning to iteratively fine-tune the pseudo-label generator based on similarity rewards and penalties.</t>
  </si>
  <si>
    <t>Extracts relation triples (head entity, relation, tail entity) from text in low-resource settings by generating and refining pseudo-labels via feature mapping similarity. Transforms the low-resource relation extraction problem into a supervised task through iterative pseudo-label expansion.</t>
  </si>
  <si>
    <t xml:space="preserve">Evaluated using F1 score (as well as precision and recall) on benchmark datasets. Experiments conducted under different low-resource splits (e.g., 5%, 10%, and 30% for SemEval; 3%, 10%, and 15% for TACRED). Includes ablation studies to assess the impact of metric learning, reinforcement learning, and noise filtering modules.
</t>
  </si>
  <si>
    <t xml:space="preserve">Mitigates selection bias caused by low-precision pseudo-labels in self-training. Addresses the scarcity of labeled data by effectively leveraging a large pool of unlabeled data. Reduces error accumulation in iterative pseudo-label generation through reinforcement feedback. Balances task generalization with model complexity using a metric learning approach.
</t>
  </si>
  <si>
    <t xml:space="preserve">SemEval 2010 Task 8, TACRED, FewRel 1.0 (for generalization experiments)
</t>
  </si>
  <si>
    <t>Built on a pseudo-label generator that leverages pre-trained language models (e.g., BERT, with improvements via MTB). Utilizes a feature mapping space that projects extracted semantic features for metric learning. Implements a classification network to generate pseudo-labels and compute similarity scores.</t>
  </si>
  <si>
    <t>Self-train (Rosenberg, Hebert, and Schneiderman 2005), GradLRE (Hu et al. 2021b), MetaSRE (Hu et al. 2021a), MRefG (Li and Qian 2020), UREVA (Yuan and Eldardiry 2021), Few-shot models such as IncreProtoNet, HCRP, and MapRE</t>
  </si>
  <si>
    <t>Input sentences with marked entity pairs, processed with special tokens (e.g., [CLS] and [SEP]). Unlabeled text is fed into a feature extractor to obtain semantic representations.</t>
  </si>
  <si>
    <t>Predicted relation triples (head entity, relation, tail entity) with associated confidence scores derived from similarity in the mapping space.</t>
  </si>
  <si>
    <t>A small labeled dataset combined with a larger pool of unlabeled data. Pseudo-labels generated by the classification network, filtered iteratively based on feature mapping similarity. Reinforcement learning feedback is applied to adjust the pseudo-label generator, with optional data augmentation to expand the training set.</t>
  </si>
  <si>
    <t>fmLRE is a low-resource relation extraction model that improves pseudo-label quality by combining metric learning with reinforcement learning. It computes the similarity between pseudo-labeled samples and a support set in a pre-trained feature mapping space to filter out noisy labels and update the training dataset iteratively. The model reduces selection bias and enhances extraction accuracy, achieving state-of-the-art performance on benchmarks like SemEval, TACRED, and FewRel 1.0, although it faces limitations in generalization and zero-shot scenarios.</t>
  </si>
  <si>
    <t>xu5</t>
  </si>
  <si>
    <t>S2ynRE</t>
  </si>
  <si>
    <t>Proposes a two-stage self-training algorithm that alternately trains on synthetic data and golden (labeled) data. Leverages large language models (GPT2-Large and GPT-3.5) to generate large-scale, domain-customized synthetic training data using unconditional generation. Utilizes soft pseudo-labels generated by a teacher–student framework with multi-teacher distillation to reduce selection bias.</t>
  </si>
  <si>
    <t>Extracts relational triples (subject, relation, object) from text by converting relational statements into marked natural language sequences with special tokens.</t>
  </si>
  <si>
    <t>Evaluated using Micro-F1 (or Accuracy for some datasets) across multiple benchmarks such as SemEval 2010 Task 8, TACRED, TACRED-Revisited, Re-TACRED, ChemProt, and Wiki80. Experiments are reported under different resource settings: FEW (1%), LIMITED (10%), and FULL (100%) training data.</t>
  </si>
  <si>
    <t>Addresses severe data scarcity and domain disparity between distant supervision sources and target tasks. Mitigates selection bias and error accumulation in self-training by filtering noisy pseudo-labels. Enhances model performance in low-resource settings where only a few labeled instances are available.</t>
  </si>
  <si>
    <t>Defined as scenarios with very limited annotated training data (e.g., FEW setting with only 1% of the data available). Focuses on domains where labeled examples are scarce and distant supervision may not align well with target distributions.</t>
  </si>
  <si>
    <t>SemEval 2010 Task 8, TACRED, TACRED-Revisited, Re-TACRED, ChemProt, and Wiki80.</t>
  </si>
  <si>
    <t>Standard fine-tuning baselines (BERT finetuning). Distant supervision based models such as MTB, CP, and ERICA. Other semi-supervised/self-training methods like GradLRE and MetaSRE as reported in related work.</t>
  </si>
  <si>
    <t xml:space="preserve">Marked natural language sentences where subject and object entities are enclosed with special tokens (e.g., [Sub], [\Sub], [Obj], [\Obj]).
</t>
  </si>
  <si>
    <t>Predicted relation labels for the given entity pair in each sentence.</t>
  </si>
  <si>
    <t>S2ynRE is a framework for low-resource relation extraction that synthesizes domain-specific training data using LLMs and leverages a novel two-stage self-training algorithm. In stage one, the model is trained on synthetic data with soft pseudo-labels obtained through multi-teacher distillation, while in stage two, it is fine-tuned on golden labeled data. This iterative process effectively mitigates data scarcity and domain disparity issues, achieving substantial performance improvements across multiple benchmarks in low-resource scenarios.</t>
  </si>
  <si>
    <t>xu2</t>
  </si>
  <si>
    <t>NBR</t>
  </si>
  <si>
    <t>Reformulates biomedical RE as a Natural Language Inference (NLI) task by converting relation labels into natural language hypotheses. Introduces a ranking-based loss to calibrate entailment scores and explicitly handles abstinent instances, allowing the model to abstain on uncertain cases. Leverages indirect supervision from general-domain NLI resources to overcome annotation scarcity and long-tail issues in biomedical RE.</t>
  </si>
  <si>
    <t>Transforms each biomedical RE instance into an NLI query, where the input sentence (with type-masked entities) is treated as the premise and each candidate relation is verbalized as a hypothesis. The relation is determined by selecting the hypothesis with the highest entailment score.</t>
  </si>
  <si>
    <t>Relation Extraction (reformulated as an NLI task)</t>
  </si>
  <si>
    <t>Evaluated using micro F1 scores on biomedical RE benchmarks. Experiments are conducted in both full-shot and low-resource settings to assess generalization under data scarcity.</t>
  </si>
  <si>
    <t>Tackles data scarcity and low annotation coverage in biomedical RE. Addresses the long-tail problem by enabling the model to abstain from making forced predictions on unseen relations. Mitigates the domain gap between general-domain NLI supervision and specialized biomedical data.</t>
  </si>
  <si>
    <t>Scenarios with very limited high-quality annotated biomedical RE data and a high prevalence of abstinent (no-relation) instances. Specifically targets long-tail cases where standard classification methods tend to overpredict from limited seen relations.</t>
  </si>
  <si>
    <t>Indirect supervision by reformulating RE as an NLI task, thereby transferring supervision from large general-domain NLI datasets. Utilizes data augmentation via synthetic data generation through verbalization and ranking-based loss for abstention calibration.</t>
  </si>
  <si>
    <t>A biomedical sentence with two masked entity mentions (e.g., @CHEMICAL$, @GENE$, or @DISEASE$) provided as the premise, along with a set of natural language hypotheses for each candidate relation.</t>
  </si>
  <si>
    <t>The predicted relation label (or ⊥ for abstention) for the entity pair, selected as the hypothesis with the highest entailment score from the NLI model.</t>
  </si>
  <si>
    <t>A set of biomedical RE instances reformulated into NLI pairs, where each instance comprises a premise (input sentence with typed entity masks) and multiple verbalized hypotheses representing candidate relations. Includes both non-abstinent (labeled) and abstinent (⊥) instances for training with a ranking-based loss.</t>
  </si>
  <si>
    <t>NBR converts biomedical relation extraction into an NLI formulation by verbalizing relation labels as hypotheses, enabling the model to leverage semantic cues and indirect supervision from general NLI tasks. It employs a ranking-based loss along with an abstention calibration mechanism to learn clear decision boundaries, improving performance in low-resource, long-tail biomedical settings.</t>
  </si>
  <si>
    <t>Structured + Unstructured QA Pipeline</t>
  </si>
  <si>
    <t>Reformulates the QA task by combining Freebase-based relation extraction with textual evidence from Wikipedia. Integrates joint inference of entity linking (using S‑MART) and relation extraction (using a multi‐channel CNN) to improve candidate answer ranking. Incorporates a post-processing answer refinement model (using LIBSVM) to validate candidate answers via unstructured evidence.</t>
  </si>
  <si>
    <t>Extracts relational triples in the form (topic entity, relation, answer entity) from questions by mapping the natural language query to a structured KB (Freebase).</t>
  </si>
  <si>
    <t>Question Answering (via relation extraction)</t>
  </si>
  <si>
    <t xml:space="preserve">Evaluated using average question-wise F1 score on the WebQuestions dataset.
</t>
  </si>
  <si>
    <t>Overcomes the limitations of shallow relation extraction methods that cannot capture complex, multi-constraint questions. Mitigates the ambiguity and forced prediction issues (e.g., predicting from a limited set of seen relations) by incorporating additional evidence from Wikipedia. Addresses the scarcity of annotated training data by leveraging distant supervision.</t>
  </si>
  <si>
    <t>Targets scenarios with limited annotated data for KB-based QA, where training examples are scarce and distant supervision is used to compensate.</t>
  </si>
  <si>
    <t>Distant supervision from Freebase is combined with external textual evidence (Wikipedia) to refine predictions, thereby enhancing performance despite limited annotations.</t>
  </si>
  <si>
    <t>WebQuestions dataset</t>
  </si>
  <si>
    <t>A natural language question processed for entity linking (via S‑MART) and relation extraction (via MCCNN) over Freebase.</t>
  </si>
  <si>
    <t>The final answer entity or set of entities selected as the correct response, as determined by the combined scores from the structured extraction and evidence refinement.</t>
  </si>
  <si>
    <t>Annotated question-answer pairs from the WebQuestions dataset with surrogate gold relations (derived from Freebase) and corresponding topic entities; additional unstructured data from Wikipedia is used for answer refinement.</t>
  </si>
  <si>
    <t>The method first identifies a topic entity via entity linking and then applies a multi-channel CNN to extract candidate relations from Freebase. Joint inference is performed to integrate entity linking and relation extraction outputs, producing a ranked list of candidate answers. An answer refinement model validates these candidates by retrieving supporting evidence from the Wikipedia page of the topic entity, filtering out incorrect answers. This hybrid approach significantly improves answer accuracy, achieving a state-of-the-art F1 of 53.3% on the WebQuestions dataset.</t>
  </si>
  <si>
    <t>xu</t>
  </si>
  <si>
    <t>LREBench (Low-resource Relation Extraction Benchmark)</t>
  </si>
  <si>
    <t>Investigates three schemes: prompt-based tuning, balancing methods for long-tailed distributions, and data augmentation/self-training. Compares standard PLM fine-tuning with prompt-based approaches using diverse prompt designs and re-balancing techniques. Evaluates performance under different data regimes (8-shot, 10%, 100%).</t>
  </si>
  <si>
    <t>Extracting relational triples—comprising a head entity, a tail entity, and a relation label—from text. Focuses on assigning correct relation labels between entity pairs based on contextual cues.</t>
  </si>
  <si>
    <t>Utilizes Macro F1 and Micro F1 scores as primary evaluation metrics. Assesses model performance across varying amounts of training data (8-shot, 10%, 100%).</t>
  </si>
  <si>
    <t>Data scarcity in low-resource (few-shot) settings. Handling long-tailed class distributions where some relations have very few examples. Difficulty in extracting relations from cross-sentence contexts or when multiple relational triples exist in a single text. Inconsistencies in performance gains with self-training due to noisy pseudo labels.</t>
  </si>
  <si>
    <t>Scenarios where only very limited annotated training data are available (e.g., few-shot or 10% of full data). Emphasizes settings with extreme data scarcity affecting model generalization.</t>
  </si>
  <si>
    <t>Prompt-based tuning. Data augmentation via token-level synonym substitution and contextual modifications. Self-training using pseudo-labeled data. Re-balancing techniques including re-sampling and re-weighting losses.</t>
  </si>
  <si>
    <t>Eight public datasets: SemEval, TACREV, Wiki80, SciERC, ChemProt, DialogRE, DuIE2.0, and CMeIE. Datasets span multiple domains (general, encyclopedic, scientific, biochemical, dialogue, and medical) and languages (English and Chinese).</t>
  </si>
  <si>
    <t>Leverages pre-trained language models such as RoBERTa-large, Chinese RoBERTa-large, and BioBERT-large. Applies both standard fine-tuning and prompt-based tuning frameworks.</t>
  </si>
  <si>
    <t>Standard PLM fine-tuning (Normal) versus prompt-based tuning (KnowPrompt). Various balancing methods (e.g., re-sampling, Focal Loss, LDAM Loss). Data augmentation and self-training strategies.</t>
  </si>
  <si>
    <t xml:space="preserve">Raw text instances with marked entities, formatted in a unified manner (one text per relational triple).
</t>
  </si>
  <si>
    <t>Predicted relational triple comprising the head entity, tail entity, and the assigned relation label.</t>
  </si>
  <si>
    <t>Limited annotated data from few-shot (8-shot) or 10% training settings. Augmented data generated via data augmentation methods. Pseudo-labeled data produced through self-training.</t>
  </si>
  <si>
    <t xml:space="preserve">Presents LREBench, a comprehensive benchmark and empirical study for low-resource relation extraction. Evaluates the impact of prompt-based tuning, balancing methods, and data augmentation/self-training on performance. Provides unified evaluation across eight diverse datasets, highlighting challenges such as long-tailed distributions and cross-sentence relation extraction. Offers insights and a general schema for improving relation extraction under low-resource conditions.
</t>
  </si>
  <si>
    <t>yu</t>
  </si>
  <si>
    <t>Self-RDGS (Self-supervised Reliable Data Generation and Selection)</t>
  </si>
  <si>
    <t>Combines distant supervision with automatic text generation (ATG-DS) by fully leveraging triplet information (entities and relation) as prompts. Implements two generation modes: In-Context Learning based generation (using ChatGLM2-6B and LLaMa2-7B-chat) and fine-tuning based generation (using GPT-2large). Introduces a ranking-based data selection method (MAXONE) that uses global distribution scores to filter out noisy generated sentences. Integrates data generation and selection within a self-supervised iterative training framework.</t>
  </si>
  <si>
    <t>Extracting relation labels between two entities in a sentence, thereby forming a triplet (head entity, relation, tail entity).</t>
  </si>
  <si>
    <t xml:space="preserve">Mitigating noise in automatically generated annotated data. Overcoming the scarcity of annotated training data in low-resource scenarios. Effectively utilizing triplet information to guide generation and improve data quality.
</t>
  </si>
  <si>
    <t>Defined by having a very limited seed dataset (20 human-annotated sentences per relation) used for both validation and initial training.</t>
  </si>
  <si>
    <t>BERT-base RE model employing an “entity-marker” technique for encoding sentences. Utilizes LLMs (ChatGLM2-6B, LLaMa2-7B-chat, and GPT-2large) as the backbone for generating annotated data.</t>
  </si>
  <si>
    <t>Sentences formatted with entity markers (e.g., using [E1] and [E2] to denote head and tail entities).</t>
  </si>
  <si>
    <t xml:space="preserve">Predicted relation label (or relational triplet) selected from the set of predefined relations.
</t>
  </si>
  <si>
    <t>Automatically generated annotated sentences selected via the MAXONE data selection method from the sentence pool for each triplet, combined with the limited seed dataset.</t>
  </si>
  <si>
    <t>Proposes Self-RDGS, a novel framework that augments low-resource relation extraction by generating high-quality training data using LLMs guided by triplet information. The approach employs both in-context learning and fine-tuning for automatic text generation, followed by a ranking-based selection mechanism to filter out noise. The entire process is integrated into an iterative self-supervised training framework, yielding significant improvements over several baselines on multiple datasets.</t>
  </si>
  <si>
    <t>yuan</t>
  </si>
  <si>
    <t>Domain Knowledge and Prompt Learning (DK-PLRE)</t>
  </si>
  <si>
    <t>Integrates external domain knowledge with prompt learning to enhance biomedical entity representations. Designs multiple prompt templates that transform the relation extraction task into a cloze-style problem. Utilizes special tokens to mark entity boundaries and incorporates knowledge from sources like Wikipedia and DrugBank for refined entity features. Employs a transformer-based architecture (using BioBERT) to address the gap between pre-training and fine-tuning in the biomedical domain.</t>
  </si>
  <si>
    <t>Extracting the relation label between two biomedical entities in a sentence, forming a triplet (entity1, relation, entity2).</t>
  </si>
  <si>
    <t xml:space="preserve">Overcoming the complexities of highly technical language and domain-specific terminology in biomedical texts. Addressing imbalanced class distributions and limited training samples in biomedical datasets. Mitigating the scarcity of annotated data in the biomedical domain.
</t>
  </si>
  <si>
    <t>Simulated by using a limited number of annotated samples (e.g., 8, 16, or 32 samples per entity type) to reflect scenarios with scarce biomedical data.</t>
  </si>
  <si>
    <t>Leverages prompt learning to recast relation extraction as a cloze task, thus narrowing the pre-training and fine-tuning gap. Integrates domain knowledge to enhance entity representations, reducing the adverse effects of technical jargon and sparse data.</t>
  </si>
  <si>
    <t>DDI Extraction 2013 dataset, ChemProt dataset</t>
  </si>
  <si>
    <t xml:space="preserve">Based on BioBERT, a transformer encoder pre-trained on biomedical corpora, integrated within a multi-module framework (input, encoding, knowledge enhancement, and prompt learning modules).
</t>
  </si>
  <si>
    <t>Biomedical sentences with marked entity boundaries using special symbols (e.g., "$" for the first entity and "#" for the second) combined with a prompt template containing [MASK] tokens.</t>
  </si>
  <si>
    <t>Predicted relation label(s) obtained by filling in the [MASK] positions in the prompt template, indicating the relation between the biomedical entities.</t>
  </si>
  <si>
    <t>Limited annotated biomedical text (seed data) combined with prompt templates that integrate special tokens and multiple [MASK] positions for both entity and relation prediction.</t>
  </si>
  <si>
    <t>Proposes a biomedical relation extraction model that fuses domain knowledge with prompt learning to enhance entity representations and overcome challenges inherent in biomedical texts. The model reformulates relation extraction as a cloze-style task using tailored prompt templates and special entity markers, effectively bridging the pre-training and fine-tuning gap. Demonstrates state-of-the-art performance on benchmark datasets (DDI Extraction 2013 and ChemProt), particularly under low-resource conditions, by leveraging enhanced contextual and domain-specific information.</t>
  </si>
  <si>
    <t>zhang</t>
  </si>
  <si>
    <t>Weighted Relation Adversarial Network (wRAN)</t>
  </si>
  <si>
    <t>Employs adversarial transfer learning by introducing a relation discriminator that distinguishes between high‐resource (source) and low‐resource (target) relations. Proposes a weighted relation adaptation mechanism that computes both relation and instance weights via a relation‐gate, thereby mitigating negative transfer from outlier or unrelated source relations. Designed to extract transferable, relation-invariant features applicable to both link prediction and relation extraction tasks.</t>
  </si>
  <si>
    <t>For link prediction: Evaluated using Mean Reciprocal Rank (MRR), Mean Rank (MR), and Hits@N metrics. For triple classification: Measured by accuracy on low-resource relations. For relation extraction: Assessed using F1 scores (both Micro and Macro).</t>
  </si>
  <si>
    <t>Tackles the long-tail and low-resource problem where many relations have very few training examples. Mitigates negative transfer by down-weighting outlier source relations and nontransferable instances. Focuses on learning relation-invariant features that bridge the linguistic and semantic gap between diverse relation types.</t>
  </si>
  <si>
    <t>Considers relations with sparse training samples (e.g., less than 500 triples) as low-resource, a common issue in real-world knowledge graphs.</t>
  </si>
  <si>
    <t xml:space="preserve">Transfer learning via adversarial adaptation combined with a weighted relation adaptation mechanism (using a relation-gate to balance relation and instance contributions).
</t>
  </si>
  <si>
    <t xml:space="preserve">Primary benchmarks include FB1.5M and FB15K-237-low for link prediction and triple classification. Additional evaluations on relation extraction are conducted on datasets such as ACE05 and Wiki-NYT.
</t>
  </si>
  <si>
    <t>Built upon a convolutional neural network (CNN) instance encoder, optionally incorporating pre-trained KG embeddings (e.g., TransE) to represent structural information. Leverages adversarial training to learn domain-invariant features through a relation discriminator. Integrates a relation-gate mechanism for weighted adaptation.</t>
  </si>
  <si>
    <t>For link prediction: Incomplete triples with one missing element (e.g., (h, r, ?)). For relation extraction: Textual sentences containing entity pairs along with contextual information.</t>
  </si>
  <si>
    <t xml:space="preserve">For link prediction: A ranked list of candidate entities filling the missing slot. For relation extraction: The predicted relation label or extracted triplet corresponding to the input.
</t>
  </si>
  <si>
    <t>A collection of training triples from high-resource source relations combined with limited training samples for low-resource target relations. For relation extraction, includes both KG structural information (e.g., embeddings) and textual context.</t>
  </si>
  <si>
    <t>Proposes the Weighted Relation Adversarial Network (wRAN) for low-resource knowledge graph completion by transferring features from high-resource relations to low-resource ones. Utilizes adversarial transfer learning to extract relation-invariant features and employs a novel weighted relation adaptation mechanism (with a relation-gate) to balance contributions from various source relations and instances. Demonstrates superior performance in both link prediction and relation extraction tasks on benchmark datasets, effectively addressing challenges posed by the long-tail and sparse data scenarios.</t>
  </si>
  <si>
    <t>zhang3</t>
  </si>
  <si>
    <t>Co-Training with Validation (CTV)</t>
  </si>
  <si>
    <t>Proposes a dual-role paradigm where each learner alternates as both annotator and validator. Unlike traditional self-training with validation (STV) that assigns a single role per learner, CTV leverages both roles concurrently to generate and validate pseudo-labelled instances. Enhances the exploitation of unlabeled data by mutually reinforcing two diversified learners.</t>
  </si>
  <si>
    <t>Extracts relational facts (triplets) by identifying the relation between entity pairs in text. In semi-supervised settings, aims to construct knowledge bases by jointly utilizing labeled and unlabeled data.</t>
  </si>
  <si>
    <t>Triplet Extraction (Semi-supervised Relation Extraction)</t>
  </si>
  <si>
    <t xml:space="preserve">Uses micro-average Precision, Recall, and F1-score as evaluation metrics. Assesses performance under various labeled data ratios (e.g., 5%, 10%, 30% for Semeval; 3%, 10%, 15% for Re-TACRED). Reports average performance over multiple runs along with standard deviations.
</t>
  </si>
  <si>
    <t xml:space="preserve">Limited availability of labeled data in low-resource scenarios. Under-utilization of unlabeled corpus due to noisy pseudo-labels in traditional methods. Balancing the trade-off between pseudo-label quantity and quality to improve model learning.
</t>
  </si>
  <si>
    <t xml:space="preserve">Scenarios where only a small fraction of the dataset is labeled (e.g., 5% or 10% of the total data). Emphasizes leveraging abundant unlabeled data to compensate for scarce annotations.
</t>
  </si>
  <si>
    <t>Semi-supervised learning via co-training with validation. Data augmentation through pseudo-labeling of unlabeled data, with learners generating and validating additional training instances.</t>
  </si>
  <si>
    <t>Semeval dataset, Re-TACRED dataset</t>
  </si>
  <si>
    <t>Utilizes two relation extraction learners with the same network architecture but different initializations to ensure diversity. Generic framework that can be implemented with various base RE models (e.g., PRNN, R-BERT).</t>
  </si>
  <si>
    <t>Unlabeled sentences containing potential relation mentions (entity pairs) from the corpus.</t>
  </si>
  <si>
    <t xml:space="preserve">Predicted relation labels (or pseudo-labelled relation instances) for each input sentence.
</t>
  </si>
  <si>
    <t>A small labeled set combined with a large unlabeled corpus. Iteratively updated pseudo-labelled instances generated and validated by the two learners.</t>
  </si>
  <si>
    <t>Introduces a generic semi-supervised relation extraction framework (CTV) that maximizes the utility of unlabeled data. In CTV, two learners alternate roles to annotate and validate unlabeled instances, reinforcing each other and producing higher quality pseudo-labels. Experimental results on benchmark datasets (Semeval and Re-TACRED) show that CTV outperforms state-of-the-art semi-supervised methods, highlighting its effectiveness in low-resource settings.</t>
  </si>
  <si>
    <t>zhang2</t>
  </si>
  <si>
    <t>Prompt-tuning with Global and Local Relation Graphs</t>
  </si>
  <si>
    <t>Integrates a global relation graph to capture label consistency across relations and enhance cross-relation feature representations. Constructs local relation subgraphs for each relation type to refine features within the same relation, improving discrimination among similar relations. Injects semantic knowledge from relation labels into the prompt-tuning process to better utilize scarce labeled data. Tailors prompt-tuning specifically for few-shot relation extraction by combining global and local relational structure cues.</t>
  </si>
  <si>
    <t xml:space="preserve">Defined as scenarios with extremely limited annotated examples per relation (e.g., few-shot settings with as low as 8 samples per relation). Emphasizes the need for methods that can effectively leverage sparse supervision.
</t>
  </si>
  <si>
    <t>Experiments conducted on four widely used low-resource relation extraction datasets: SemEval, TACRED, TACREV, and Re-TACRED.</t>
  </si>
  <si>
    <t>The predicted relation label, which when combined with the input entities forms the extracted triplet. Effectively distinguishes between similar relations even under zero-shot or few-shot conditions.</t>
  </si>
  <si>
    <t>Proposes a novel prompt-tuning method that leverages global and local relation graphs to enhance few-shot relation extraction. Constructs a global relation graph to optimize feature representations across different relations, then partitions it into local subgraphs to refine features within each relation. Integrates semantic knowledge from relation labels into the prompt-tuning process, addressing challenges in distinguishing similar relations under low-resource conditions. Extensive experiments on four benchmark datasets demonstrate significant performance improvements over existing methods, particularly in scenarios with very limited training data.</t>
  </si>
  <si>
    <t>zhang4</t>
  </si>
  <si>
    <t xml:space="preserve">Constructs a global relation graph based on label consistency to enhance feature representations across different relations. Divides the global graph into local relation subgraphs for refining feature representations within the same relation. Injects semantic knowledge from relation labels into learnable prompt templates. Integrates graph-based modeling into prompt-tuning for improved few-shot relation extraction.
</t>
  </si>
  <si>
    <t>Scarcity of labeled data in few-shot settings. Difficulty in distinguishing between similar relations with limited training samples. Inefficient feature representation without leveraging inter-sample relational information.</t>
  </si>
  <si>
    <t>Defined as few-shot scenarios where only a very limited number of labeled instances (as few as 8 per relation) are available.</t>
  </si>
  <si>
    <t>SemEval, TACRED, TACREV, and Re-TACRED</t>
  </si>
  <si>
    <t>Built on a prompt-tuning framework leveraging a pre-trained language model (BERT). Utilizes learnable prompt templates enhanced by global and local relation graph modules.</t>
  </si>
  <si>
    <t>Fine-tuning methods: SpanBERT, LUKE, GDPNet, TANL.
Prompt-tuning methods: TYP Marker, PTR, KnowPrompt.</t>
  </si>
  <si>
    <t>Raw sentences transformed into prompt inputs with inserted [MASK] tokens and injected semantic knowledge from relation labels.</t>
  </si>
  <si>
    <t>Predicted relation labels that, combined with input entities, form the extracted triplets.</t>
  </si>
  <si>
    <t>Few-shot labeled relation extraction instances processed through learnable prompt templates and enriched via global and local relation graphs.</t>
  </si>
  <si>
    <t>Proposes a novel prompt-tuning method for few-shot relation extraction that exploits both global and local relation graphs to optimize feature representations. Constructs a global relation graph to capture inter-relation consistency and partitions it into local subgraphs to refine intra-relation features. Injects semantic knowledge from relation labels into the prompt templates to fully utilize scarce supervised information. Extensive experiments on four public datasets demonstrate significant performance improvements in low-resource settings compared to state-of-the-art baselines.</t>
  </si>
  <si>
    <t>zhao2</t>
  </si>
  <si>
    <t>Prompt-based Zero-Shot RE via Semantic Matching</t>
  </si>
  <si>
    <t>Reformulates zero-shot relation extraction as a semantic matching task instead of using a conventional two-tower architecture. Leverages prompt-tuning to elicit rich relational knowledge from pre-trained language models, reducing reliance on in-domain labeled data. Directly models the semantic interaction between relational instances and their descriptions during encoding, bypassing the separate encoding of instances and descriptions. Uses the distribution differences of predicted masked tokens to determine the match between instance and relation description.</t>
  </si>
  <si>
    <t>Evaluated on two academic datasets, such as TACRED and FewRel.</t>
  </si>
  <si>
    <t>Built on pre-trained language models (e.g., BERT) using a prompt-tuning framework that jointly encodes relational instances and descriptions. Incorporates learnable prompt templates enhanced by semantic matching to generate candidate-sensitive input representations.</t>
  </si>
  <si>
    <t>Compared against previous state-of-the-art zero-shot relation extraction methods such as ZS-BERT. Also benchmarked with other two-tower architectures that encode instances and descriptions separately.</t>
  </si>
  <si>
    <t>Reformulated prompt inputs combining the raw relational instance (with annotated entities) and candidate relation descriptions, with inserted continuous tokens and a [MASK] for label prediction.</t>
  </si>
  <si>
    <t>A training set of semantic matching pairs constructed by pairing each relational instance with its corresponding relation description (labeled as match) and with non-corresponding descriptions (labeled as not_match). Input is reformulated via prompt templates to facilitate masked language modeling.</t>
  </si>
  <si>
    <t>zhao</t>
  </si>
  <si>
    <t>zheng</t>
  </si>
  <si>
    <t>ConsistRE</t>
  </si>
  <si>
    <t>Extracting fine-grained relation triplets that capture both semantic and syntactic dependencies between entity pairs in text.</t>
  </si>
  <si>
    <t>Scenarios with extremely limited annotated data (e.g., few-shot settings with as few as 5 instances per relation type) that hinder traditional RE model training.</t>
  </si>
  <si>
    <t>SemEval, TACRED, and TACREV</t>
  </si>
  <si>
    <t>LLM-based generation backbone (e.g., GPT-3.5-turbo/ChatGPT)</t>
  </si>
  <si>
    <t>Augmented sentences that retain the original relation dependencies</t>
  </si>
  <si>
    <t>Synthetic data generated by integrating relation instances with keyword hints and demonstration examples via controlled prompt generation</t>
  </si>
  <si>
    <t>ConsistRE is a novel framework for relation extraction data augmentation that uses LLMs to generate diverse yet semantically consistent synthetic sentences by combining keyword hint integration with syntactic selection, effectively addressing low-resource challenges.</t>
  </si>
  <si>
    <t>zhou2</t>
  </si>
  <si>
    <t xml:space="preserve">Continual Contrastive Finetuning with Multi-Center Contrastive Loss (MCCL)
</t>
  </si>
  <si>
    <t>Bridges the gap between pretraining and finetuning by using consistent contrastive objectives throughout the training pipeline. Introduces a multi-center contrastive loss (MCCL) that allows entity pairs of the same relation to form multiple clusters, addressing the limitations of a one-cluster assumption. Employs classwise kNN-based inference to leverage the multi-cluster representation learned during finetuning.</t>
  </si>
  <si>
    <t>Document-level relation extraction that predicts relations between entity pairs within a document using contextualized entity pair embeddings.</t>
  </si>
  <si>
    <t xml:space="preserve">Relation Extraction (document-level)
</t>
  </si>
  <si>
    <t>Mitigates the gap between pretraining and finetuning objectives to fully leverage pretrained representations. Addresses the limitation of single-cluster assumptions by enabling multiple clusters per relation. Enhances performance in low-resource scenarios with extremely limited labeled data.</t>
  </si>
  <si>
    <t>Leverages transfer learning via self-supervised pretraining using an improved Matching-The-Blanks (MTB) objective enhanced with contrastive learning, followed by continual contrastive finetuning with MCCL.</t>
  </si>
  <si>
    <t xml:space="preserve">BioRED (a biomedical document-level RE dataset) and Re-DocRED (a general-domain document-level RE dataset).
</t>
  </si>
  <si>
    <t>Built on pretrained language models (using BERTBASE for general domain tasks and PubmedBERT for biomedical tasks) that are continually pretrained with the improved MTB objective.</t>
  </si>
  <si>
    <t>Documents with entity mentions marked by special tokens, which are processed to obtain contextualized entity pair embeddings.</t>
  </si>
  <si>
    <t>Predicted relation labels for each entity pair, determined via classwise kNN-based inference that utilizes the learned multi-cluster embedding representations.</t>
  </si>
  <si>
    <t>For pretraining: Unlabeled documents with entity annotations (but no relation labels) used to learn entity pair embeddings via an improved MTB objective with contrastive learning. For finetuning: A small fraction of labeled document-level relation extraction data.</t>
  </si>
  <si>
    <t>Proposes a continual contrastive finetuning framework for document-level relation extraction that aligns pretraining and finetuning objectives through contrastive learning. Introduces a novel multi-center contrastive loss (MCCL) to allow multiple clusters per relation, thereby preserving fine-grained relation information. Utilizes classwise kNN for inference to capitalize on the multi-cluster nature of the learned representations, achieving significant improvements in low-resource settings.</t>
  </si>
  <si>
    <t>BERT (whole word masking - wwm) with entity role markers and contrastive learning modules.</t>
  </si>
  <si>
    <t>Training with 50–300 (50, 100, 150, 200, 250, 300) manually labeled samples per relation, simulating data scarcity.</t>
  </si>
  <si>
    <t>Sentences with unseen relation labels (5, 10, 15).</t>
  </si>
  <si>
    <t>Incorporates external ontology knowledge to enrich relation semantics. Uses a generative prompt model to synthesize training samples for unseen relations with SAAN (syntax-aware attention network). Introduces a Multiple Triplets Decoding (MTD) algorithm for extracting multiple triplets from a sentence.</t>
  </si>
  <si>
    <t>Evaluated on the CPRE (Chinese Person Relationship Extraction) dataset, DuIE, and IPRE datasets. Combination of the datasets in different ratios (3:7, 1:1)</t>
  </si>
  <si>
    <t>Expert evaluation (sampled data assessment by domain experts, Table 1). Three-stage model evaluation: individual dataset performance, mixed CPRE-IPRE test sets, and mixed CPRE-DuIE test sets (Tables 2–3). Metrics: Precision, Recall, F1 score (micro-averaged).</t>
  </si>
  <si>
    <t xml:space="preserve">Data sparsity and scarcity of labeled training data. Noisy annotations from distant supervision. Semantic ambiguity in relationship categorization. Generalization to mixed datasets with varying noise levels.
</t>
  </si>
  <si>
    <t>Framework (LoRE) integrating distant supervision with LLMs (GPT-3.5-turbo for OpenIE). Utilizes BERT-based models (BERT-base-chinese) for semantic alignment.</t>
  </si>
  <si>
    <t>Unstructured Chinese text sentences.</t>
  </si>
  <si>
    <t>Synthetic training examples generated via distant supervision and LLM-driven OpenIE (using GPT-3.5-turbo). Preprocessed text aligned with a pre-constructed knowledge base (PersonGraphDataSet and encyclopedia data).</t>
  </si>
  <si>
    <t>Deepseek</t>
  </si>
  <si>
    <t>LoRE is a zero-shot framework for low-resource relation extraction, combining distant supervision with LLMs (e.g., GPT-3.5) to generate synthetic training data. It addresses noise via heuristic entity alignment (Levenshtein distance), relationship alignment (BERT-based semantic similarity), and semantic disambiguation (TongYiCi CiLin). Experiments on CPRE (Chinese Person Relationship Extraction), DuIE, and IPRE datasets demonstrate reduced annotation efforts and improved performance in low-resource settings.</t>
  </si>
  <si>
    <t>Defined as scenarios with very limited labeled examples per relation (e.g., 1-shot (examples), 5-shot, or 10-shot settings) within different ways (e.g., 5-way (5 queries), or 10-way settings)</t>
  </si>
  <si>
    <t>Proposes Prompt-XRE, integrating hard prompts (manual natural language), soft prompts (continuous vectors with artificial tokens), and hard-soft prompts (hybrid design). Uses mBART (sequence-to-sequence Transformer) with zero-shot cross-lingual transfer via prompt templates. Designed 9 prompt templates (e.g., Prompt_3 with "[MASK]" tokens for entity segmentation).</t>
  </si>
  <si>
    <t>Monolingual and cross-lingual F1-scores on ACE05 (En, Ar, Zh) and WMT17-EnZh XRE datasets. Ablation studies testing individual prompt templates (e.g., soft vs. hard prompts). Comparison with 12 baseline models, including CL-Trans-GCN, CL-GCN, Bi-LSTM, Transformer-RPR, GATE, XLM-R, and mBERT variants. Evaluation on mixed language pairs (e.g., En→Zh, En→Ar, Ar→Zh).</t>
  </si>
  <si>
    <t>Zero-shot cross-lingual transfer with no labeled data in target languages. Data sparsity in low-resource languages. Manual prompt design limitations for multilingual tasks. Mismatch between pre-training and fine-tuning in cross-lingual settings.</t>
  </si>
  <si>
    <t>ACE05: 2607 Arabic, 7124 Chinese, and 6653 English sentences. WMT17-EnZh XRE: 0.9M English-Chinese parallel pairs (888k train, 21.2k validation, 31.8k test).</t>
  </si>
  <si>
    <t>CL-Trans-GCN, CL-GCN, CL-RNN, Bi-LSTM, Transformer, Transformer-RPR, GATE, CNN, XLM-R (ETM-EMP), mBERT (ETM-EMP), XLM-R (SS/ES/EMP), and vanilla mBART.</t>
  </si>
  <si>
    <t>Encoder input: Raw sentences with language IDs (e.g., "[EN]") and prompt templates (e.g., "[MASK] tokens + entities"). Decoder input: Target language IDs (e.g., "[ZH]") for cross-lingual prediction.</t>
  </si>
  <si>
    <t xml:space="preserve">Prompt-XRE is a zero-shot cross-lingual RE framework combining mBART with prompt-tuning. It introduces soft prompts (e.g., "[MASK]"-based templates) to bridge pre-training and downstream tasks, enabling cross-lingual transfer without target-language annotations. Achieves SOTA on ACE05 (avg. F1: 68.7) and WMT17-EnZh datasets.
</t>
  </si>
  <si>
    <t>Added specifics on prompt types and template design. Expanded evaluation methods to include ablation studies and language pairs. Updated baselines to include all models from the paper. Clarified datasets (language splits and sizes). Specified inference input details (language IDs and prompt structure).</t>
  </si>
  <si>
    <t>Removed references to "Uyghur" (not mentioned in the paper). Added expert evaluation and mixed dataset testing. Corrected "mBERT" to "BERT-base-chinese". Specified Chinese text as input/output. Refined challenges to align with the paper’s focus.</t>
  </si>
  <si>
    <t>Relational Label Generator (RLG): Uses BERT to encode entity pairs (marked with [E1], [/E1], [E2], [/E2]) and classify relations. Gradient Imitation Reinforcement Learning (GIRL): Aligns pseudo-label gradients with labeled data gradients via cosine similarity as a reward. Contextualized Data Augmentation (CDA): Generates synthetic unlabeled data via span masking and BERT-based MLM when no unlabeled data exists.</t>
  </si>
  <si>
    <t>Ablation studies (e.g., GradLRE w/o GIRL vs. full model). Pseudo-label quality analysis via box plots and gradient direction visualization (PCA-reduced parameters). Scenario-specific testing: Evaluates performance under "L+U" (labeled + unlabeled data), "L+CDA" (labeled + augmented data), and "L" (labeled-only). Varying unlabeled data ratios (10%–90%) to assess robustness.</t>
  </si>
  <si>
    <t>Gradual drift in self-training due to noisy pseudo labels. Selection bias from limited labeled data. Extreme low-resource scenarios with no unlabeled data (handled via CDA).</t>
  </si>
  <si>
    <t>Scenario 1: Limited labeled data + abundant unlabeled data. Scenario 2: Only limited labeled data (no unlabeled data).</t>
  </si>
  <si>
    <t>Supervised models: LSTM, PCNN, PRNN, BERT. Semi-supervised methods: Self-Training, Mean-Teacher, RE-Ensemble, DualRE-Pairwise, DualRE-Pointwise, MRefG, MetaSRE.</t>
  </si>
  <si>
    <t xml:space="preserve">GradLRE is a low-resource RE framework with three modules: RLG (BERT-based relation classifier), GIRL (reinforcement learning with gradient similarity rewards), and CDA (span masking for data augmentation). It addresses gradual drift in self-training and achieves SOTA F1 on SemEval (85.52%) and TACRED (59.93%) with limited labeled data.
</t>
  </si>
  <si>
    <t>Added RLG, GIRL, and CDA specifics. Expanded evaluation methods to include ablation studies and scenario testing. Specified two low-resource scenarios. Added all baseline models from the paper. Clarified challenges (extreme scenarios, gradient alignment).</t>
  </si>
  <si>
    <t>Fine-tuning based methods such as BERT, BERTs, GDPNet, TUCORE-GCN, SimpleRE, SocAog. Prompt-based approach: KnowPrompt.</t>
  </si>
  <si>
    <t xml:space="preserve">Evaluated using micro F1 scores on dialogue RE benchmarks (e.g., CRECIL, DialogRE_cn, and DialogRE_en). Performance compared against both fine-tuning based and prompt-based methods.  Different sample sizes (k=8, 16, 32, 64)- examples per dialogue. </t>
  </si>
  <si>
    <t xml:space="preserve">Evaluated using micro F1 scores and other strict F1 metrics across multiple IE tasks (e.g., entity, relation, event trigger/argument, sentiment, quadruple and quintuple extraction). Experiments include full-shot, few-shot, and zero-shot settings on diverse benchmark datasets. 1s, 5s, 10s. </t>
  </si>
  <si>
    <t xml:space="preserve">The original BMRC model without augmentation and task feedback. Other state-of-the-art ASTE methods including two-stage pipeline models, unified labeling approaches, and multi-task frameworks from prior works (e.g., Peng et al., Xu et al., Zhang et al.). JET-BERT, Span-BART, GTS-BERT, ETSR-BERT, EMC-GCN, SPAN-ASTE, chen et al. (2022b), RIL, RoBMRC </t>
  </si>
  <si>
    <t>Introduces a Domain-aware Transformation Module (DTM) that leverages target domain distribution features from unsupervised data to guide feature transformation. Proposes Co-adaptive Prototypical Networks (CPN) that use Transformer‐based intra-class aggregation and inter-class adaptive layers to obtain distinguishable relation prototypes. Inter-class for compute the distances between the query and each prototype by similarity score. Combines these modules with a BERT encoder to enhance cross-domain generalization for few-shot relation extraction.</t>
  </si>
  <si>
    <t>Evaluation using average accuracy in N‑way‑K‑shot classification tasks. Performance measured on FewRel 2.0 under various shot settings (e.g., 5-way-1-shot, 5-way-5-shot, 10-way-1-shot, 10-way-5-shot).</t>
  </si>
  <si>
    <t xml:space="preserve">FewRel 2.0 dataset, comprising sub-datasets from Wikipedia (source) and P SemEval-2010 task8, NYT,
and Pubmed. (target). 
</t>
  </si>
  <si>
    <t>Classification-based RE models (e.g., R-BERT, LUKE, IRERoBERTa, RECENT, SpanBERt, KnowBERT, RoBERTa, k-Adapter, MTB) Other indirect supervision methods (e.g., NLIDeBERTa, KnowPrompt)</t>
  </si>
  <si>
    <t xml:space="preserve">TACRED(splits= 1%, 5%, 10%, 100%), and full TACREV, and SemEval 2010 Task 8 </t>
  </si>
  <si>
    <t>LSTM, PCNN, Self-training and Mean-Teacher approaches. DualRE variants (both pointwise and pairwise). Other low-resource RE methods such as MRefG, MetaSRE and GradLRE. BERT with gold labels.</t>
  </si>
  <si>
    <t xml:space="preserve">Assessed using micro F1 scores on benchmarks such as TACRED and SemEval. Evaluated under different low-resource settings with various proportions of seed data (SemEval= 5%, 10%, 30%, TACREd= 3%, 10%, 15%).
</t>
  </si>
  <si>
    <t>Zero-shot NER: OntoNotes-ZS 5.0, MedMentions-ZS. Zero-shot Relation Extraction: Wiki-ZSL, FewRel.</t>
  </si>
  <si>
    <t>Uses macro-averaged F1-score for evaluating zero-shot named entity recognition (ZSNER). Employs macro F1 and micro F1, along with precision and recall, for zero-shot relation classification and extraction tasks. For RC unseen labels 5, 10, 15.</t>
  </si>
  <si>
    <t xml:space="preserve">No  changes were made. </t>
  </si>
  <si>
    <t>FewRel (for few-shot relation extraction tasks  (10-way 5/10-shot)). TACRED (filtered to exclude “no_relation”, used in continual few-shot experiments (5-way 5/10-shot, filtered "no_relation")).</t>
  </si>
  <si>
    <t>Prompt learning combined with margin-based contrastive learning (a form of contrastive learning). Data augmentation via memory augmentation strategy using ChatGPT (GPT-3.5). Leverages transfer learning from pre-trained language models to adapt to the continual few-shot scenario.</t>
  </si>
  <si>
    <t xml:space="preserve">Transformer‑based neural models (e.g., GBERT, mBERT XLM‑R) fine‑tuned for relation extraction. Joint extraction architectures that combine entity recognition with relation classification
</t>
  </si>
  <si>
    <t>Introduces dual contrastive pre-training tasks: Entity Discrimination (ED): Infers tail entities given head entities and relations. Relation Discrimination (RD): Distinguishes semantically close/distant relations. Captures document-level relational reasoning (cross-sentence, multi-hop) via distant supervision, unlike prior works limited to intra-sentence relations. Combines contrastive objectives with masked language modeling (MLM) to retain general language understanding.</t>
  </si>
  <si>
    <t>Extracts structured triplets (head entity, relation, tail entity) by modeling entity interactions and multi-hop relational reasoning across sentences.</t>
  </si>
  <si>
    <t>Relation Extraction (document-level and sentence-level), Entity Typing, Question Answering.</t>
  </si>
  <si>
    <t>Relation Extraction: Micro F1 and IgF1 (ignores overlapping train/test relations) on DocRED; F1 on TACRED/SemEval. Entity Typing: Macro/Micro F1 on FIGER. Question Answering: Accuracy (WikiHop), F1 (SQuAD, TriviaQA, NaturalQA). Evaluates under low-resource splits (1%, 10%, 100% of training data).</t>
  </si>
  <si>
    <t>PLMs’ inability to explicitly model relational facts in text. Multi-hop reasoning for document-level relations. Entity understanding through comprehensive relation modeling.</t>
  </si>
  <si>
    <t>Scenarios with limited labeled data (e.g., 1% or 10% of training samples). Focus on robustness when fine-tuning with sparse annotations.</t>
  </si>
  <si>
    <t>Contrastive learning (primary) to learn robust entity/relation representations. Distant supervision for pre-training data construction (noisy but scalable).</t>
  </si>
  <si>
    <t>RE: DocRED (document-level), TACRED, SemEval-2010 Task 8 (sentence-level). Entity Typing: FIGER. QA: WikiHop (multi-choice), SQuAD, TriviaQA, NaturalQA (extractive).</t>
  </si>
  <si>
    <t>BERT-base-uncased and RoBERTa-base.</t>
  </si>
  <si>
    <t>RE: CNN, BiLSTM, BERT, RoBERTa, CorefBERT, SpanBERT, HINBERT, ERNIE, MTB, CP. QA: FastQA, BiDAF, CorefBERT.</t>
  </si>
  <si>
    <t>Raw text documents with entity mentions (no explicit relation annotations).</t>
  </si>
  <si>
    <t>Structured triplets (head entity, relation, tail entity).</t>
  </si>
  <si>
    <t>Pre-training: 1M Wikipedia documents annotated via Wikidata distant supervision. Fine-tuning: Task-specific datasets (e.g., DocRED, FIGER) with limited labeled examples.</t>
  </si>
  <si>
    <t>ERICA enhances PLMs’ ability to capture relational facts through contrastive learning. It addresses document-level reasoning by training on entity-relation interactions and distant supervision, achieving SOTA in low-resource RE, entity typing, and QA. Key innovations include ED/RD tasks and integration with MLM to prevent catastrophic forgetting.</t>
  </si>
  <si>
    <t>All, but not because it is wrong, instead it was unexactly.Clarified low-resource definition to explicitly include 1%/10% splits. Specified contrastive learning as the primary low-resource approach (vs. distant supervision as data construction). Highlighted document-level multi-hop reasoning in relation extraction definition. Added accuracy metrics for QA tasks (WikiHop). Streamlined baselines to avoid redundancy. Ensured consistency with the paper’s focus on triplet extraction as a subset of relation extraction.</t>
  </si>
  <si>
    <t xml:space="preserve">Relation Extraction (Zero-shot)
</t>
  </si>
  <si>
    <t>Defined by scenarios with very limited labeled data, where only a small percentage of the data is annotated (e.g., 5%, 10%, 30% in SemEval, 3%, 10%, 15% in TACRED). Encompasses cases where traditional supervised methods perform poorly due to insufficient labeled examples.</t>
  </si>
  <si>
    <t>Based on a simple fine-tuning of pre-trained language models (initialized with BERT-base-uncased, or CP) with marked input sequences for relation extraction. Synthetic data is generated via LLMs (GPT2-Large finetuning or GPT-3.5 in-context learning).</t>
  </si>
  <si>
    <t>A combination of a small golden (labeled) dataset and a large set of synthetic training data generated by LLMs. Synthetic data is annotated with soft pseudo-labels via multi-teacher distillation, and the model is trained  in two stages: Small labeled dataset + large unlabeled corpus. Iteratively expanded with high-precision pseudo-labels filtered via feature mapping similarity.</t>
  </si>
  <si>
    <t>Compared against state-of-the-art biomedical RE models such as BioRE-Prompt, BLUE-BERT, Sci-BERT, Bio-BERT, BioMegatron, PubMed-BERT, Sci-Five, KeBioLM, BioLink-BERT, BioM-ELECTRA, BioRoBERTa, BioM-ALBERT, BioLink-BERT, BioM-BERT which rely on direct supervision.</t>
  </si>
  <si>
    <t xml:space="preserve">Built on a transformer-based NLI model (e.g., using a biomedical-pretrained LM like BioLinkBERT) fine-tuned to process verbalized relation hypotheses and compute entailment scores. NLI, NLI+Fine tuning, NLI+Fine tuning + explicit Abstention Detector. </t>
  </si>
  <si>
    <t>Compared against QA systems based on semantic parsing and earlier relation extraction methods (e.g., Berant et al., Yao and Van Durme, Xu et al., Berant and Liang, Bao et al., Bordes et al., Dong et al., Yao et al.. Bast and Haussmann et al., Reddy et al., Yih et al.).</t>
  </si>
  <si>
    <t xml:space="preserve">Uses a Multi-Channel Convolutional Neural Network (MCCNN) for relation extraction alongside S‑MART for entity linking, with subsequent answer refinement using LIBSVM over Wikipedia evidence. Structured, Structured + joint, Structured + unstructured, Structured + joint + unstructured. 
</t>
  </si>
  <si>
    <t>SemEval 2010 task 8, Re-TACRED, and NYT10m</t>
  </si>
  <si>
    <t>SUPERVISED (both low-resource seed and high-resource full annotated data). LLMPREDICT (relation prediction via in-context learning on LLMs). STAD (self-training based RE system). RELATIONPROMPT (generation-based approach using relation name prompts with ICL).</t>
  </si>
  <si>
    <t>Evaluated using Micro-F1 scores (with standard deviations over 5 runs) on test sets across three datasets. Comparison of different data selection strategies and generation modes under low-resource settings: low-reosurces and high-resources. MergeAll: merge all the gener-
ated sentences in the sentence pool, FirstOne: selects the first generated sentence for each triplet, RandOne: randomly select one generated sentence, MinOne: chooses a sen-
tence with the lowest global distribution, MaxOne: chooses a sen-
tence with the highest global distribution</t>
  </si>
  <si>
    <t>Compared against traditional neural models such as CNN, DCNN, ACNN, RNN, and LSTM variants (Two-sstage, ASDP, ATT), AGCN. Also benchmarked against transformer-based models including BERT, BioBERT, EMSI-BERT, and domain-specific models like SCIBERT under low-resource settings, SECK.</t>
  </si>
  <si>
    <t xml:space="preserve">Evaluated on the DDI Extraction 2013 and ChemProt datasets using precision, recall, micro-F1, and macro-F1 metrics. Performance also assessed (ablation study) under simulated low-resource conditions using K-shot support sets (e.g., 8-shot, 16-shot, 32-shot). Prompts codified as CPR:&lt;nº prompt&gt;. </t>
  </si>
  <si>
    <t>Compared against KG embedding methods including TransE, TransH, TransR, TransD, DistMult, ComplEx, ConvE, Analogy, KBGAN, RotatE, KG-BERT, and IterE. For relation extraction, also benchmarks against adversarial domain adaptation models such as CNN, PCNN, CNN+DANN, Rank+ExAtt ,Hybrid, and FCM.</t>
  </si>
  <si>
    <t>Supervised upper-bound: PRNN-gold. Semi-supervised methods: Self-training, DualRE, MrefG, and traditional Co-training. Fully supervised: PRNN-gold</t>
  </si>
  <si>
    <t>Relation Extraction (Few-Shot)</t>
  </si>
  <si>
    <t>Identifying the semantic relation between a pair of entities (head and tail) in a sentence, particularly under few-shot conditions. Uses global and local relation graphs to distinguish similar relations.</t>
  </si>
  <si>
    <t xml:space="preserve">Evaluated using the F1-score as the main metric. Experiments conducted on four low-resource datasets under both standard and few-shot settings (e.g., with K = 8, 16, and 32 samples per relation). Performance comparisons include both precision and recall analyses. Performance compared across fine-tuning-based (e.g., SpanBERT, LUKE) and prompt-tuning-based (e.g., KnowPrompt, PTR) baselines. Identifying the semantic relation between a pair of entities (head and tail) in a sentence, particularly under few-shot conditions. Uses global and local relation graphs to distinguish similar relations.
</t>
  </si>
  <si>
    <t xml:space="preserve">Distinguishing between similar relations in scenarios with very limited labeled data. Overcoming the scarcity of annotated training samples in few-shot settings. Reducing prediction errors caused by overlapping or ambiguous relation representations. Leveraging limited labeled data to improve feature separation for similar relations.
</t>
  </si>
  <si>
    <t>Prompt-tuning augmented with global and local relation graphs for data augmentation. Prompt-tuning with relation graphs (global and local) and semantic knowledge injection, not data augmentation. Enhances feature representations by injecting semantic knowledge from relation labels into the prompt template.</t>
  </si>
  <si>
    <t>BERT-based prompt-tuning framework enhanced with relation graphs and structured knowledge constraints. Augmented by modules that construct global relation graphs and local relation subgraphs to optimize sample feature representations.</t>
  </si>
  <si>
    <t>Raw input sentences transformed into prompt inputs using a template that incorporates entity type information and a [MASK] token for relation prediction. Input sentences are restructured into prompts using templates like '[CLS] text Entity1 [MASK] Entity2 [SEP]'.</t>
  </si>
  <si>
    <t xml:space="preserve">Few-shot labeled relation extraction instances processed through prompt templates. Enriched by features derived from both a global relation graph (capturing inter-relation similarities) and local relation subgraphs (refining intra-relation distinctions). Few-shot labeled samples enriched with relation graphs and entity-type knowledge, processed through prompt templates.
</t>
  </si>
  <si>
    <t>Task (Relation extraction or Triplet extraction), Relation extraction/Triplet extraction definition, (RQ1) Evaluation methods, (RQ3) Challenges addressed, Low-resource approach used, Solution base, Inference Input, Training Input</t>
  </si>
  <si>
    <t>Compared with fine-tuning-based methods such as SpanBERT, KnowBERT, MTB, LUKE, GDPNet, and TANL. Benchmarked against prompt-tuning methods including TYP Marker, ENT Marker, AdaPrompt, PTR, and KnowPrompt.</t>
  </si>
  <si>
    <t xml:space="preserve">Relation Extraction </t>
  </si>
  <si>
    <t xml:space="preserve">Triplet Extraction </t>
  </si>
  <si>
    <t>Identifying semantic relations between entity pairs (head and tail) in sentences under few-shot conditions. Uses global relation graphs to optimize cross-relation features and local subgraphs to refine intra-relation representations.</t>
  </si>
  <si>
    <t xml:space="preserve">Evaluated using F1-score (with precision and recall) under few-shot settings (e.g., K = 8, 16, 32). Experiments conducted on four benchmark datasets: SemEval, TACRED, TACREV, and Re-TACRED. Ablation studies validating contributions of global/local graphs and knowledge injection 
</t>
  </si>
  <si>
    <t>Prompt-tuning augmented via global and local relation graph modeling. Prompt-tuning with global/local relation graphs and semantic knowledge injection</t>
  </si>
  <si>
    <t>Relation extraction/Triplet extraction definition, Task (Relation extraction or Triplet extraction), (RQ1) Evaluation methods, Low-resource approach used</t>
  </si>
  <si>
    <t>This two are the same paper.</t>
  </si>
  <si>
    <t>Task: Changed from "Triplet Extraction" to Relation Extraction. Definition: Removed "triplet formation" emphasis; aligned with relation matching. Evaluation: Added cross-domain and ablation studies. Low-resource Approach: Removed "data augmentation"; clarified prompt-tuning/semantic matching. Output: Specified binary match/not_match prediction. Challenges: Highlighted two-tower architecture limitations. Low-resource Definition: Clarified zero-shot and low-resource settings.</t>
  </si>
  <si>
    <t>Relation Extraction (Zero-Shot)</t>
  </si>
  <si>
    <t>Identifying semantic relations between entity pairs (head and tail) in sentences by matching instances to textual relation descriptions in zero-shot settings. Uses prompt-tuning to leverage pre-trained language model knowledge</t>
  </si>
  <si>
    <t>Handling emerging relations with no available labeled data. Mitigating the performance bottleneck caused by the limited exposure of relation descriptions during training. Bridging the semantic gap between relational instances and their descriptions in low-resource conditions. Overcoming limitations of two-tower architectures that encode instances and descriptions separately</t>
  </si>
  <si>
    <t>Zero-shot scenario where no labeled data exists for target (unseen) relations. Evaluates under low-resource settings (e.g., 20–200 labeled samples for predefined relations)</t>
  </si>
  <si>
    <t>Prompt-tuning with semantic matching (not data augmentation). Jointly encodes instances and descriptions to model interactions.</t>
  </si>
  <si>
    <t>Binary match/not_match prediction for instance-description pairs, aggregated to predict the final relation label.</t>
  </si>
  <si>
    <t>Proposes a zero-shot RE method using prompt-tuning and semantic matching. Directly models interactions between instances and descriptions (unlike two-tower architectures). Evaluated on TACRED and FewRel, showing robustness in low-resource and cross-domain settings.</t>
  </si>
  <si>
    <t xml:space="preserve">Evaluated using F1-score (as well as precision and recall) in zero-shot settings. Experiments conducted on two academic datasets under varying numbers of labeled samples (e.g., 1 per relation and larger sample sizes). FewRel (m=15 - unseen relations), TACRED (m=11). n (number of samples) = 20, 100, 200 and all Cross-domain experiments (FewRel → TACRED and TACRED → FewRel) and ablation studies on predefined relation numbers.
</t>
  </si>
  <si>
    <t xml:space="preserve">Editing methods (e.g., WSS, EDA, WES). Other generative data augmentation techniques (e.g., REMix, LAMBADA, GDA). ReDMP, SuRE
</t>
  </si>
  <si>
    <t>Added FAISS and Sentence-BERT for example selection in RQ1 differences. Fixed evaluation shot numbers (5,10,20,50,100). Expanded challenges to include diversity and avoiding new entity pairs. Removed incorrect mention of DSRE and added external corpus retrieval. Corrected inference input to reflect structured instances. Updated description to remove DSRE and clarify keyword hint sources</t>
  </si>
  <si>
    <t>Structured relation instances (s, h, r, t) with entities and relation type.</t>
  </si>
  <si>
    <t xml:space="preserve">Data augmentation through controlled prompt generation with LLMs, uses LLMs to generate diverse yet semantically consistent synthetic sentences by integrating keyword hints (derived from external corpus retrieval via Google Search API) and syntactic selection. and syntactic dependency parsing to enforce consistency.
</t>
  </si>
  <si>
    <t>Data scarcity and limited annotated samples in low-resource scenarios. Maintaining semantic consistency (relation dependency) while enhancing the diversity of synthetic sentences. Preventing semantic drift during generative data augmentation. Ensuring diversity in generated sentences while maintaining relation dependencies. Preventing introduction of new entity pairs with unknown labels during generation</t>
  </si>
  <si>
    <t>Leverages keyword hints (extracted via PMI, TF-IDF, and semantic similarity) as contextual constraints to preserve relation dependencies. Incorporates in-context demonstration selection using Sentence-BERT embeddings and FAISS for semantic similarity retrieval. Applies syntactic dependency parsing to filter augmented sentences.</t>
  </si>
  <si>
    <t>Evaluated using Micro-F1 scores across multiple low-resource (few-shot) settings on benchmark datasets. Shots = 5, 10, 20, 50, 100.</t>
  </si>
  <si>
    <t xml:space="preserve">Compared against standard cross-entropy (CE) finetuning, lazy learning without finetuning, and supervised contrastive loss, multi center contrastive loss, (SupCon) finetuning, both with and without MTB pretraining.
</t>
  </si>
  <si>
    <t>Defined as scenarios where only a very small fraction of annotated relation data is available (e.g., 1%, 5%, 10% and 100% of training data), making supervised learning challenging.</t>
  </si>
  <si>
    <t>Evaluated using micro-F1 (and micro-F1-Ign for Re-DocRED) metrics across various low-resource settings (e.g., using 1%, 5%, 10% and 100% of labeled data) as well as full-shot training.</t>
  </si>
  <si>
    <t>Prompt-tuning (label/context prompts)+ knowledje injection (Semantic / feature filter)+ meta-learning (Contrastive learning) + transfer learning (pre-training tasks).</t>
  </si>
  <si>
    <t>Prompt-tuning (context) + knowledge injection (virtual words, virtual answer space) + transfer learning (RoBERTa).</t>
  </si>
  <si>
    <t>Data augmentation (diffusion model) + meta-learning (prototypical network) + self-supervised (self-training).</t>
  </si>
  <si>
    <t>Proto-BERT, Proto-Hatt, MTB TD-Proto, MLMAN, CP, HCRP, LPD, GM_GEN, SimpleFSRE.</t>
  </si>
  <si>
    <t>Few-shot learning with N-way-K-shot configurations (e.g., 1–5 labeled examples per relation class). 5way-1shot, 5way-5shot, 10way-5shot, 10way-1shot, 10way-5shot.</t>
  </si>
  <si>
    <t xml:space="preserve">Introduces Zero-Shot Relation Triplet Extraction (ZeroRTE), a novel task requiring full triplet extraction for unseen relations. Uses structured prompts to generate synthetic data via language models (e.g., GPT-2), unlike manual template-based or distant supervision methods. Proposes Triplet Search Decoding to extract multiple triplets per sentence, addressing limitations of single-triplet training data. 
</t>
  </si>
  <si>
    <t>Data augmentation + prompt-tuned language models (GPT-2 for generation, BART for extraction).</t>
  </si>
  <si>
    <t xml:space="preserve"> Prompt-tuning + synthetic data generation + ontology knowledge injection.</t>
  </si>
  <si>
    <t>Data augmentation + prompt-tuning that leverages synthetic data generation from structured relation prompts.</t>
  </si>
  <si>
    <t>Data augmentation + distant supervision + prompt zero-shot capabilities of large language models.</t>
  </si>
  <si>
    <t>Data augmentation + large language model (Baichuan-13B) with in-context learning. Followed by a meta-learning strategy using a prototypical network.</t>
  </si>
  <si>
    <t>Self‑training + self‑ensembling and iterative pseudo‑label refinement.</t>
  </si>
  <si>
    <t>Reinforcement learning (GIRL) + pseudo-label refinement. Contextualized Data Augmentation (CDA) for synthetic data generation.</t>
  </si>
  <si>
    <t>Prompt tuning + contrastive learning, effectively enabling few-shot learning for dialogue RE.</t>
  </si>
  <si>
    <t xml:space="preserve">Transfer learning through pre-training + combined high-quality supervised data (NER/RE), MRC data, + distant supervision, followed by fine-tuning with explicit schema instructions.
</t>
  </si>
  <si>
    <t>Domain adaptation via explicit feature transformation + co-adaptive prototypical networks (a form of transfer learning enhanced by feature transformation).</t>
  </si>
  <si>
    <t>Implements automatic rule distilling by guiding PLMs to generate task-specific rules, functioning as a form of distant supervision enhanced with transfer learning.+ contrastive learning + meta-learning (meta-rules)</t>
  </si>
  <si>
    <t xml:space="preserve">Uses a prompt-based approach leveraging discriminative soft prompts + transfer learning from pre-trained language models (specifically ELECTRA) </t>
  </si>
  <si>
    <t>Data augmentation via counterfactual generation enhanced + commonsense knowledge. Leverages distant supervision through WordNet + controlled editing to generate augmented samples.</t>
  </si>
  <si>
    <t>Multi‑task learning combined + knowledge distillation to transfer information from related biomedical datasets. Transfer learning from pre‑trained language models (e.g., BERT‑base) adapted to the few‑shot context</t>
  </si>
  <si>
    <t>Distant supervision enhanced + guidance from external structured data (guided distant supervision). Data augmentation via cross‑lingual transfer and automatic labeling techniques</t>
  </si>
  <si>
    <t>Combines meta-learning via metric learning + an iterative reinforcement learning framework. Uses self-training with a pseudo-label generator and high-precision filtering based on feature mapping similarity. Optionally incorporates data augmentation, although its effect is slightly lower than the original method.</t>
  </si>
  <si>
    <t>Data augmentation through synthetic data generation using LLMs + with self-training. Employs a two-stage self-training framework that leverages metric learning and reinforcement learning techniques to iteratively refine pseudo-labels.</t>
  </si>
  <si>
    <t>BLURB benchmark: ChemProt, DDI, and GAD. MNLI SNLI.</t>
  </si>
  <si>
    <t>Data augmentation+ automatic text generation+  guided by triplet information + distant supervision principles and a ranking-based data selection mechanism to refine generated data.</t>
  </si>
  <si>
    <t>Both Link Prediction (triplet completion in KGs) and Relation Extraction (extracting triples from text).</t>
  </si>
  <si>
    <t>Defines relation extraction as extracting new relational facts (triplets) from textual corpus by identifying relations between entity pairs in sentences. Link prediction completes missing triples in knowledge graphs (KGs) by predicting missing entities.</t>
  </si>
  <si>
    <t xml:space="preserve">Updated the Relation extraction/Triplet extraction definition to clarify that relation extraction is performed on textual data, not directly on KGs. Modified Task to include both Link Prediction and Relation Extraction, reflecting the dual focus of the paper.
</t>
  </si>
  <si>
    <t>xu_1</t>
  </si>
  <si>
    <t>liu_2</t>
  </si>
  <si>
    <t>RE: DocRED (document-level), TACRED, SemEval-2010 Task 8 (sentence-level). Entity Typing: FIGER. QA: WikiHop (multi-choice), SQuAD, TriviaQA, NaturalQA, MRQA (extractive).</t>
  </si>
  <si>
    <t>Primary benchmarks include FB1.5M and FB15K-237-low for link prediction and triple classification. Additional evaluations on relation extraction are conducted on datasets such as ACE05 and Wiki-NYT.
YAGO3-10</t>
  </si>
  <si>
    <t xml:space="preserve">BioRED (a biomedical document-level RE dataset) and Re-DocRED (a general-domain document-level RE dataset).PubTator Central for pretraining.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</si>
</sst>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scheme val="minor"/>
    </font>
    <font>
      <u/>
      <sz val="12"/>
      <color theme="10"/>
      <name val="Aptos Narrow"/>
      <family val="2"/>
      <scheme val="minor"/>
    </font>
    <font>
      <sz val="12"/>
      <color theme="0"/>
      <name val="Aptos Narrow"/>
      <family val="2"/>
      <scheme val="minor"/>
    </font>
  </fonts>
  <fills count="13">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rgb="FFFFA09E"/>
        <bgColor indexed="64"/>
      </patternFill>
    </fill>
    <fill>
      <patternFill patternType="solid">
        <fgColor rgb="FFFDF3B2"/>
        <bgColor indexed="64"/>
      </patternFill>
    </fill>
    <fill>
      <patternFill patternType="solid">
        <fgColor theme="9" tint="0.59999389629810485"/>
        <bgColor indexed="64"/>
      </patternFill>
    </fill>
    <fill>
      <patternFill patternType="solid">
        <fgColor theme="2" tint="-0.499984740745262"/>
        <bgColor indexed="64"/>
      </patternFill>
    </fill>
    <fill>
      <patternFill patternType="solid">
        <fgColor theme="2" tint="-0.749992370372631"/>
        <bgColor indexed="64"/>
      </patternFill>
    </fill>
    <fill>
      <patternFill patternType="solid">
        <fgColor theme="2" tint="-0.89999084444715716"/>
        <bgColor indexed="64"/>
      </patternFill>
    </fill>
    <fill>
      <patternFill patternType="solid">
        <fgColor theme="3" tint="0.749992370372631"/>
        <bgColor indexed="64"/>
      </patternFill>
    </fill>
    <fill>
      <patternFill patternType="solid">
        <fgColor theme="3" tint="0.49998474074526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35">
    <xf numFmtId="0" fontId="0" fillId="0" borderId="0" xfId="0"/>
    <xf numFmtId="15" fontId="0" fillId="0" borderId="0" xfId="0" applyNumberFormat="1"/>
    <xf numFmtId="0" fontId="1" fillId="0" borderId="0" xfId="0" applyFont="1"/>
    <xf numFmtId="0" fontId="1" fillId="0" borderId="0" xfId="0" applyFont="1" applyAlignment="1">
      <alignment horizontal="left" vertical="center" wrapText="1"/>
    </xf>
    <xf numFmtId="0" fontId="0" fillId="0" borderId="0" xfId="0" applyAlignment="1">
      <alignment horizontal="left"/>
    </xf>
    <xf numFmtId="0" fontId="0" fillId="0" borderId="0" xfId="0" applyAlignment="1">
      <alignment horizontal="left" vertical="center" wrapText="1"/>
    </xf>
    <xf numFmtId="0" fontId="0" fillId="2" borderId="0" xfId="0" applyFill="1" applyAlignment="1">
      <alignment horizontal="left" vertical="center" wrapText="1"/>
    </xf>
    <xf numFmtId="0" fontId="2" fillId="0" borderId="0" xfId="1"/>
    <xf numFmtId="0" fontId="0" fillId="3" borderId="0" xfId="0" applyFill="1" applyAlignment="1">
      <alignment horizontal="left" vertical="center" wrapText="1"/>
    </xf>
    <xf numFmtId="0" fontId="0" fillId="4" borderId="0" xfId="0" applyFill="1" applyAlignment="1">
      <alignment horizontal="left" vertical="center" wrapText="1"/>
    </xf>
    <xf numFmtId="0" fontId="0" fillId="0" borderId="1" xfId="0" applyBorder="1"/>
    <xf numFmtId="0" fontId="0" fillId="5" borderId="1" xfId="0" applyFill="1" applyBorder="1"/>
    <xf numFmtId="0" fontId="0" fillId="7" borderId="1" xfId="0" applyFill="1" applyBorder="1"/>
    <xf numFmtId="0" fontId="0" fillId="6" borderId="1" xfId="0" applyFill="1" applyBorder="1"/>
    <xf numFmtId="0" fontId="0" fillId="8" borderId="0" xfId="0" applyFill="1" applyAlignment="1">
      <alignment horizontal="left" vertical="center" wrapText="1"/>
    </xf>
    <xf numFmtId="0" fontId="3" fillId="9" borderId="0" xfId="0" applyFont="1" applyFill="1" applyAlignment="1">
      <alignment horizontal="left" vertical="center" wrapText="1"/>
    </xf>
    <xf numFmtId="0" fontId="3" fillId="10" borderId="0" xfId="0" applyFont="1" applyFill="1" applyAlignment="1">
      <alignment horizontal="left" vertical="center" wrapText="1"/>
    </xf>
    <xf numFmtId="0" fontId="0" fillId="11" borderId="0" xfId="0" applyFill="1" applyAlignment="1">
      <alignment horizontal="left" vertical="center" wrapText="1"/>
    </xf>
    <xf numFmtId="0" fontId="0" fillId="12" borderId="0" xfId="0" applyFill="1" applyAlignment="1">
      <alignment horizontal="left" vertical="center" wrapText="1"/>
    </xf>
    <xf numFmtId="0" fontId="0" fillId="2" borderId="1" xfId="0" applyFill="1" applyBorder="1" applyAlignment="1">
      <alignment horizontal="left" vertical="center" wrapText="1"/>
    </xf>
    <xf numFmtId="0" fontId="0" fillId="3" borderId="1" xfId="0" applyFill="1" applyBorder="1" applyAlignment="1">
      <alignment horizontal="left" vertical="center" wrapText="1"/>
    </xf>
    <xf numFmtId="0" fontId="0" fillId="8" borderId="1" xfId="0" applyFill="1" applyBorder="1" applyAlignment="1">
      <alignment horizontal="left" vertical="center" wrapText="1"/>
    </xf>
    <xf numFmtId="0" fontId="3" fillId="9" borderId="1" xfId="0" applyFont="1" applyFill="1" applyBorder="1" applyAlignment="1">
      <alignment horizontal="left" vertical="center" wrapText="1"/>
    </xf>
    <xf numFmtId="0" fontId="3" fillId="10" borderId="1" xfId="0" applyFont="1" applyFill="1" applyBorder="1" applyAlignment="1">
      <alignment horizontal="left" vertical="center" wrapText="1"/>
    </xf>
    <xf numFmtId="0" fontId="0" fillId="11" borderId="1" xfId="0" applyFill="1" applyBorder="1" applyAlignment="1">
      <alignment horizontal="left" vertical="center" wrapText="1"/>
    </xf>
    <xf numFmtId="0" fontId="0" fillId="12" borderId="1" xfId="0" applyFill="1" applyBorder="1" applyAlignment="1">
      <alignment horizontal="left"/>
    </xf>
    <xf numFmtId="0" fontId="0" fillId="4" borderId="1" xfId="0" applyFill="1" applyBorder="1" applyAlignment="1">
      <alignment horizontal="left" vertical="center" wrapText="1"/>
    </xf>
    <xf numFmtId="0" fontId="1" fillId="0" borderId="0" xfId="0" applyFont="1" applyAlignment="1">
      <alignment vertical="center"/>
    </xf>
    <xf numFmtId="0" fontId="1" fillId="0" borderId="0" xfId="0" applyFont="1" applyAlignment="1">
      <alignment horizontal="left" vertical="center"/>
    </xf>
    <xf numFmtId="0" fontId="1" fillId="0" borderId="1" xfId="0" applyFont="1" applyBorder="1" applyAlignment="1">
      <alignment horizontal="left" vertical="center" wrapText="1"/>
    </xf>
    <xf numFmtId="0" fontId="0" fillId="0" borderId="1" xfId="0" applyBorder="1" applyAlignment="1">
      <alignment horizontal="left" vertical="center" wrapText="1"/>
    </xf>
    <xf numFmtId="0" fontId="0" fillId="6" borderId="1" xfId="0" applyFill="1" applyBorder="1" applyAlignment="1">
      <alignment horizontal="left" vertical="center" wrapText="1"/>
    </xf>
    <xf numFmtId="0" fontId="1" fillId="0" borderId="1" xfId="0" applyFont="1" applyBorder="1" applyAlignment="1">
      <alignment horizontal="center"/>
    </xf>
    <xf numFmtId="0" fontId="0" fillId="6" borderId="2" xfId="0" applyFill="1" applyBorder="1" applyAlignment="1">
      <alignment horizontal="center" vertical="center" wrapText="1"/>
    </xf>
    <xf numFmtId="0" fontId="0" fillId="6" borderId="3" xfId="0"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FDF3B2"/>
      <color rgb="FFFFA09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total_reducido" connectionId="1" xr16:uid="{94BD2FC9-A6B7-B240-B7DD-F28FCDC568E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scopus.com/inward/record.uri?eid=2-s2.0-85202900872&amp;partnerID=40&amp;md5=8bbab51efb0933fa416053b48ea683b3" TargetMode="External"/><Relationship Id="rId21" Type="http://schemas.openxmlformats.org/officeDocument/2006/relationships/hyperlink" Target="https://www.scopus.com/inward/record.uri?eid=2-s2.0-85183304000&amp;partnerID=40&amp;md5=42e23681af65f2de830e996e9d7c0dbf" TargetMode="External"/><Relationship Id="rId42" Type="http://schemas.openxmlformats.org/officeDocument/2006/relationships/hyperlink" Target="https://www.scopus.com/inward/record.uri?eid=2-s2.0-85123473602&amp;doi=10.1145%2f3485447.3511998&amp;partnerID=40&amp;md5=bcd4c1d0c6b6dea63bea66a9cca0f9b1" TargetMode="External"/><Relationship Id="rId47" Type="http://schemas.openxmlformats.org/officeDocument/2006/relationships/hyperlink" Target="https://www.scopus.com/inward/record.uri?eid=2-s2.0-85012023662&amp;doi=10.18653%2fv1%2fp16-1220&amp;partnerID=40&amp;md5=5de15daea8c0556054ef8f525c9379d0" TargetMode="External"/><Relationship Id="rId63" Type="http://schemas.openxmlformats.org/officeDocument/2006/relationships/hyperlink" Target="https://www.scopus.com/inward/record.uri?eid=2-s2.0-85160999982&amp;doi=10.1109%2fACCESS.2023.3279288&amp;partnerID=40&amp;md5=1327787e6298ec3d5a58707f129e572c" TargetMode="External"/><Relationship Id="rId68" Type="http://schemas.openxmlformats.org/officeDocument/2006/relationships/hyperlink" Target="https://www.scopus.com/inward/record.uri?eid=2-s2.0-85064808357&amp;partnerID=40&amp;md5=aba7cd20d4ece50236720fdadb60a029" TargetMode="External"/><Relationship Id="rId16" Type="http://schemas.openxmlformats.org/officeDocument/2006/relationships/hyperlink" Target="https://www.scopus.com/inward/record.uri?eid=2-s2.0-85189627963&amp;doi=10.1609%2faaai.v38i17.29915&amp;partnerID=40&amp;md5=0c3ea90bbf2267d9a57d00fa84336042" TargetMode="External"/><Relationship Id="rId11" Type="http://schemas.openxmlformats.org/officeDocument/2006/relationships/hyperlink" Target="https://www.scopus.com/inward/record.uri?eid=2-s2.0-85137983555&amp;doi=10.1007%2f978-3-031-15168-2_4&amp;partnerID=40&amp;md5=789995dd0ffbc4c37edac2633df5df4a" TargetMode="External"/><Relationship Id="rId24" Type="http://schemas.openxmlformats.org/officeDocument/2006/relationships/hyperlink" Target="https://www.scopus.com/inward/record.uri?eid=2-s2.0-85216698989&amp;doi=10.1016%2fj.neunet.2025.107214&amp;partnerID=40&amp;md5=928604dc0b7d0511bed4bc566cf318d8" TargetMode="External"/><Relationship Id="rId32" Type="http://schemas.openxmlformats.org/officeDocument/2006/relationships/hyperlink" Target="https://www.scopus.com/inward/record.uri?eid=2-s2.0-85185532664&amp;doi=10.1145%2f3637494.3637512&amp;partnerID=40&amp;md5=df9774b6411cb08ee985caf5efb33643" TargetMode="External"/><Relationship Id="rId37" Type="http://schemas.openxmlformats.org/officeDocument/2006/relationships/hyperlink" Target="https://www.scopus.com/inward/record.uri?eid=2-s2.0-85146370315&amp;partnerID=40&amp;md5=6f8a6912359c97dab018015e5d439b86" TargetMode="External"/><Relationship Id="rId40" Type="http://schemas.openxmlformats.org/officeDocument/2006/relationships/hyperlink" Target="https://www.scopus.com/inward/record.uri?eid=2-s2.0-85175454271&amp;partnerID=40&amp;md5=5185f2572929cacbcc824d86dc260f7a" TargetMode="External"/><Relationship Id="rId45" Type="http://schemas.openxmlformats.org/officeDocument/2006/relationships/hyperlink" Target="https://www.scopus.com/inward/record.uri?eid=2-s2.0-85188516078&amp;partnerID=40&amp;md5=3935ca71365f61e46704482722f118ef" TargetMode="External"/><Relationship Id="rId53" Type="http://schemas.openxmlformats.org/officeDocument/2006/relationships/hyperlink" Target="https://www.scopus.com/inward/record.uri?eid=2-s2.0-85191415434&amp;doi=10.1109%2fICEMCE60359.2023.10490490&amp;partnerID=40&amp;md5=f6bd164126426bd0e5dec2ac0daaae51" TargetMode="External"/><Relationship Id="rId58" Type="http://schemas.openxmlformats.org/officeDocument/2006/relationships/hyperlink" Target="https://www.scopus.com/inward/record.uri?eid=2-s2.0-85187552377&amp;doi=10.1145%2f3639233.3639239&amp;partnerID=40&amp;md5=3aaf67b482202c556f90b17e8bdfb784" TargetMode="External"/><Relationship Id="rId66" Type="http://schemas.openxmlformats.org/officeDocument/2006/relationships/hyperlink" Target="https://www.scopus.com/inward/record.uri?eid=2-s2.0-85192164676&amp;doi=10.1109%2fTNNLS.2024.3386611&amp;partnerID=40&amp;md5=8ce39f4cce1fba44a8b5128194b21f8e" TargetMode="External"/><Relationship Id="rId74" Type="http://schemas.openxmlformats.org/officeDocument/2006/relationships/hyperlink" Target="https://www.scopus.com/inward/record.uri?eid=2-s2.0-85102996128&amp;doi=10.1145%2f3437963.3441750&amp;partnerID=40&amp;md5=bc03de45a670e76daa02f140b3f6a064" TargetMode="External"/><Relationship Id="rId79" Type="http://schemas.openxmlformats.org/officeDocument/2006/relationships/queryTable" Target="../queryTables/queryTable1.xml"/><Relationship Id="rId5" Type="http://schemas.openxmlformats.org/officeDocument/2006/relationships/hyperlink" Target="https://www.scopus.com/inward/record.uri?eid=2-s2.0-85218049221&amp;partnerID=40&amp;md5=442b3c0a0b9a109a5e43bcf5e127fdf3" TargetMode="External"/><Relationship Id="rId61" Type="http://schemas.openxmlformats.org/officeDocument/2006/relationships/hyperlink" Target="https://www.scopus.com/inward/record.uri?eid=2-s2.0-85115883524&amp;partnerID=40&amp;md5=798590d94e0cba98713c992165758664" TargetMode="External"/><Relationship Id="rId19" Type="http://schemas.openxmlformats.org/officeDocument/2006/relationships/hyperlink" Target="https://www.scopus.com/inward/record.uri?eid=2-s2.0-85140849974&amp;doi=10.1145%2f3511808.3557562&amp;partnerID=40&amp;md5=ab93d5882db9f3d1ff0ab025bffcf6e8" TargetMode="External"/><Relationship Id="rId14" Type="http://schemas.openxmlformats.org/officeDocument/2006/relationships/hyperlink" Target="https://www.scopus.com/inward/record.uri?eid=2-s2.0-85218462715&amp;doi=10.1109%2fICAICE63571.2024.10864047&amp;partnerID=40&amp;md5=4faabcf12a536b97fdf2a490ed3ab493" TargetMode="External"/><Relationship Id="rId22" Type="http://schemas.openxmlformats.org/officeDocument/2006/relationships/hyperlink" Target="https://www.scopus.com/inward/record.uri?eid=2-s2.0-85130498212&amp;partnerID=40&amp;md5=a1ba1fe18fc35fde3f3938230f43fb28" TargetMode="External"/><Relationship Id="rId27" Type="http://schemas.openxmlformats.org/officeDocument/2006/relationships/hyperlink" Target="https://www.scopus.com/inward/record.uri?eid=2-s2.0-85125811298&amp;doi=10.1109%2fSSCI50451.2021.9660108&amp;partnerID=40&amp;md5=16ef4a866483d74422fc2b84570573a2" TargetMode="External"/><Relationship Id="rId30" Type="http://schemas.openxmlformats.org/officeDocument/2006/relationships/hyperlink" Target="https://www.scopus.com/inward/record.uri?eid=2-s2.0-85182863920&amp;partnerID=40&amp;md5=d186f5b3bc3289020839a39788b9d4e2" TargetMode="External"/><Relationship Id="rId35" Type="http://schemas.openxmlformats.org/officeDocument/2006/relationships/hyperlink" Target="https://www.scopus.com/inward/record.uri?eid=2-s2.0-85201218545&amp;doi=10.1007%2f978-981-97-5663-6_30&amp;partnerID=40&amp;md5=a94b6f75958752616d7d6f9df49c03dd" TargetMode="External"/><Relationship Id="rId43" Type="http://schemas.openxmlformats.org/officeDocument/2006/relationships/hyperlink" Target="https://www.scopus.com/inward/record.uri?eid=2-s2.0-85119588924&amp;doi=10.1016%2fj.knosys.2021.107584&amp;partnerID=40&amp;md5=a5f3fa4b7c1a91c27345b3260399e756" TargetMode="External"/><Relationship Id="rId48" Type="http://schemas.openxmlformats.org/officeDocument/2006/relationships/hyperlink" Target="https://www.scopus.com/inward/record.uri?eid=2-s2.0-85174392676&amp;partnerID=40&amp;md5=05a1185cc5b9ac41dd05d119daa3f884" TargetMode="External"/><Relationship Id="rId56" Type="http://schemas.openxmlformats.org/officeDocument/2006/relationships/hyperlink" Target="https://www.scopus.com/inward/record.uri?eid=2-s2.0-85173655117&amp;doi=10.18653%2fv1%2f2023.acl-long.739&amp;partnerID=40&amp;md5=11345ea1f1cb9b8e62181bdc5fd1e181" TargetMode="External"/><Relationship Id="rId64" Type="http://schemas.openxmlformats.org/officeDocument/2006/relationships/hyperlink" Target="https://www.scopus.com/inward/record.uri?eid=2-s2.0-85167973559&amp;doi=10.1609%2faaai.v37i11.26605&amp;partnerID=40&amp;md5=855d452b919ef740b2ba0814f6076b01" TargetMode="External"/><Relationship Id="rId69" Type="http://schemas.openxmlformats.org/officeDocument/2006/relationships/hyperlink" Target="https://www.scopus.com/inward/record.uri?eid=2-s2.0-85197163699&amp;doi=10.1007%2f978-3-031-61007-3_6&amp;partnerID=40&amp;md5=99be608ef43ca1a0da961930dcfd0407" TargetMode="External"/><Relationship Id="rId77" Type="http://schemas.openxmlformats.org/officeDocument/2006/relationships/hyperlink" Target="https://www.scopus.com/inward/record.uri?eid=2-s2.0-85190373236&amp;doi=10.7717%2fpeerj-cs.1930&amp;partnerID=40&amp;md5=132caf8807c5709bbf253d39b5fe352f" TargetMode="External"/><Relationship Id="rId8" Type="http://schemas.openxmlformats.org/officeDocument/2006/relationships/hyperlink" Target="https://www.scopus.com/inward/record.uri?eid=2-s2.0-85200560529&amp;doi=10.1145%2f3674501&amp;partnerID=40&amp;md5=7f8fd6f9a70dcf2e17d9ffb2ebc9559e" TargetMode="External"/><Relationship Id="rId51" Type="http://schemas.openxmlformats.org/officeDocument/2006/relationships/hyperlink" Target="https://www.scopus.com/inward/record.uri?eid=2-s2.0-85184828173&amp;doi=10.18653%2fv1%2f2023.emnlp-main.433&amp;partnerID=40&amp;md5=3499ad36c303c20f69ea80a82064897e" TargetMode="External"/><Relationship Id="rId72" Type="http://schemas.openxmlformats.org/officeDocument/2006/relationships/hyperlink" Target="https://www.scopus.com/inward/record.uri?eid=2-s2.0-85181762767&amp;doi=10.1016%2fj.ins.2023.120060&amp;partnerID=40&amp;md5=ec04952ec895abad0f10b51df05a3d19" TargetMode="External"/><Relationship Id="rId3" Type="http://schemas.openxmlformats.org/officeDocument/2006/relationships/hyperlink" Target="https://www.scopus.com/inward/record.uri?eid=2-s2.0-85159024362&amp;doi=10.1109%2fNNICE58320.2023.10105766&amp;partnerID=40&amp;md5=933774d2704c4087c99c6655f72f867b" TargetMode="External"/><Relationship Id="rId12" Type="http://schemas.openxmlformats.org/officeDocument/2006/relationships/hyperlink" Target="https://www.scopus.com/inward/record.uri?eid=2-s2.0-85193611718&amp;doi=10.1007%2fs10844-024-00855-y&amp;partnerID=40&amp;md5=d28e048555309a8c7d1b6f0ea37386d1" TargetMode="External"/><Relationship Id="rId17" Type="http://schemas.openxmlformats.org/officeDocument/2006/relationships/hyperlink" Target="https://www.scopus.com/inward/record.uri?eid=2-s2.0-85210024610&amp;doi=10.1145%2f3627673.3679791&amp;partnerID=40&amp;md5=0eadba098cac7e3acf4b36a354d804ab" TargetMode="External"/><Relationship Id="rId25" Type="http://schemas.openxmlformats.org/officeDocument/2006/relationships/hyperlink" Target="https://www.scopus.com/inward/record.uri?eid=2-s2.0-85169612086&amp;doi=10.1109%2fIJCNN54540.2023.10192002&amp;partnerID=40&amp;md5=37e09203ba06ee4635114317cab80302" TargetMode="External"/><Relationship Id="rId33" Type="http://schemas.openxmlformats.org/officeDocument/2006/relationships/hyperlink" Target="https://www.scopus.com/inward/record.uri?eid=2-s2.0-85167811405&amp;partnerID=40&amp;md5=652decb6ef770251a2249e556e05c520" TargetMode="External"/><Relationship Id="rId38" Type="http://schemas.openxmlformats.org/officeDocument/2006/relationships/hyperlink" Target="https://www.scopus.com/inward/record.uri?eid=2-s2.0-85171563723&amp;doi=10.18653%2fv1%2f2023.acl-long.138&amp;partnerID=40&amp;md5=518bd070891746808183a6e9707d47a4" TargetMode="External"/><Relationship Id="rId46" Type="http://schemas.openxmlformats.org/officeDocument/2006/relationships/hyperlink" Target="https://www.scopus.com/inward/record.uri?eid=2-s2.0-85147897978&amp;doi=10.1109%2fBigData55660.2022.10020399&amp;partnerID=40&amp;md5=737c0c93ce93bcfafb8300e365ee5970" TargetMode="External"/><Relationship Id="rId59" Type="http://schemas.openxmlformats.org/officeDocument/2006/relationships/hyperlink" Target="https://www.scopus.com/inward/record.uri?eid=2-s2.0-85192190957&amp;doi=10.1109%2fACCESS.2024.3394906&amp;partnerID=40&amp;md5=1833ca37460f5fd6bcfd33e7309fa82c" TargetMode="External"/><Relationship Id="rId67" Type="http://schemas.openxmlformats.org/officeDocument/2006/relationships/hyperlink" Target="https://www.scopus.com/inward/record.uri?eid=2-s2.0-84960112525&amp;doi=10.3115%2fv1%2fn15-1118&amp;partnerID=40&amp;md5=68a310b037f3804b0e6037fb811bfd2e" TargetMode="External"/><Relationship Id="rId20" Type="http://schemas.openxmlformats.org/officeDocument/2006/relationships/hyperlink" Target="https://www.scopus.com/inward/record.uri?eid=2-s2.0-85193989620&amp;doi=10.3390%2fe26050352&amp;partnerID=40&amp;md5=49428d6a377b78dc6b15d91e4eb3d151" TargetMode="External"/><Relationship Id="rId41" Type="http://schemas.openxmlformats.org/officeDocument/2006/relationships/hyperlink" Target="https://www.scopus.com/inward/record.uri?eid=2-s2.0-85153265214&amp;partnerID=40&amp;md5=624f0071190f3dc05e61b2afda045dd4" TargetMode="External"/><Relationship Id="rId54" Type="http://schemas.openxmlformats.org/officeDocument/2006/relationships/hyperlink" Target="https://www.scopus.com/inward/record.uri?eid=2-s2.0-85217573729&amp;doi=10.3390%2felectronics14030593&amp;partnerID=40&amp;md5=328e326276c11f573e1073d524714b8f" TargetMode="External"/><Relationship Id="rId62" Type="http://schemas.openxmlformats.org/officeDocument/2006/relationships/hyperlink" Target="https://www.scopus.com/inward/record.uri?eid=2-s2.0-85115854364&amp;partnerID=40&amp;md5=1faff745afce7ad10159e0a4c29a66eb" TargetMode="External"/><Relationship Id="rId70" Type="http://schemas.openxmlformats.org/officeDocument/2006/relationships/hyperlink" Target="https://www.scopus.com/inward/record.uri?eid=2-s2.0-85127414858&amp;doi=10.18653%2fv1%2f2021.emnlp-main.212&amp;partnerID=40&amp;md5=c6c34f9786c721355e9fcf0023ba2afa" TargetMode="External"/><Relationship Id="rId75" Type="http://schemas.openxmlformats.org/officeDocument/2006/relationships/hyperlink" Target="https://www.scopus.com/inward/record.uri?eid=2-s2.0-85215605438&amp;doi=10.1109%2fMLNLP63328.2024.10800446&amp;partnerID=40&amp;md5=8dbb317cb91548cc71f9f9e001363307" TargetMode="External"/><Relationship Id="rId1" Type="http://schemas.openxmlformats.org/officeDocument/2006/relationships/hyperlink" Target="https://www.scopus.com/inward/record.uri?eid=2-s2.0-85217836906&amp;doi=10.1109%2fSMC54092.2024.10831350&amp;partnerID=40&amp;md5=a6474a939f84d48e2405637ac9427323" TargetMode="External"/><Relationship Id="rId6" Type="http://schemas.openxmlformats.org/officeDocument/2006/relationships/hyperlink" Target="https://www.scopus.com/inward/record.uri?eid=2-s2.0-85196068441&amp;doi=10.7717%2fPEERJ-CS.2014&amp;partnerID=40&amp;md5=1b60b79df4354d72db8fe5bc40eb119f" TargetMode="External"/><Relationship Id="rId15" Type="http://schemas.openxmlformats.org/officeDocument/2006/relationships/hyperlink" Target="https://www.scopus.com/inward/record.uri?eid=2-s2.0-85204282209&amp;partnerID=40&amp;md5=ba5ee58cd82647947fc7b47f805ec700" TargetMode="External"/><Relationship Id="rId23" Type="http://schemas.openxmlformats.org/officeDocument/2006/relationships/hyperlink" Target="https://www.scopus.com/inward/record.uri?eid=2-s2.0-85149872682&amp;doi=10.18653%2fv1%2f2022.findings-emnlp.29&amp;partnerID=40&amp;md5=aacc7d6d6e7f05df8bdd740f393ab429" TargetMode="External"/><Relationship Id="rId28" Type="http://schemas.openxmlformats.org/officeDocument/2006/relationships/hyperlink" Target="https://www.scopus.com/inward/record.uri?eid=2-s2.0-85218335247&amp;doi=10.1109%2fFLLM63129.2024.10852465&amp;partnerID=40&amp;md5=cdae9814f9d7ff259b7d8e26b1c15d11" TargetMode="External"/><Relationship Id="rId36" Type="http://schemas.openxmlformats.org/officeDocument/2006/relationships/hyperlink" Target="https://www.scopus.com/inward/record.uri?eid=2-s2.0-85138353661&amp;partnerID=40&amp;md5=b57203f9b0ae739e9ab77ae6980ee484" TargetMode="External"/><Relationship Id="rId49" Type="http://schemas.openxmlformats.org/officeDocument/2006/relationships/hyperlink" Target="https://www.scopus.com/inward/record.uri?eid=2-s2.0-85168665422&amp;doi=10.1145%2f3539618.3592058&amp;partnerID=40&amp;md5=122e89254cde615a18bce905f834f1bf" TargetMode="External"/><Relationship Id="rId57" Type="http://schemas.openxmlformats.org/officeDocument/2006/relationships/hyperlink" Target="https://www.scopus.com/inward/record.uri?eid=2-s2.0-85206812566&amp;doi=10.1016%2fj.asoc.2024.112302&amp;partnerID=40&amp;md5=8e39f8cc28fbea1fe5dbb5afac98affa" TargetMode="External"/><Relationship Id="rId10" Type="http://schemas.openxmlformats.org/officeDocument/2006/relationships/hyperlink" Target="https://www.scopus.com/inward/record.uri?eid=2-s2.0-85152677040&amp;doi=10.3390%2fapp13074636&amp;partnerID=40&amp;md5=74ed4b757a7820a9a405d41ada8f9a6d" TargetMode="External"/><Relationship Id="rId31" Type="http://schemas.openxmlformats.org/officeDocument/2006/relationships/hyperlink" Target="https://www.scopus.com/inward/record.uri?eid=2-s2.0-85213354615&amp;doi=10.1007%2f978-981-97-5569-1_22&amp;partnerID=40&amp;md5=9a0a6fb4e8c559c1eac5df1a65f372b2" TargetMode="External"/><Relationship Id="rId44" Type="http://schemas.openxmlformats.org/officeDocument/2006/relationships/hyperlink" Target="https://www.scopus.com/inward/record.uri?eid=2-s2.0-85195967719&amp;partnerID=40&amp;md5=5a9f4075e9bf2be644113b68b72d7448" TargetMode="External"/><Relationship Id="rId52" Type="http://schemas.openxmlformats.org/officeDocument/2006/relationships/hyperlink" Target="https://www.scopus.com/inward/record.uri?eid=2-s2.0-85190269909&amp;doi=10.1038%2fs41597-024-03196-1&amp;partnerID=40&amp;md5=eb04088f90531a244a936dc1db128385" TargetMode="External"/><Relationship Id="rId60" Type="http://schemas.openxmlformats.org/officeDocument/2006/relationships/hyperlink" Target="https://www.scopus.com/inward/record.uri?eid=2-s2.0-85099633840&amp;doi=10.1016%2fj.ins.2020.10.030&amp;partnerID=40&amp;md5=ae226375298699abe28c4720d82191ad" TargetMode="External"/><Relationship Id="rId65" Type="http://schemas.openxmlformats.org/officeDocument/2006/relationships/hyperlink" Target="https://www.scopus.com/inward/record.uri?eid=2-s2.0-85195959690&amp;partnerID=40&amp;md5=9d0e6a0626ca213a0a5330cd15f16786" TargetMode="External"/><Relationship Id="rId73" Type="http://schemas.openxmlformats.org/officeDocument/2006/relationships/hyperlink" Target="https://www.scopus.com/inward/record.uri?eid=2-s2.0-85197903942&amp;partnerID=40&amp;md5=21a2c9c6befea68fa4a1135c5c8c5260" TargetMode="External"/><Relationship Id="rId78" Type="http://schemas.openxmlformats.org/officeDocument/2006/relationships/hyperlink" Target="https://www.scopus.com/inward/record.uri?eid=2-s2.0-85085638027&amp;partnerID=40&amp;md5=b29a1a9e22b0c9dc26388717597a8950" TargetMode="External"/><Relationship Id="rId4" Type="http://schemas.openxmlformats.org/officeDocument/2006/relationships/hyperlink" Target="https://www.scopus.com/inward/record.uri?eid=2-s2.0-85175437486&amp;partnerID=40&amp;md5=d0a5a0dc7bbc7bab6a3d38f5e3872f7e" TargetMode="External"/><Relationship Id="rId9" Type="http://schemas.openxmlformats.org/officeDocument/2006/relationships/hyperlink" Target="https://www.scopus.com/inward/record.uri?eid=2-s2.0-85174440242&amp;doi=10.1007%2f978-3-031-43421-1_2&amp;partnerID=40&amp;md5=cf2e2d3213e3ad68440b7ebd35a07619" TargetMode="External"/><Relationship Id="rId13" Type="http://schemas.openxmlformats.org/officeDocument/2006/relationships/hyperlink" Target="https://www.scopus.com/inward/record.uri?eid=2-s2.0-85218637735&amp;doi=10.1016%2fj.jbi.2025.104792&amp;partnerID=40&amp;md5=cb83900f2c38c684ef4eea36916abe60" TargetMode="External"/><Relationship Id="rId18" Type="http://schemas.openxmlformats.org/officeDocument/2006/relationships/hyperlink" Target="https://www.scopus.com/inward/record.uri?eid=2-s2.0-85107459083&amp;doi=10.18653%2fv1%2f2021.eacl-srw.18&amp;partnerID=40&amp;md5=a2bc6e003b0cd2edf59f601af7d07882" TargetMode="External"/><Relationship Id="rId39" Type="http://schemas.openxmlformats.org/officeDocument/2006/relationships/hyperlink" Target="https://www.scopus.com/inward/record.uri?eid=2-s2.0-85195971022&amp;partnerID=40&amp;md5=5316725275d4bbb7931a9ec4974d8714" TargetMode="External"/><Relationship Id="rId34" Type="http://schemas.openxmlformats.org/officeDocument/2006/relationships/hyperlink" Target="https://www.scopus.com/inward/record.uri?eid=2-s2.0-85188022924&amp;doi=10.1609%2faaai.v38i17.29839&amp;partnerID=40&amp;md5=679698d6138411dc945024a232f1f573" TargetMode="External"/><Relationship Id="rId50" Type="http://schemas.openxmlformats.org/officeDocument/2006/relationships/hyperlink" Target="https://www.scopus.com/inward/record.uri?eid=2-s2.0-85165726808&amp;partnerID=40&amp;md5=fe65914586977432f7552b84bbef330c" TargetMode="External"/><Relationship Id="rId55" Type="http://schemas.openxmlformats.org/officeDocument/2006/relationships/hyperlink" Target="https://www.scopus.com/inward/record.uri?eid=2-s2.0-85199457506&amp;partnerID=40&amp;md5=00412be7d59c3123812174e1d0f8ee13" TargetMode="External"/><Relationship Id="rId76" Type="http://schemas.openxmlformats.org/officeDocument/2006/relationships/hyperlink" Target="https://www.scopus.com/inward/record.uri?eid=2-s2.0-85177432643&amp;doi=10.1007%2f978-3-031-46674-8_8&amp;partnerID=40&amp;md5=7e44a641c3485195e3f7e92eaabb8d7a" TargetMode="External"/><Relationship Id="rId7" Type="http://schemas.openxmlformats.org/officeDocument/2006/relationships/hyperlink" Target="https://www.scopus.com/inward/record.uri?eid=2-s2.0-85086578892&amp;doi=10.1145%2f3366423.3380089&amp;partnerID=40&amp;md5=fc9881b498c6f1ab95f32d5c982b2fc6" TargetMode="External"/><Relationship Id="rId71" Type="http://schemas.openxmlformats.org/officeDocument/2006/relationships/hyperlink" Target="https://www.scopus.com/inward/record.uri?eid=2-s2.0-85195932523&amp;partnerID=40&amp;md5=4b23f709095622f0ca96ba93ced772a3" TargetMode="External"/><Relationship Id="rId2" Type="http://schemas.openxmlformats.org/officeDocument/2006/relationships/hyperlink" Target="https://www.scopus.com/inward/record.uri?eid=2-s2.0-85145485886&amp;partnerID=40&amp;md5=104da6cacfe4b0a34a0aff4657d28ea3" TargetMode="External"/><Relationship Id="rId29" Type="http://schemas.openxmlformats.org/officeDocument/2006/relationships/hyperlink" Target="https://www.scopus.com/inward/record.uri?eid=2-s2.0-85153070355&amp;doi=10.1007%2fs10462-023-10484-6&amp;partnerID=40&amp;md5=d3ba37dfe6da8fd6e01bbb902e893bc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C14D0-2CE6-D240-BACB-2C504F4F0E8C}">
  <dimension ref="A1:BK139"/>
  <sheetViews>
    <sheetView showRuler="0" zoomScale="170" zoomScaleNormal="170" workbookViewId="0">
      <pane ySplit="1" topLeftCell="A2" activePane="bottomLeft" state="frozen"/>
      <selection activeCell="AH1" sqref="AH1"/>
      <selection pane="bottomLeft" activeCell="E133" sqref="E133"/>
    </sheetView>
  </sheetViews>
  <sheetFormatPr baseColWidth="10" defaultRowHeight="16" x14ac:dyDescent="0.2"/>
  <cols>
    <col min="1" max="1" width="4.1640625" bestFit="1" customWidth="1"/>
    <col min="2" max="4" width="80.6640625" bestFit="1" customWidth="1"/>
    <col min="5" max="5" width="80.6640625" style="4" bestFit="1" customWidth="1"/>
    <col min="6" max="6" width="6.6640625" bestFit="1" customWidth="1"/>
    <col min="7" max="7" width="80.6640625" bestFit="1" customWidth="1"/>
    <col min="8" max="8" width="14.33203125" bestFit="1" customWidth="1"/>
    <col min="9" max="9" width="5.33203125" bestFit="1" customWidth="1"/>
    <col min="10" max="10" width="8.6640625" bestFit="1" customWidth="1"/>
    <col min="11" max="11" width="9.1640625" bestFit="1" customWidth="1"/>
    <col min="12" max="12" width="8.6640625" bestFit="1" customWidth="1"/>
    <col min="13" max="13" width="10" bestFit="1" customWidth="1"/>
    <col min="14" max="14" width="7.5" bestFit="1" customWidth="1"/>
    <col min="15" max="15" width="33.6640625" bestFit="1" customWidth="1"/>
    <col min="16" max="21" width="80.6640625" bestFit="1" customWidth="1"/>
    <col min="22" max="22" width="25.1640625" bestFit="1" customWidth="1"/>
    <col min="23" max="23" width="13" bestFit="1" customWidth="1"/>
    <col min="25" max="25" width="13" bestFit="1" customWidth="1"/>
    <col min="26" max="30" width="80.6640625" bestFit="1" customWidth="1"/>
    <col min="31" max="31" width="54.33203125" bestFit="1" customWidth="1"/>
    <col min="32" max="33" width="80.6640625" bestFit="1" customWidth="1"/>
    <col min="34" max="34" width="39.83203125" bestFit="1" customWidth="1"/>
    <col min="35" max="35" width="17.5" bestFit="1" customWidth="1"/>
    <col min="36" max="36" width="14.6640625" bestFit="1" customWidth="1"/>
    <col min="37" max="37" width="9.1640625" bestFit="1" customWidth="1"/>
    <col min="38" max="38" width="15.5" bestFit="1" customWidth="1"/>
    <col min="39" max="39" width="6.6640625" bestFit="1" customWidth="1"/>
    <col min="40" max="40" width="10.6640625" bestFit="1" customWidth="1"/>
    <col min="41" max="41" width="25.33203125" bestFit="1" customWidth="1"/>
    <col min="42" max="42" width="80.6640625" bestFit="1" customWidth="1"/>
    <col min="43" max="43" width="15.6640625" bestFit="1" customWidth="1"/>
    <col min="44" max="44" width="15" bestFit="1" customWidth="1"/>
    <col min="45" max="45" width="52.6640625" bestFit="1" customWidth="1"/>
    <col min="46" max="46" width="7" bestFit="1" customWidth="1"/>
    <col min="47" max="47" width="18" bestFit="1" customWidth="1"/>
    <col min="48" max="48" width="5.6640625" bestFit="1" customWidth="1"/>
    <col min="49" max="49" width="12.83203125" bestFit="1" customWidth="1"/>
    <col min="50" max="50" width="21.1640625" bestFit="1" customWidth="1"/>
    <col min="51" max="51" width="19.5" bestFit="1" customWidth="1"/>
    <col min="52" max="52" width="22.33203125" bestFit="1" customWidth="1"/>
    <col min="53" max="53" width="17.1640625" customWidth="1"/>
    <col min="54" max="54" width="20.83203125" customWidth="1"/>
    <col min="55" max="55" width="16.83203125" customWidth="1"/>
    <col min="59" max="59" width="17.6640625" customWidth="1"/>
    <col min="60" max="60" width="14.6640625" customWidth="1"/>
    <col min="61" max="61" width="12.5" customWidth="1"/>
    <col min="65" max="65" width="20.33203125" customWidth="1"/>
  </cols>
  <sheetData>
    <row r="1" spans="1:63" s="27" customFormat="1" ht="17" x14ac:dyDescent="0.2">
      <c r="B1" s="27" t="s">
        <v>0</v>
      </c>
      <c r="C1" s="27" t="s">
        <v>1</v>
      </c>
      <c r="D1" s="27" t="s">
        <v>2</v>
      </c>
      <c r="E1" s="28" t="s">
        <v>3</v>
      </c>
      <c r="F1" s="27" t="s">
        <v>4</v>
      </c>
      <c r="G1" s="27" t="s">
        <v>5</v>
      </c>
      <c r="H1" s="27" t="s">
        <v>6</v>
      </c>
      <c r="I1" s="27" t="s">
        <v>7</v>
      </c>
      <c r="J1" s="27" t="s">
        <v>8</v>
      </c>
      <c r="K1" s="27" t="s">
        <v>9</v>
      </c>
      <c r="L1" s="27" t="s">
        <v>10</v>
      </c>
      <c r="M1" s="27" t="s">
        <v>11</v>
      </c>
      <c r="N1" s="27" t="s">
        <v>12</v>
      </c>
      <c r="O1" s="27" t="s">
        <v>13</v>
      </c>
      <c r="P1" s="27" t="s">
        <v>14</v>
      </c>
      <c r="Q1" s="27" t="s">
        <v>15</v>
      </c>
      <c r="R1" s="27" t="s">
        <v>16</v>
      </c>
      <c r="S1" s="27" t="s">
        <v>17</v>
      </c>
      <c r="T1" s="27" t="s">
        <v>18</v>
      </c>
      <c r="U1" s="27" t="s">
        <v>19</v>
      </c>
      <c r="V1" s="27" t="s">
        <v>20</v>
      </c>
      <c r="W1" s="27" t="s">
        <v>21</v>
      </c>
      <c r="X1" s="27" t="s">
        <v>22</v>
      </c>
      <c r="Y1" s="27" t="s">
        <v>23</v>
      </c>
      <c r="Z1" s="27" t="s">
        <v>24</v>
      </c>
      <c r="AA1" s="27" t="s">
        <v>25</v>
      </c>
      <c r="AB1" s="27" t="s">
        <v>26</v>
      </c>
      <c r="AC1" s="27" t="s">
        <v>27</v>
      </c>
      <c r="AD1" s="27" t="s">
        <v>28</v>
      </c>
      <c r="AE1" s="27" t="s">
        <v>29</v>
      </c>
      <c r="AF1" s="27" t="s">
        <v>30</v>
      </c>
      <c r="AG1" s="27" t="s">
        <v>31</v>
      </c>
      <c r="AH1" s="27" t="s">
        <v>32</v>
      </c>
      <c r="AI1" s="27" t="s">
        <v>33</v>
      </c>
      <c r="AJ1" s="27" t="s">
        <v>34</v>
      </c>
      <c r="AK1" s="27" t="s">
        <v>35</v>
      </c>
      <c r="AL1" s="27" t="s">
        <v>36</v>
      </c>
      <c r="AM1" s="27" t="s">
        <v>37</v>
      </c>
      <c r="AN1" s="27" t="s">
        <v>38</v>
      </c>
      <c r="AO1" s="27" t="s">
        <v>39</v>
      </c>
      <c r="AP1" s="27" t="s">
        <v>40</v>
      </c>
      <c r="AQ1" s="27" t="s">
        <v>41</v>
      </c>
      <c r="AR1" s="27" t="s">
        <v>42</v>
      </c>
      <c r="AS1" s="27" t="s">
        <v>43</v>
      </c>
      <c r="AT1" s="27" t="s">
        <v>44</v>
      </c>
      <c r="AU1" s="27" t="s">
        <v>45</v>
      </c>
      <c r="AV1" s="27" t="s">
        <v>46</v>
      </c>
      <c r="AW1" s="27" t="s">
        <v>47</v>
      </c>
      <c r="AX1" s="27" t="s">
        <v>48</v>
      </c>
      <c r="AY1" s="28" t="s">
        <v>2819</v>
      </c>
      <c r="AZ1" s="27" t="s">
        <v>49</v>
      </c>
      <c r="BA1" s="28" t="s">
        <v>2819</v>
      </c>
      <c r="BB1" s="27" t="s">
        <v>50</v>
      </c>
      <c r="BC1" s="28" t="s">
        <v>2819</v>
      </c>
      <c r="BD1" s="3" t="s">
        <v>3</v>
      </c>
      <c r="BE1" s="3" t="s">
        <v>17</v>
      </c>
      <c r="BF1" s="3" t="s">
        <v>2820</v>
      </c>
      <c r="BG1" s="3" t="s">
        <v>2821</v>
      </c>
      <c r="BH1" s="3" t="s">
        <v>2903</v>
      </c>
      <c r="BI1" s="3" t="s">
        <v>2886</v>
      </c>
      <c r="BJ1" s="3" t="s">
        <v>2902</v>
      </c>
      <c r="BK1" s="3" t="s">
        <v>2822</v>
      </c>
    </row>
    <row r="2" spans="1:63" ht="17" x14ac:dyDescent="0.2">
      <c r="A2">
        <v>154</v>
      </c>
      <c r="B2" t="s">
        <v>2614</v>
      </c>
      <c r="C2" t="s">
        <v>2615</v>
      </c>
      <c r="D2" t="s">
        <v>2616</v>
      </c>
      <c r="E2" s="4" t="s">
        <v>2617</v>
      </c>
      <c r="F2" t="s">
        <v>2009</v>
      </c>
      <c r="G2" t="s">
        <v>2618</v>
      </c>
      <c r="K2" t="s">
        <v>2619</v>
      </c>
      <c r="L2" t="s">
        <v>2620</v>
      </c>
      <c r="M2" t="s">
        <v>457</v>
      </c>
      <c r="N2" t="s">
        <v>152</v>
      </c>
      <c r="P2" s="7" t="s">
        <v>2621</v>
      </c>
      <c r="Q2" t="s">
        <v>2622</v>
      </c>
      <c r="R2" t="s">
        <v>2623</v>
      </c>
      <c r="S2" t="s">
        <v>2624</v>
      </c>
      <c r="U2" t="s">
        <v>2625</v>
      </c>
      <c r="AB2" t="s">
        <v>2626</v>
      </c>
      <c r="AC2" t="s">
        <v>2627</v>
      </c>
      <c r="AE2" t="s">
        <v>109</v>
      </c>
      <c r="AG2" t="s">
        <v>2628</v>
      </c>
      <c r="AH2" t="s">
        <v>2629</v>
      </c>
      <c r="AI2" t="s">
        <v>2630</v>
      </c>
      <c r="AJ2" t="s">
        <v>2631</v>
      </c>
      <c r="AL2" t="s">
        <v>2632</v>
      </c>
      <c r="AO2" t="s">
        <v>80</v>
      </c>
      <c r="AP2" t="s">
        <v>2633</v>
      </c>
      <c r="AQ2" t="s">
        <v>82</v>
      </c>
      <c r="AR2" t="s">
        <v>83</v>
      </c>
      <c r="AT2" t="s">
        <v>84</v>
      </c>
      <c r="AU2" t="s">
        <v>2634</v>
      </c>
      <c r="AV2" t="s">
        <v>2635</v>
      </c>
      <c r="AW2" t="s">
        <v>84</v>
      </c>
      <c r="AX2" t="b">
        <v>1</v>
      </c>
      <c r="AY2" s="4">
        <f t="shared" ref="AY2:AY33" si="0">IF(AX2=TRUE,1,IF(AX2=FALSE,0,-1))</f>
        <v>1</v>
      </c>
      <c r="AZ2" t="b">
        <v>1</v>
      </c>
      <c r="BA2" s="4">
        <f t="shared" ref="BA2:BA33" si="1">IF(AZ2=TRUE,1,IF(AZ2=FALSE,0,-1))</f>
        <v>1</v>
      </c>
      <c r="BB2" t="b">
        <v>1</v>
      </c>
      <c r="BC2" s="4">
        <f t="shared" ref="BC2:BC33" si="2">IF(BB2=TRUE,1,IF(BB2=FALSE,0,-1))</f>
        <v>1</v>
      </c>
      <c r="BD2" s="5">
        <v>1</v>
      </c>
      <c r="BE2" s="5">
        <v>1</v>
      </c>
      <c r="BF2" s="5">
        <v>0</v>
      </c>
      <c r="BG2" s="5">
        <v>0</v>
      </c>
      <c r="BH2" s="5" t="str">
        <f t="shared" ref="BH2:BH33" si="3">IF(BG2=1,"Yes",IF(BG2=-1,"Doubt","No"))</f>
        <v>No</v>
      </c>
      <c r="BI2" t="str">
        <f t="shared" ref="BI2:BI33" si="4">IF(BF2=1,"Yes","No")</f>
        <v>No</v>
      </c>
      <c r="BJ2" s="5">
        <v>0</v>
      </c>
      <c r="BK2" t="s">
        <v>2848</v>
      </c>
    </row>
    <row r="3" spans="1:63" ht="17" x14ac:dyDescent="0.2">
      <c r="A3">
        <v>52</v>
      </c>
      <c r="B3" t="s">
        <v>1125</v>
      </c>
      <c r="C3" t="s">
        <v>1126</v>
      </c>
      <c r="D3" t="s">
        <v>1127</v>
      </c>
      <c r="E3" s="4" t="s">
        <v>1128</v>
      </c>
      <c r="F3" t="s">
        <v>146</v>
      </c>
      <c r="G3" t="s">
        <v>1129</v>
      </c>
      <c r="H3">
        <v>56</v>
      </c>
      <c r="I3" t="s">
        <v>745</v>
      </c>
      <c r="J3">
        <v>293</v>
      </c>
      <c r="N3" t="s">
        <v>180</v>
      </c>
      <c r="O3" t="s">
        <v>1130</v>
      </c>
      <c r="P3" s="7" t="s">
        <v>1131</v>
      </c>
      <c r="Q3" t="s">
        <v>1132</v>
      </c>
      <c r="R3" t="s">
        <v>1133</v>
      </c>
      <c r="S3" t="s">
        <v>1134</v>
      </c>
      <c r="T3" t="s">
        <v>1135</v>
      </c>
      <c r="U3" t="s">
        <v>1136</v>
      </c>
      <c r="Z3" t="s">
        <v>1137</v>
      </c>
      <c r="AA3" t="s">
        <v>1138</v>
      </c>
      <c r="AB3" t="s">
        <v>1139</v>
      </c>
      <c r="AC3" t="s">
        <v>1140</v>
      </c>
      <c r="AE3" t="s">
        <v>1060</v>
      </c>
      <c r="AK3">
        <v>3600300</v>
      </c>
      <c r="AM3" t="s">
        <v>1141</v>
      </c>
      <c r="AO3" t="s">
        <v>80</v>
      </c>
      <c r="AP3" t="s">
        <v>1142</v>
      </c>
      <c r="AQ3" t="s">
        <v>245</v>
      </c>
      <c r="AR3" t="s">
        <v>83</v>
      </c>
      <c r="AS3" t="s">
        <v>801</v>
      </c>
      <c r="AT3" t="s">
        <v>84</v>
      </c>
      <c r="AU3" t="s">
        <v>1143</v>
      </c>
      <c r="AV3" t="s">
        <v>86</v>
      </c>
      <c r="AW3" t="s">
        <v>84</v>
      </c>
      <c r="AX3" t="s">
        <v>87</v>
      </c>
      <c r="AY3" s="4">
        <f t="shared" si="0"/>
        <v>-1</v>
      </c>
      <c r="AZ3" t="s">
        <v>87</v>
      </c>
      <c r="BA3" s="4">
        <f t="shared" si="1"/>
        <v>-1</v>
      </c>
      <c r="BB3" t="b">
        <v>1</v>
      </c>
      <c r="BC3" s="4">
        <f t="shared" si="2"/>
        <v>1</v>
      </c>
      <c r="BD3" s="5">
        <v>1</v>
      </c>
      <c r="BE3" s="5">
        <v>1</v>
      </c>
      <c r="BF3" s="5">
        <v>1</v>
      </c>
      <c r="BG3" s="5">
        <v>1</v>
      </c>
      <c r="BH3" s="6" t="str">
        <f t="shared" si="3"/>
        <v>Yes</v>
      </c>
      <c r="BI3" t="str">
        <f t="shared" si="4"/>
        <v>Yes</v>
      </c>
      <c r="BJ3" s="5">
        <v>1</v>
      </c>
      <c r="BK3" t="s">
        <v>2860</v>
      </c>
    </row>
    <row r="4" spans="1:63" ht="17" x14ac:dyDescent="0.2">
      <c r="A4">
        <v>68</v>
      </c>
      <c r="B4" t="s">
        <v>1411</v>
      </c>
      <c r="C4" t="s">
        <v>1412</v>
      </c>
      <c r="D4" t="s">
        <v>1413</v>
      </c>
      <c r="E4" s="4" t="s">
        <v>1414</v>
      </c>
      <c r="F4" t="s">
        <v>176</v>
      </c>
      <c r="G4" t="s">
        <v>830</v>
      </c>
      <c r="H4" t="s">
        <v>1415</v>
      </c>
      <c r="K4" t="s">
        <v>1416</v>
      </c>
      <c r="L4" t="s">
        <v>1417</v>
      </c>
      <c r="M4" t="s">
        <v>457</v>
      </c>
      <c r="N4" t="s">
        <v>61</v>
      </c>
      <c r="O4" t="s">
        <v>1418</v>
      </c>
      <c r="P4" t="s">
        <v>1419</v>
      </c>
      <c r="Q4" t="s">
        <v>1420</v>
      </c>
      <c r="R4" t="s">
        <v>1421</v>
      </c>
      <c r="S4" t="s">
        <v>1422</v>
      </c>
      <c r="T4" t="s">
        <v>1423</v>
      </c>
      <c r="U4" t="s">
        <v>1424</v>
      </c>
      <c r="AB4" t="s">
        <v>1425</v>
      </c>
      <c r="AC4" t="s">
        <v>1426</v>
      </c>
      <c r="AD4" t="s">
        <v>1427</v>
      </c>
      <c r="AE4" t="s">
        <v>74</v>
      </c>
      <c r="AG4" t="s">
        <v>1428</v>
      </c>
      <c r="AH4" t="s">
        <v>1429</v>
      </c>
      <c r="AI4" t="s">
        <v>523</v>
      </c>
      <c r="AJ4" t="s">
        <v>1430</v>
      </c>
      <c r="AK4">
        <v>3029743</v>
      </c>
      <c r="AL4" t="s">
        <v>1431</v>
      </c>
      <c r="AO4" t="s">
        <v>80</v>
      </c>
      <c r="AP4" t="s">
        <v>81</v>
      </c>
      <c r="AQ4" t="s">
        <v>82</v>
      </c>
      <c r="AR4" t="s">
        <v>83</v>
      </c>
      <c r="AT4" t="s">
        <v>84</v>
      </c>
      <c r="AU4" t="s">
        <v>1432</v>
      </c>
      <c r="AV4" t="s">
        <v>86</v>
      </c>
      <c r="AW4" t="s">
        <v>84</v>
      </c>
      <c r="AX4" t="b">
        <v>1</v>
      </c>
      <c r="AY4" s="4">
        <f t="shared" si="0"/>
        <v>1</v>
      </c>
      <c r="AZ4" t="b">
        <v>1</v>
      </c>
      <c r="BA4" s="4">
        <f t="shared" si="1"/>
        <v>1</v>
      </c>
      <c r="BB4" t="s">
        <v>87</v>
      </c>
      <c r="BC4" s="4">
        <f t="shared" si="2"/>
        <v>-1</v>
      </c>
      <c r="BD4" s="5">
        <v>1</v>
      </c>
      <c r="BE4" s="5">
        <v>1</v>
      </c>
      <c r="BF4" s="5">
        <v>0</v>
      </c>
      <c r="BG4" s="5">
        <v>0</v>
      </c>
      <c r="BH4" s="5" t="str">
        <f t="shared" si="3"/>
        <v>No</v>
      </c>
      <c r="BI4" t="str">
        <f t="shared" si="4"/>
        <v>No</v>
      </c>
      <c r="BJ4" s="5">
        <v>0</v>
      </c>
      <c r="BK4" t="s">
        <v>2840</v>
      </c>
    </row>
    <row r="5" spans="1:63" ht="17" x14ac:dyDescent="0.2">
      <c r="A5">
        <v>143</v>
      </c>
      <c r="B5" t="s">
        <v>2491</v>
      </c>
      <c r="C5" t="s">
        <v>2492</v>
      </c>
      <c r="D5" t="s">
        <v>2493</v>
      </c>
      <c r="E5" s="4" t="s">
        <v>2494</v>
      </c>
      <c r="F5" t="s">
        <v>146</v>
      </c>
      <c r="G5" t="s">
        <v>2495</v>
      </c>
      <c r="H5">
        <v>11</v>
      </c>
      <c r="I5" t="s">
        <v>231</v>
      </c>
      <c r="J5" t="s">
        <v>2496</v>
      </c>
      <c r="N5" t="s">
        <v>61</v>
      </c>
      <c r="O5" t="s">
        <v>2497</v>
      </c>
      <c r="P5" s="7" t="s">
        <v>2498</v>
      </c>
      <c r="Q5" t="s">
        <v>2499</v>
      </c>
      <c r="R5" t="s">
        <v>2500</v>
      </c>
      <c r="S5" t="s">
        <v>2501</v>
      </c>
      <c r="U5" t="s">
        <v>2502</v>
      </c>
      <c r="Z5" t="s">
        <v>2503</v>
      </c>
      <c r="AA5" t="s">
        <v>2504</v>
      </c>
      <c r="AB5" t="s">
        <v>2505</v>
      </c>
      <c r="AC5" t="s">
        <v>2506</v>
      </c>
      <c r="AE5" t="s">
        <v>2507</v>
      </c>
      <c r="AK5">
        <v>20524463</v>
      </c>
      <c r="AN5" t="s">
        <v>2508</v>
      </c>
      <c r="AO5" t="s">
        <v>80</v>
      </c>
      <c r="AP5" t="s">
        <v>2509</v>
      </c>
      <c r="AQ5" t="s">
        <v>245</v>
      </c>
      <c r="AR5" t="s">
        <v>83</v>
      </c>
      <c r="AS5" t="s">
        <v>246</v>
      </c>
      <c r="AT5" t="s">
        <v>84</v>
      </c>
      <c r="AU5" t="s">
        <v>2510</v>
      </c>
      <c r="AV5" t="s">
        <v>2313</v>
      </c>
      <c r="AW5" t="s">
        <v>84</v>
      </c>
      <c r="AX5" t="s">
        <v>87</v>
      </c>
      <c r="AY5" s="4">
        <f t="shared" si="0"/>
        <v>-1</v>
      </c>
      <c r="AZ5" t="b">
        <v>1</v>
      </c>
      <c r="BA5" s="4">
        <f t="shared" si="1"/>
        <v>1</v>
      </c>
      <c r="BB5" t="s">
        <v>87</v>
      </c>
      <c r="BC5" s="4">
        <f t="shared" si="2"/>
        <v>-1</v>
      </c>
      <c r="BD5" s="5">
        <v>1</v>
      </c>
      <c r="BE5" s="5">
        <v>1</v>
      </c>
      <c r="BF5" s="5">
        <v>1</v>
      </c>
      <c r="BG5" s="5">
        <v>0</v>
      </c>
      <c r="BH5" s="5" t="str">
        <f t="shared" si="3"/>
        <v>No</v>
      </c>
      <c r="BI5" t="str">
        <f t="shared" si="4"/>
        <v>Yes</v>
      </c>
      <c r="BJ5" s="5">
        <v>1</v>
      </c>
      <c r="BK5" t="s">
        <v>2951</v>
      </c>
    </row>
    <row r="6" spans="1:63" ht="17" x14ac:dyDescent="0.2">
      <c r="A6">
        <v>133</v>
      </c>
      <c r="B6" t="s">
        <v>2314</v>
      </c>
      <c r="C6" t="s">
        <v>2315</v>
      </c>
      <c r="D6" t="s">
        <v>2316</v>
      </c>
      <c r="E6" s="4" t="s">
        <v>2317</v>
      </c>
      <c r="F6" t="s">
        <v>146</v>
      </c>
      <c r="G6" t="s">
        <v>830</v>
      </c>
      <c r="H6" t="s">
        <v>2318</v>
      </c>
      <c r="K6" t="s">
        <v>2319</v>
      </c>
      <c r="L6" t="s">
        <v>2320</v>
      </c>
      <c r="M6" t="s">
        <v>60</v>
      </c>
      <c r="N6" t="s">
        <v>61</v>
      </c>
      <c r="O6" t="s">
        <v>2321</v>
      </c>
      <c r="P6" s="7" t="s">
        <v>2322</v>
      </c>
      <c r="Q6" t="s">
        <v>2323</v>
      </c>
      <c r="R6" t="s">
        <v>2324</v>
      </c>
      <c r="S6" t="s">
        <v>2325</v>
      </c>
      <c r="T6" t="s">
        <v>2326</v>
      </c>
      <c r="U6" t="s">
        <v>2327</v>
      </c>
      <c r="Z6" t="s">
        <v>2328</v>
      </c>
      <c r="AA6" t="s">
        <v>2329</v>
      </c>
      <c r="AB6" t="s">
        <v>2330</v>
      </c>
      <c r="AC6" t="s">
        <v>2331</v>
      </c>
      <c r="AD6" t="s">
        <v>2332</v>
      </c>
      <c r="AE6" t="s">
        <v>74</v>
      </c>
      <c r="AG6" t="s">
        <v>2333</v>
      </c>
      <c r="AH6" t="s">
        <v>2334</v>
      </c>
      <c r="AI6" t="s">
        <v>2335</v>
      </c>
      <c r="AJ6" t="s">
        <v>2336</v>
      </c>
      <c r="AK6">
        <v>3029743</v>
      </c>
      <c r="AL6" t="s">
        <v>2337</v>
      </c>
      <c r="AO6" t="s">
        <v>80</v>
      </c>
      <c r="AP6" t="s">
        <v>81</v>
      </c>
      <c r="AQ6" t="s">
        <v>82</v>
      </c>
      <c r="AR6" t="s">
        <v>83</v>
      </c>
      <c r="AT6" t="s">
        <v>84</v>
      </c>
      <c r="AU6" t="s">
        <v>2338</v>
      </c>
      <c r="AV6" t="s">
        <v>2313</v>
      </c>
      <c r="AW6" t="s">
        <v>84</v>
      </c>
      <c r="AX6" t="s">
        <v>87</v>
      </c>
      <c r="AY6" s="4">
        <f t="shared" si="0"/>
        <v>-1</v>
      </c>
      <c r="AZ6" t="b">
        <v>1</v>
      </c>
      <c r="BA6" s="4">
        <f t="shared" si="1"/>
        <v>1</v>
      </c>
      <c r="BB6" t="s">
        <v>87</v>
      </c>
      <c r="BC6" s="4">
        <f t="shared" si="2"/>
        <v>-1</v>
      </c>
      <c r="BD6" s="5">
        <v>1</v>
      </c>
      <c r="BE6" s="5">
        <v>1</v>
      </c>
      <c r="BF6" s="5">
        <v>1</v>
      </c>
      <c r="BG6" s="5">
        <v>1</v>
      </c>
      <c r="BH6" s="5" t="str">
        <f t="shared" si="3"/>
        <v>Yes</v>
      </c>
      <c r="BI6" t="str">
        <f t="shared" si="4"/>
        <v>Yes</v>
      </c>
      <c r="BJ6" s="5">
        <v>1</v>
      </c>
      <c r="BK6" t="s">
        <v>2881</v>
      </c>
    </row>
    <row r="7" spans="1:63" ht="17" x14ac:dyDescent="0.2">
      <c r="A7">
        <v>81</v>
      </c>
      <c r="B7" t="s">
        <v>1577</v>
      </c>
      <c r="C7" t="s">
        <v>1578</v>
      </c>
      <c r="D7" t="s">
        <v>1579</v>
      </c>
      <c r="E7" s="4" t="s">
        <v>1580</v>
      </c>
      <c r="F7" t="s">
        <v>55</v>
      </c>
      <c r="G7" t="s">
        <v>1581</v>
      </c>
      <c r="H7">
        <v>185</v>
      </c>
      <c r="J7">
        <v>107214</v>
      </c>
      <c r="N7" t="s">
        <v>61</v>
      </c>
      <c r="O7" t="s">
        <v>1582</v>
      </c>
      <c r="P7" s="7" t="s">
        <v>1583</v>
      </c>
      <c r="Q7" t="s">
        <v>1584</v>
      </c>
      <c r="R7" t="s">
        <v>1585</v>
      </c>
      <c r="S7" t="s">
        <v>1586</v>
      </c>
      <c r="T7" t="s">
        <v>1587</v>
      </c>
      <c r="U7" t="s">
        <v>1588</v>
      </c>
      <c r="AB7" t="s">
        <v>1589</v>
      </c>
      <c r="AC7" t="s">
        <v>1590</v>
      </c>
      <c r="AE7" t="s">
        <v>1040</v>
      </c>
      <c r="AK7">
        <v>8936080</v>
      </c>
      <c r="AM7" t="s">
        <v>1591</v>
      </c>
      <c r="AO7" t="s">
        <v>80</v>
      </c>
      <c r="AP7" t="s">
        <v>1592</v>
      </c>
      <c r="AQ7" t="s">
        <v>245</v>
      </c>
      <c r="AR7" t="s">
        <v>83</v>
      </c>
      <c r="AT7" t="s">
        <v>84</v>
      </c>
      <c r="AU7" t="s">
        <v>1593</v>
      </c>
      <c r="AV7" t="s">
        <v>86</v>
      </c>
      <c r="AW7" t="s">
        <v>84</v>
      </c>
      <c r="AX7" t="s">
        <v>87</v>
      </c>
      <c r="AY7" s="4">
        <f t="shared" si="0"/>
        <v>-1</v>
      </c>
      <c r="AZ7" t="b">
        <v>1</v>
      </c>
      <c r="BA7" s="4">
        <f t="shared" si="1"/>
        <v>1</v>
      </c>
      <c r="BB7" t="s">
        <v>87</v>
      </c>
      <c r="BC7" s="4">
        <f t="shared" si="2"/>
        <v>-1</v>
      </c>
      <c r="BD7" s="5">
        <v>1</v>
      </c>
      <c r="BE7" s="5">
        <v>1</v>
      </c>
      <c r="BF7" s="5">
        <v>1</v>
      </c>
      <c r="BG7" s="5">
        <v>1</v>
      </c>
      <c r="BH7" s="16" t="str">
        <f t="shared" si="3"/>
        <v>Yes</v>
      </c>
      <c r="BI7" t="str">
        <f t="shared" si="4"/>
        <v>Yes</v>
      </c>
      <c r="BJ7" s="5">
        <v>1</v>
      </c>
      <c r="BK7" t="s">
        <v>2914</v>
      </c>
    </row>
    <row r="8" spans="1:63" ht="17" x14ac:dyDescent="0.2">
      <c r="A8">
        <v>5</v>
      </c>
      <c r="B8" t="s">
        <v>200</v>
      </c>
      <c r="C8" t="s">
        <v>201</v>
      </c>
      <c r="D8">
        <v>57224534746</v>
      </c>
      <c r="E8" s="4" t="s">
        <v>202</v>
      </c>
      <c r="F8" t="s">
        <v>176</v>
      </c>
      <c r="G8" t="s">
        <v>203</v>
      </c>
      <c r="K8" t="s">
        <v>204</v>
      </c>
      <c r="L8" t="s">
        <v>205</v>
      </c>
      <c r="M8" t="s">
        <v>206</v>
      </c>
      <c r="N8" t="s">
        <v>61</v>
      </c>
      <c r="O8" t="s">
        <v>207</v>
      </c>
      <c r="P8" s="7" t="s">
        <v>208</v>
      </c>
      <c r="Q8" t="s">
        <v>209</v>
      </c>
      <c r="R8" t="s">
        <v>210</v>
      </c>
      <c r="S8" t="s">
        <v>211</v>
      </c>
      <c r="T8" t="s">
        <v>212</v>
      </c>
      <c r="U8" t="s">
        <v>213</v>
      </c>
      <c r="AB8" t="s">
        <v>214</v>
      </c>
      <c r="AC8" t="s">
        <v>215</v>
      </c>
      <c r="AE8" t="s">
        <v>216</v>
      </c>
      <c r="AF8" t="s">
        <v>217</v>
      </c>
      <c r="AG8" t="s">
        <v>218</v>
      </c>
      <c r="AH8" t="s">
        <v>219</v>
      </c>
      <c r="AI8" t="s">
        <v>220</v>
      </c>
      <c r="AJ8" t="s">
        <v>221</v>
      </c>
      <c r="AL8" t="s">
        <v>222</v>
      </c>
      <c r="AO8" t="s">
        <v>80</v>
      </c>
      <c r="AP8" t="s">
        <v>223</v>
      </c>
      <c r="AQ8" t="s">
        <v>82</v>
      </c>
      <c r="AR8" t="s">
        <v>83</v>
      </c>
      <c r="AT8" t="s">
        <v>84</v>
      </c>
      <c r="AU8" t="s">
        <v>224</v>
      </c>
      <c r="AV8" t="s">
        <v>86</v>
      </c>
      <c r="AW8" t="s">
        <v>84</v>
      </c>
      <c r="AX8" t="b">
        <v>1</v>
      </c>
      <c r="AY8" s="4">
        <f t="shared" si="0"/>
        <v>1</v>
      </c>
      <c r="AZ8" t="b">
        <v>1</v>
      </c>
      <c r="BA8" s="4">
        <f t="shared" si="1"/>
        <v>1</v>
      </c>
      <c r="BB8" t="b">
        <v>1</v>
      </c>
      <c r="BC8" s="4">
        <f t="shared" si="2"/>
        <v>1</v>
      </c>
      <c r="BD8" s="5">
        <v>1</v>
      </c>
      <c r="BE8" s="5">
        <v>1</v>
      </c>
      <c r="BF8" s="5">
        <v>1</v>
      </c>
      <c r="BG8" s="5">
        <v>-1</v>
      </c>
      <c r="BH8" s="5" t="str">
        <f t="shared" si="3"/>
        <v>Doubt</v>
      </c>
      <c r="BI8" t="str">
        <f t="shared" si="4"/>
        <v>Yes</v>
      </c>
      <c r="BJ8" s="5">
        <v>1</v>
      </c>
      <c r="BK8" t="s">
        <v>2943</v>
      </c>
    </row>
    <row r="9" spans="1:63" ht="17" x14ac:dyDescent="0.2">
      <c r="A9">
        <v>13</v>
      </c>
      <c r="B9" t="s">
        <v>387</v>
      </c>
      <c r="C9" t="s">
        <v>388</v>
      </c>
      <c r="D9" t="s">
        <v>389</v>
      </c>
      <c r="E9" s="4" t="s">
        <v>390</v>
      </c>
      <c r="F9" t="s">
        <v>92</v>
      </c>
      <c r="G9" t="s">
        <v>391</v>
      </c>
      <c r="H9">
        <v>3210</v>
      </c>
      <c r="K9" t="s">
        <v>392</v>
      </c>
      <c r="L9" t="s">
        <v>303</v>
      </c>
      <c r="M9" t="s">
        <v>97</v>
      </c>
      <c r="N9" t="s">
        <v>231</v>
      </c>
      <c r="P9" s="7" t="s">
        <v>393</v>
      </c>
      <c r="Q9" t="s">
        <v>394</v>
      </c>
      <c r="R9" t="s">
        <v>395</v>
      </c>
      <c r="S9" t="s">
        <v>396</v>
      </c>
      <c r="T9" t="s">
        <v>397</v>
      </c>
      <c r="U9" t="s">
        <v>398</v>
      </c>
      <c r="AB9" t="s">
        <v>399</v>
      </c>
      <c r="AD9" t="s">
        <v>400</v>
      </c>
      <c r="AE9" t="s">
        <v>401</v>
      </c>
      <c r="AG9" t="s">
        <v>402</v>
      </c>
      <c r="AH9" t="s">
        <v>403</v>
      </c>
      <c r="AI9" t="s">
        <v>404</v>
      </c>
      <c r="AJ9" t="s">
        <v>405</v>
      </c>
      <c r="AK9">
        <v>16130073</v>
      </c>
      <c r="AO9" t="s">
        <v>80</v>
      </c>
      <c r="AP9" t="s">
        <v>406</v>
      </c>
      <c r="AQ9" t="s">
        <v>82</v>
      </c>
      <c r="AR9" t="s">
        <v>83</v>
      </c>
      <c r="AT9" t="s">
        <v>84</v>
      </c>
      <c r="AU9" t="s">
        <v>407</v>
      </c>
      <c r="AV9" t="s">
        <v>86</v>
      </c>
      <c r="AW9" t="s">
        <v>84</v>
      </c>
      <c r="AX9" t="b">
        <v>1</v>
      </c>
      <c r="AY9" s="4">
        <f t="shared" si="0"/>
        <v>1</v>
      </c>
      <c r="AZ9" t="b">
        <v>1</v>
      </c>
      <c r="BA9" s="4">
        <f t="shared" si="1"/>
        <v>1</v>
      </c>
      <c r="BB9" t="b">
        <v>1</v>
      </c>
      <c r="BC9" s="4">
        <f t="shared" si="2"/>
        <v>1</v>
      </c>
      <c r="BD9" s="5">
        <v>1</v>
      </c>
      <c r="BE9" s="5">
        <v>1</v>
      </c>
      <c r="BF9" s="5">
        <v>1</v>
      </c>
      <c r="BG9" s="5">
        <v>0</v>
      </c>
      <c r="BH9" s="5" t="str">
        <f t="shared" si="3"/>
        <v>No</v>
      </c>
      <c r="BI9" t="str">
        <f t="shared" si="4"/>
        <v>Yes</v>
      </c>
      <c r="BJ9" s="5">
        <v>1</v>
      </c>
      <c r="BK9" t="s">
        <v>2824</v>
      </c>
    </row>
    <row r="10" spans="1:63" ht="17" x14ac:dyDescent="0.2">
      <c r="A10">
        <v>10</v>
      </c>
      <c r="B10" t="s">
        <v>319</v>
      </c>
      <c r="C10" t="s">
        <v>320</v>
      </c>
      <c r="D10" t="s">
        <v>321</v>
      </c>
      <c r="E10" s="4" t="s">
        <v>322</v>
      </c>
      <c r="F10" t="s">
        <v>55</v>
      </c>
      <c r="G10" t="s">
        <v>323</v>
      </c>
      <c r="H10">
        <v>14</v>
      </c>
      <c r="I10" t="s">
        <v>206</v>
      </c>
      <c r="J10">
        <v>593</v>
      </c>
      <c r="N10" t="s">
        <v>61</v>
      </c>
      <c r="O10" t="s">
        <v>324</v>
      </c>
      <c r="P10" s="7" t="s">
        <v>325</v>
      </c>
      <c r="Q10" t="s">
        <v>326</v>
      </c>
      <c r="R10" t="s">
        <v>327</v>
      </c>
      <c r="S10" t="s">
        <v>328</v>
      </c>
      <c r="T10" t="s">
        <v>329</v>
      </c>
      <c r="Z10" t="s">
        <v>330</v>
      </c>
      <c r="AA10" t="s">
        <v>331</v>
      </c>
      <c r="AB10" t="s">
        <v>332</v>
      </c>
      <c r="AC10" t="s">
        <v>333</v>
      </c>
      <c r="AE10" t="s">
        <v>334</v>
      </c>
      <c r="AK10">
        <v>20799292</v>
      </c>
      <c r="AO10" t="s">
        <v>80</v>
      </c>
      <c r="AP10" t="s">
        <v>323</v>
      </c>
      <c r="AQ10" t="s">
        <v>245</v>
      </c>
      <c r="AR10" t="s">
        <v>83</v>
      </c>
      <c r="AS10" t="s">
        <v>170</v>
      </c>
      <c r="AT10" t="s">
        <v>84</v>
      </c>
      <c r="AU10" t="s">
        <v>335</v>
      </c>
      <c r="AV10" t="s">
        <v>86</v>
      </c>
      <c r="AW10" t="s">
        <v>84</v>
      </c>
      <c r="AX10" t="s">
        <v>87</v>
      </c>
      <c r="AY10" s="4">
        <f t="shared" si="0"/>
        <v>-1</v>
      </c>
      <c r="AZ10" t="b">
        <v>1</v>
      </c>
      <c r="BA10" s="4">
        <f t="shared" si="1"/>
        <v>1</v>
      </c>
      <c r="BB10" t="b">
        <v>1</v>
      </c>
      <c r="BC10" s="4">
        <f t="shared" si="2"/>
        <v>1</v>
      </c>
      <c r="BD10" s="5">
        <v>1</v>
      </c>
      <c r="BE10" s="5">
        <v>1</v>
      </c>
      <c r="BF10" s="5">
        <v>1</v>
      </c>
      <c r="BG10" s="5">
        <v>1</v>
      </c>
      <c r="BH10" s="5" t="str">
        <f t="shared" si="3"/>
        <v>Yes</v>
      </c>
      <c r="BI10" t="str">
        <f t="shared" si="4"/>
        <v>Yes</v>
      </c>
      <c r="BJ10" s="5">
        <v>1</v>
      </c>
      <c r="BK10" t="s">
        <v>2925</v>
      </c>
    </row>
    <row r="11" spans="1:63" ht="17" x14ac:dyDescent="0.2">
      <c r="A11">
        <v>55</v>
      </c>
      <c r="B11" t="s">
        <v>1160</v>
      </c>
      <c r="C11" t="s">
        <v>1161</v>
      </c>
      <c r="D11" t="s">
        <v>1162</v>
      </c>
      <c r="E11" s="4" t="s">
        <v>1163</v>
      </c>
      <c r="F11" t="s">
        <v>146</v>
      </c>
      <c r="G11" t="s">
        <v>1164</v>
      </c>
      <c r="K11" t="s">
        <v>1165</v>
      </c>
      <c r="L11" t="s">
        <v>1166</v>
      </c>
      <c r="M11" t="s">
        <v>125</v>
      </c>
      <c r="N11" t="s">
        <v>231</v>
      </c>
      <c r="O11" t="s">
        <v>1167</v>
      </c>
      <c r="P11" s="7" t="s">
        <v>1168</v>
      </c>
      <c r="Q11" t="s">
        <v>1169</v>
      </c>
      <c r="R11" t="s">
        <v>1170</v>
      </c>
      <c r="S11" t="s">
        <v>1171</v>
      </c>
      <c r="T11" t="s">
        <v>1172</v>
      </c>
      <c r="U11" t="s">
        <v>1173</v>
      </c>
      <c r="Z11" t="s">
        <v>1174</v>
      </c>
      <c r="AA11" t="s">
        <v>1175</v>
      </c>
      <c r="AB11" t="s">
        <v>1176</v>
      </c>
      <c r="AC11" t="s">
        <v>1177</v>
      </c>
      <c r="AE11" t="s">
        <v>1060</v>
      </c>
      <c r="AF11" t="s">
        <v>1178</v>
      </c>
      <c r="AG11" t="s">
        <v>1179</v>
      </c>
      <c r="AH11" t="s">
        <v>1180</v>
      </c>
      <c r="AI11" t="s">
        <v>1181</v>
      </c>
      <c r="AJ11" t="s">
        <v>1182</v>
      </c>
      <c r="AK11">
        <v>21550751</v>
      </c>
      <c r="AL11" t="s">
        <v>1183</v>
      </c>
      <c r="AO11" t="s">
        <v>80</v>
      </c>
      <c r="AP11" t="s">
        <v>1184</v>
      </c>
      <c r="AQ11" t="s">
        <v>82</v>
      </c>
      <c r="AR11" t="s">
        <v>83</v>
      </c>
      <c r="AS11" t="s">
        <v>1185</v>
      </c>
      <c r="AT11" t="s">
        <v>84</v>
      </c>
      <c r="AU11" t="s">
        <v>1186</v>
      </c>
      <c r="AV11" t="s">
        <v>86</v>
      </c>
      <c r="AW11" t="s">
        <v>84</v>
      </c>
      <c r="AX11" t="b">
        <v>1</v>
      </c>
      <c r="AY11" s="4">
        <f t="shared" si="0"/>
        <v>1</v>
      </c>
      <c r="AZ11" t="s">
        <v>87</v>
      </c>
      <c r="BA11" s="4">
        <f t="shared" si="1"/>
        <v>-1</v>
      </c>
      <c r="BB11" t="s">
        <v>87</v>
      </c>
      <c r="BC11" s="4">
        <f t="shared" si="2"/>
        <v>-1</v>
      </c>
      <c r="BD11" s="5">
        <v>1</v>
      </c>
      <c r="BE11" s="5">
        <v>1</v>
      </c>
      <c r="BF11" s="5">
        <v>1</v>
      </c>
      <c r="BG11" s="5">
        <v>1</v>
      </c>
      <c r="BH11" s="8" t="str">
        <f t="shared" si="3"/>
        <v>Yes</v>
      </c>
      <c r="BI11" t="str">
        <f t="shared" si="4"/>
        <v>Yes</v>
      </c>
      <c r="BJ11" s="5">
        <v>1</v>
      </c>
      <c r="BK11" t="s">
        <v>2833</v>
      </c>
    </row>
    <row r="12" spans="1:63" ht="17" x14ac:dyDescent="0.2">
      <c r="A12">
        <v>38</v>
      </c>
      <c r="B12" t="s">
        <v>849</v>
      </c>
      <c r="C12" t="s">
        <v>850</v>
      </c>
      <c r="D12" t="s">
        <v>851</v>
      </c>
      <c r="E12" s="4" t="s">
        <v>852</v>
      </c>
      <c r="F12" t="s">
        <v>176</v>
      </c>
      <c r="G12" t="s">
        <v>368</v>
      </c>
      <c r="K12" t="s">
        <v>853</v>
      </c>
      <c r="L12" t="s">
        <v>854</v>
      </c>
      <c r="M12" t="s">
        <v>457</v>
      </c>
      <c r="N12" t="s">
        <v>231</v>
      </c>
      <c r="P12" t="s">
        <v>855</v>
      </c>
      <c r="Q12" t="s">
        <v>856</v>
      </c>
      <c r="R12" t="s">
        <v>857</v>
      </c>
      <c r="S12" t="s">
        <v>858</v>
      </c>
      <c r="U12" t="s">
        <v>859</v>
      </c>
      <c r="AB12" t="s">
        <v>860</v>
      </c>
      <c r="AE12" t="s">
        <v>109</v>
      </c>
      <c r="AF12" t="s">
        <v>380</v>
      </c>
      <c r="AG12" t="s">
        <v>381</v>
      </c>
      <c r="AH12" t="s">
        <v>382</v>
      </c>
      <c r="AI12" t="s">
        <v>383</v>
      </c>
      <c r="AJ12" t="s">
        <v>384</v>
      </c>
      <c r="AL12" t="s">
        <v>385</v>
      </c>
      <c r="AO12" t="s">
        <v>80</v>
      </c>
      <c r="AP12" t="s">
        <v>114</v>
      </c>
      <c r="AQ12" t="s">
        <v>82</v>
      </c>
      <c r="AR12" t="s">
        <v>83</v>
      </c>
      <c r="AT12" t="s">
        <v>84</v>
      </c>
      <c r="AU12" t="s">
        <v>861</v>
      </c>
      <c r="AV12" t="s">
        <v>86</v>
      </c>
      <c r="AW12" t="s">
        <v>84</v>
      </c>
      <c r="AX12" t="b">
        <v>1</v>
      </c>
      <c r="AY12" s="4">
        <f t="shared" si="0"/>
        <v>1</v>
      </c>
      <c r="AZ12" t="b">
        <v>1</v>
      </c>
      <c r="BA12" s="4">
        <f t="shared" si="1"/>
        <v>1</v>
      </c>
      <c r="BB12" t="b">
        <v>1</v>
      </c>
      <c r="BC12" s="4">
        <f t="shared" si="2"/>
        <v>1</v>
      </c>
      <c r="BD12" s="5">
        <v>1</v>
      </c>
      <c r="BE12" s="5">
        <v>1</v>
      </c>
      <c r="BF12" s="5">
        <v>0</v>
      </c>
      <c r="BG12" s="5">
        <v>0</v>
      </c>
      <c r="BH12" s="5" t="str">
        <f t="shared" si="3"/>
        <v>No</v>
      </c>
      <c r="BI12" t="str">
        <f t="shared" si="4"/>
        <v>No</v>
      </c>
      <c r="BJ12" s="5">
        <v>0</v>
      </c>
      <c r="BK12" t="s">
        <v>2830</v>
      </c>
    </row>
    <row r="13" spans="1:63" ht="17" x14ac:dyDescent="0.2">
      <c r="A13">
        <v>107</v>
      </c>
      <c r="B13" t="s">
        <v>1942</v>
      </c>
      <c r="C13" t="s">
        <v>1943</v>
      </c>
      <c r="D13" t="s">
        <v>1944</v>
      </c>
      <c r="E13" s="4" t="s">
        <v>1945</v>
      </c>
      <c r="F13" t="s">
        <v>121</v>
      </c>
      <c r="G13" t="s">
        <v>1946</v>
      </c>
      <c r="K13" t="s">
        <v>1947</v>
      </c>
      <c r="L13" t="s">
        <v>1948</v>
      </c>
      <c r="M13" t="s">
        <v>151</v>
      </c>
      <c r="N13" t="s">
        <v>231</v>
      </c>
      <c r="O13" t="s">
        <v>1949</v>
      </c>
      <c r="P13" t="s">
        <v>1950</v>
      </c>
      <c r="Q13" t="s">
        <v>1951</v>
      </c>
      <c r="R13" t="s">
        <v>1952</v>
      </c>
      <c r="S13" t="s">
        <v>1953</v>
      </c>
      <c r="T13" t="s">
        <v>1954</v>
      </c>
      <c r="U13" t="s">
        <v>1955</v>
      </c>
      <c r="Z13" t="s">
        <v>1956</v>
      </c>
      <c r="AA13" t="s">
        <v>1957</v>
      </c>
      <c r="AB13" t="s">
        <v>1958</v>
      </c>
      <c r="AD13" t="s">
        <v>1959</v>
      </c>
      <c r="AE13" t="s">
        <v>216</v>
      </c>
      <c r="AF13" t="s">
        <v>1960</v>
      </c>
      <c r="AG13" t="s">
        <v>1961</v>
      </c>
      <c r="AH13" t="s">
        <v>1962</v>
      </c>
      <c r="AI13" t="s">
        <v>404</v>
      </c>
      <c r="AJ13" t="s">
        <v>1963</v>
      </c>
      <c r="AL13" t="s">
        <v>1964</v>
      </c>
      <c r="AO13" t="s">
        <v>80</v>
      </c>
      <c r="AP13" t="s">
        <v>551</v>
      </c>
      <c r="AQ13" t="s">
        <v>82</v>
      </c>
      <c r="AR13" t="s">
        <v>83</v>
      </c>
      <c r="AT13" t="s">
        <v>84</v>
      </c>
      <c r="AU13" t="s">
        <v>1965</v>
      </c>
      <c r="AV13" t="s">
        <v>86</v>
      </c>
      <c r="AW13" t="s">
        <v>84</v>
      </c>
      <c r="AX13" t="s">
        <v>87</v>
      </c>
      <c r="AY13" s="4">
        <f t="shared" si="0"/>
        <v>-1</v>
      </c>
      <c r="AZ13" t="b">
        <v>1</v>
      </c>
      <c r="BA13" s="4">
        <f t="shared" si="1"/>
        <v>1</v>
      </c>
      <c r="BB13" t="b">
        <v>1</v>
      </c>
      <c r="BC13" s="4">
        <f t="shared" si="2"/>
        <v>1</v>
      </c>
      <c r="BD13" s="5">
        <v>1</v>
      </c>
      <c r="BE13" s="5">
        <v>1</v>
      </c>
      <c r="BF13" s="5">
        <v>0</v>
      </c>
      <c r="BG13" s="5">
        <v>0</v>
      </c>
      <c r="BH13" s="5" t="str">
        <f t="shared" si="3"/>
        <v>No</v>
      </c>
      <c r="BI13" t="str">
        <f t="shared" si="4"/>
        <v>No</v>
      </c>
      <c r="BJ13" s="5">
        <v>0</v>
      </c>
      <c r="BK13" t="s">
        <v>2872</v>
      </c>
    </row>
    <row r="14" spans="1:63" ht="17" x14ac:dyDescent="0.2">
      <c r="A14">
        <v>32</v>
      </c>
      <c r="B14" t="s">
        <v>738</v>
      </c>
      <c r="C14" t="s">
        <v>739</v>
      </c>
      <c r="D14" t="s">
        <v>740</v>
      </c>
      <c r="E14" s="4" t="s">
        <v>741</v>
      </c>
      <c r="F14" t="s">
        <v>92</v>
      </c>
      <c r="G14" t="s">
        <v>742</v>
      </c>
      <c r="K14" t="s">
        <v>743</v>
      </c>
      <c r="L14" t="s">
        <v>744</v>
      </c>
      <c r="M14" t="s">
        <v>745</v>
      </c>
      <c r="N14" t="s">
        <v>206</v>
      </c>
      <c r="P14" s="7" t="s">
        <v>746</v>
      </c>
      <c r="Q14" t="s">
        <v>747</v>
      </c>
      <c r="R14" t="s">
        <v>748</v>
      </c>
      <c r="S14" t="s">
        <v>749</v>
      </c>
      <c r="U14" t="s">
        <v>750</v>
      </c>
      <c r="AB14" t="s">
        <v>751</v>
      </c>
      <c r="AC14" t="s">
        <v>752</v>
      </c>
      <c r="AE14" t="s">
        <v>753</v>
      </c>
      <c r="AG14" t="s">
        <v>742</v>
      </c>
      <c r="AH14" t="s">
        <v>754</v>
      </c>
      <c r="AI14" t="s">
        <v>755</v>
      </c>
      <c r="AJ14" t="s">
        <v>756</v>
      </c>
      <c r="AO14" t="s">
        <v>80</v>
      </c>
      <c r="AP14" t="s">
        <v>757</v>
      </c>
      <c r="AQ14" t="s">
        <v>82</v>
      </c>
      <c r="AR14" t="s">
        <v>83</v>
      </c>
      <c r="AT14" t="s">
        <v>84</v>
      </c>
      <c r="AU14" t="s">
        <v>758</v>
      </c>
      <c r="AV14" t="s">
        <v>86</v>
      </c>
      <c r="AW14" t="s">
        <v>84</v>
      </c>
      <c r="AX14" t="b">
        <v>1</v>
      </c>
      <c r="AY14" s="4">
        <f t="shared" si="0"/>
        <v>1</v>
      </c>
      <c r="AZ14" t="s">
        <v>87</v>
      </c>
      <c r="BA14" s="4">
        <f t="shared" si="1"/>
        <v>-1</v>
      </c>
      <c r="BB14" t="b">
        <v>1</v>
      </c>
      <c r="BC14" s="4">
        <f t="shared" si="2"/>
        <v>1</v>
      </c>
      <c r="BD14" s="5">
        <v>1</v>
      </c>
      <c r="BE14" s="5">
        <v>1</v>
      </c>
      <c r="BF14" s="5">
        <v>1</v>
      </c>
      <c r="BG14" s="5">
        <v>1</v>
      </c>
      <c r="BH14" s="5" t="str">
        <f t="shared" si="3"/>
        <v>Yes</v>
      </c>
      <c r="BI14" t="str">
        <f t="shared" si="4"/>
        <v>Yes</v>
      </c>
      <c r="BJ14" s="5">
        <v>1</v>
      </c>
      <c r="BK14" t="s">
        <v>2949</v>
      </c>
    </row>
    <row r="15" spans="1:63" ht="17" x14ac:dyDescent="0.2">
      <c r="A15">
        <v>108</v>
      </c>
      <c r="B15" t="s">
        <v>1966</v>
      </c>
      <c r="C15" t="s">
        <v>1967</v>
      </c>
      <c r="D15" t="s">
        <v>1968</v>
      </c>
      <c r="E15" s="4" t="s">
        <v>1969</v>
      </c>
      <c r="F15" t="s">
        <v>92</v>
      </c>
      <c r="G15" t="s">
        <v>1970</v>
      </c>
      <c r="H15" t="s">
        <v>1971</v>
      </c>
      <c r="K15" t="s">
        <v>392</v>
      </c>
      <c r="L15" t="s">
        <v>1972</v>
      </c>
      <c r="M15" t="s">
        <v>206</v>
      </c>
      <c r="N15" t="s">
        <v>61</v>
      </c>
      <c r="O15" t="s">
        <v>1973</v>
      </c>
      <c r="P15" s="7" t="s">
        <v>1974</v>
      </c>
      <c r="Q15" t="s">
        <v>1975</v>
      </c>
      <c r="R15" t="s">
        <v>1976</v>
      </c>
      <c r="S15" t="s">
        <v>1977</v>
      </c>
      <c r="T15" t="s">
        <v>1978</v>
      </c>
      <c r="U15" t="s">
        <v>1979</v>
      </c>
      <c r="AB15" t="s">
        <v>1980</v>
      </c>
      <c r="AC15" t="s">
        <v>1981</v>
      </c>
      <c r="AD15" t="s">
        <v>1982</v>
      </c>
      <c r="AE15" t="s">
        <v>74</v>
      </c>
      <c r="AG15" t="s">
        <v>1983</v>
      </c>
      <c r="AH15" t="s">
        <v>1984</v>
      </c>
      <c r="AI15" t="s">
        <v>404</v>
      </c>
      <c r="AJ15" t="s">
        <v>1985</v>
      </c>
      <c r="AK15">
        <v>18650929</v>
      </c>
      <c r="AL15" t="s">
        <v>1986</v>
      </c>
      <c r="AO15" t="s">
        <v>80</v>
      </c>
      <c r="AP15" t="s">
        <v>1987</v>
      </c>
      <c r="AQ15" t="s">
        <v>82</v>
      </c>
      <c r="AR15" t="s">
        <v>83</v>
      </c>
      <c r="AS15" t="s">
        <v>2885</v>
      </c>
      <c r="AT15" t="s">
        <v>84</v>
      </c>
      <c r="AU15" t="s">
        <v>1988</v>
      </c>
      <c r="AV15" t="s">
        <v>86</v>
      </c>
      <c r="AW15" t="s">
        <v>84</v>
      </c>
      <c r="AX15" t="s">
        <v>87</v>
      </c>
      <c r="AY15" s="4">
        <f t="shared" si="0"/>
        <v>-1</v>
      </c>
      <c r="AZ15" t="b">
        <v>1</v>
      </c>
      <c r="BA15" s="4">
        <f t="shared" si="1"/>
        <v>1</v>
      </c>
      <c r="BB15" t="s">
        <v>87</v>
      </c>
      <c r="BC15" s="4">
        <f t="shared" si="2"/>
        <v>-1</v>
      </c>
      <c r="BD15" s="5">
        <v>1</v>
      </c>
      <c r="BE15" s="5">
        <v>1</v>
      </c>
      <c r="BF15" s="5">
        <v>0</v>
      </c>
      <c r="BG15" s="5">
        <v>-1</v>
      </c>
      <c r="BH15" s="5" t="str">
        <f t="shared" si="3"/>
        <v>Doubt</v>
      </c>
      <c r="BI15" t="str">
        <f t="shared" si="4"/>
        <v>No</v>
      </c>
      <c r="BJ15" s="5">
        <v>0</v>
      </c>
      <c r="BK15" t="s">
        <v>2857</v>
      </c>
    </row>
    <row r="16" spans="1:63" ht="17" x14ac:dyDescent="0.2">
      <c r="A16">
        <v>129</v>
      </c>
      <c r="B16" t="s">
        <v>2238</v>
      </c>
      <c r="C16" t="s">
        <v>2239</v>
      </c>
      <c r="D16" t="s">
        <v>2240</v>
      </c>
      <c r="E16" s="4" t="s">
        <v>2241</v>
      </c>
      <c r="F16" t="s">
        <v>146</v>
      </c>
      <c r="G16" t="s">
        <v>2242</v>
      </c>
      <c r="H16">
        <v>62</v>
      </c>
      <c r="I16" t="s">
        <v>97</v>
      </c>
      <c r="K16" t="s">
        <v>2243</v>
      </c>
      <c r="L16" t="s">
        <v>2244</v>
      </c>
      <c r="M16" t="s">
        <v>2245</v>
      </c>
      <c r="N16" t="s">
        <v>231</v>
      </c>
      <c r="O16" t="s">
        <v>2246</v>
      </c>
      <c r="P16" s="7" t="s">
        <v>2247</v>
      </c>
      <c r="Q16" t="s">
        <v>2248</v>
      </c>
      <c r="R16" t="s">
        <v>2249</v>
      </c>
      <c r="S16" t="s">
        <v>2250</v>
      </c>
      <c r="T16" t="s">
        <v>2251</v>
      </c>
      <c r="U16" t="s">
        <v>2252</v>
      </c>
      <c r="Z16" t="s">
        <v>2253</v>
      </c>
      <c r="AA16" t="s">
        <v>2254</v>
      </c>
      <c r="AB16" t="s">
        <v>2255</v>
      </c>
      <c r="AC16" t="s">
        <v>2256</v>
      </c>
      <c r="AE16" t="s">
        <v>424</v>
      </c>
      <c r="AK16">
        <v>9259902</v>
      </c>
      <c r="AM16" t="s">
        <v>2257</v>
      </c>
      <c r="AO16" t="s">
        <v>80</v>
      </c>
      <c r="AP16" t="s">
        <v>2258</v>
      </c>
      <c r="AQ16" t="s">
        <v>245</v>
      </c>
      <c r="AR16" t="s">
        <v>83</v>
      </c>
      <c r="AT16" t="s">
        <v>84</v>
      </c>
      <c r="AU16" t="s">
        <v>2259</v>
      </c>
      <c r="AV16" t="s">
        <v>2260</v>
      </c>
      <c r="AW16" t="s">
        <v>84</v>
      </c>
      <c r="AX16" t="s">
        <v>87</v>
      </c>
      <c r="AY16" s="4">
        <f t="shared" si="0"/>
        <v>-1</v>
      </c>
      <c r="AZ16" t="b">
        <v>1</v>
      </c>
      <c r="BA16" s="4">
        <f t="shared" si="1"/>
        <v>1</v>
      </c>
      <c r="BB16" t="s">
        <v>87</v>
      </c>
      <c r="BC16" s="4">
        <f t="shared" si="2"/>
        <v>-1</v>
      </c>
      <c r="BD16" s="5">
        <v>1</v>
      </c>
      <c r="BE16" s="5">
        <v>1</v>
      </c>
      <c r="BF16" s="5">
        <v>1</v>
      </c>
      <c r="BG16" s="5">
        <v>1</v>
      </c>
      <c r="BH16" s="6" t="str">
        <f t="shared" si="3"/>
        <v>Yes</v>
      </c>
      <c r="BI16" t="str">
        <f t="shared" si="4"/>
        <v>Yes</v>
      </c>
      <c r="BJ16" s="5">
        <v>1</v>
      </c>
      <c r="BK16" t="s">
        <v>2888</v>
      </c>
    </row>
    <row r="17" spans="1:63" ht="17" x14ac:dyDescent="0.2">
      <c r="A17">
        <v>59</v>
      </c>
      <c r="B17" t="s">
        <v>1227</v>
      </c>
      <c r="C17" t="s">
        <v>1228</v>
      </c>
      <c r="D17">
        <v>57201119659</v>
      </c>
      <c r="E17" s="4" t="s">
        <v>1229</v>
      </c>
      <c r="F17" t="s">
        <v>92</v>
      </c>
      <c r="G17" t="s">
        <v>252</v>
      </c>
      <c r="K17" t="s">
        <v>1230</v>
      </c>
      <c r="L17" t="s">
        <v>1231</v>
      </c>
      <c r="M17" t="s">
        <v>97</v>
      </c>
      <c r="N17" t="s">
        <v>125</v>
      </c>
      <c r="O17" t="s">
        <v>1232</v>
      </c>
      <c r="P17" t="s">
        <v>1233</v>
      </c>
      <c r="Q17" t="s">
        <v>1234</v>
      </c>
      <c r="R17" t="s">
        <v>1235</v>
      </c>
      <c r="S17" t="s">
        <v>1236</v>
      </c>
      <c r="U17" t="s">
        <v>1237</v>
      </c>
      <c r="AB17" t="s">
        <v>1238</v>
      </c>
      <c r="AC17" t="s">
        <v>1239</v>
      </c>
      <c r="AE17" t="s">
        <v>109</v>
      </c>
      <c r="AG17" t="s">
        <v>1240</v>
      </c>
      <c r="AH17" s="1">
        <v>44707</v>
      </c>
      <c r="AI17" t="s">
        <v>1241</v>
      </c>
      <c r="AJ17" t="s">
        <v>1242</v>
      </c>
      <c r="AK17" t="s">
        <v>269</v>
      </c>
      <c r="AL17" t="s">
        <v>1243</v>
      </c>
      <c r="AO17" t="s">
        <v>80</v>
      </c>
      <c r="AP17" t="s">
        <v>271</v>
      </c>
      <c r="AQ17" t="s">
        <v>82</v>
      </c>
      <c r="AR17" t="s">
        <v>83</v>
      </c>
      <c r="AS17" t="s">
        <v>362</v>
      </c>
      <c r="AT17" t="s">
        <v>84</v>
      </c>
      <c r="AU17" t="s">
        <v>1244</v>
      </c>
      <c r="AV17" t="s">
        <v>86</v>
      </c>
      <c r="AW17" t="s">
        <v>84</v>
      </c>
      <c r="AX17" t="b">
        <v>1</v>
      </c>
      <c r="AY17" s="4">
        <f t="shared" si="0"/>
        <v>1</v>
      </c>
      <c r="AZ17" t="b">
        <v>1</v>
      </c>
      <c r="BA17" s="4">
        <f t="shared" si="1"/>
        <v>1</v>
      </c>
      <c r="BB17" t="b">
        <v>1</v>
      </c>
      <c r="BC17" s="4">
        <f t="shared" si="2"/>
        <v>1</v>
      </c>
      <c r="BD17" s="5">
        <v>1</v>
      </c>
      <c r="BE17" s="5">
        <v>0</v>
      </c>
      <c r="BF17" s="5">
        <v>0</v>
      </c>
      <c r="BG17" s="5">
        <v>0</v>
      </c>
      <c r="BH17" s="5" t="str">
        <f t="shared" si="3"/>
        <v>No</v>
      </c>
      <c r="BI17" t="str">
        <f t="shared" si="4"/>
        <v>No</v>
      </c>
      <c r="BJ17" s="5">
        <v>0</v>
      </c>
      <c r="BK17" t="s">
        <v>2835</v>
      </c>
    </row>
    <row r="18" spans="1:63" ht="17" x14ac:dyDescent="0.2">
      <c r="A18">
        <v>28</v>
      </c>
      <c r="B18" t="s">
        <v>642</v>
      </c>
      <c r="C18" t="s">
        <v>643</v>
      </c>
      <c r="D18" t="s">
        <v>644</v>
      </c>
      <c r="E18" s="4" t="s">
        <v>645</v>
      </c>
      <c r="F18" t="s">
        <v>146</v>
      </c>
      <c r="G18" t="s">
        <v>646</v>
      </c>
      <c r="K18" t="s">
        <v>647</v>
      </c>
      <c r="L18" t="s">
        <v>648</v>
      </c>
      <c r="M18" t="s">
        <v>649</v>
      </c>
      <c r="N18" t="s">
        <v>61</v>
      </c>
      <c r="P18" t="s">
        <v>650</v>
      </c>
      <c r="Q18" t="s">
        <v>651</v>
      </c>
      <c r="R18" t="s">
        <v>652</v>
      </c>
      <c r="S18" t="s">
        <v>653</v>
      </c>
      <c r="U18" t="s">
        <v>654</v>
      </c>
      <c r="Z18" t="s">
        <v>655</v>
      </c>
      <c r="AA18" t="s">
        <v>656</v>
      </c>
      <c r="AB18" t="s">
        <v>657</v>
      </c>
      <c r="AC18" t="s">
        <v>658</v>
      </c>
      <c r="AD18" t="s">
        <v>659</v>
      </c>
      <c r="AE18" t="s">
        <v>109</v>
      </c>
      <c r="AF18" t="s">
        <v>660</v>
      </c>
      <c r="AG18" t="s">
        <v>661</v>
      </c>
      <c r="AH18" t="s">
        <v>662</v>
      </c>
      <c r="AI18" t="s">
        <v>663</v>
      </c>
      <c r="AJ18" t="s">
        <v>664</v>
      </c>
      <c r="AL18" t="s">
        <v>665</v>
      </c>
      <c r="AO18" t="s">
        <v>80</v>
      </c>
      <c r="AP18" t="s">
        <v>666</v>
      </c>
      <c r="AQ18" t="s">
        <v>82</v>
      </c>
      <c r="AR18" t="s">
        <v>83</v>
      </c>
      <c r="AT18" t="s">
        <v>84</v>
      </c>
      <c r="AU18" t="s">
        <v>667</v>
      </c>
      <c r="AV18" t="s">
        <v>86</v>
      </c>
      <c r="AW18" t="s">
        <v>84</v>
      </c>
      <c r="AX18" t="b">
        <v>1</v>
      </c>
      <c r="AY18" s="4">
        <f t="shared" si="0"/>
        <v>1</v>
      </c>
      <c r="AZ18" t="b">
        <v>1</v>
      </c>
      <c r="BA18" s="4">
        <f t="shared" si="1"/>
        <v>1</v>
      </c>
      <c r="BB18" t="b">
        <v>1</v>
      </c>
      <c r="BC18" s="4">
        <f t="shared" si="2"/>
        <v>1</v>
      </c>
      <c r="BD18" s="5">
        <v>1</v>
      </c>
      <c r="BE18" s="5">
        <v>0</v>
      </c>
      <c r="BF18" s="5">
        <v>0</v>
      </c>
      <c r="BG18" s="5">
        <v>0</v>
      </c>
      <c r="BH18" s="5" t="str">
        <f t="shared" si="3"/>
        <v>No</v>
      </c>
      <c r="BI18" t="str">
        <f t="shared" si="4"/>
        <v>No</v>
      </c>
      <c r="BJ18" s="5">
        <v>0</v>
      </c>
      <c r="BK18" t="s">
        <v>2826</v>
      </c>
    </row>
    <row r="19" spans="1:63" ht="17" x14ac:dyDescent="0.2">
      <c r="A19">
        <v>109</v>
      </c>
      <c r="B19" t="s">
        <v>1989</v>
      </c>
      <c r="C19" t="s">
        <v>1990</v>
      </c>
      <c r="D19" t="s">
        <v>1991</v>
      </c>
      <c r="E19" s="4" t="s">
        <v>1992</v>
      </c>
      <c r="F19" t="s">
        <v>92</v>
      </c>
      <c r="G19" t="s">
        <v>391</v>
      </c>
      <c r="H19">
        <v>3202</v>
      </c>
      <c r="N19" t="s">
        <v>231</v>
      </c>
      <c r="P19" t="s">
        <v>1993</v>
      </c>
      <c r="Q19" t="s">
        <v>1994</v>
      </c>
      <c r="R19" t="s">
        <v>1995</v>
      </c>
      <c r="S19" t="s">
        <v>1996</v>
      </c>
      <c r="T19" t="s">
        <v>1997</v>
      </c>
      <c r="U19" t="s">
        <v>1998</v>
      </c>
      <c r="AB19" t="s">
        <v>1999</v>
      </c>
      <c r="AD19" t="s">
        <v>2000</v>
      </c>
      <c r="AE19" t="s">
        <v>401</v>
      </c>
      <c r="AG19" t="s">
        <v>2001</v>
      </c>
      <c r="AH19" s="1">
        <v>44824</v>
      </c>
      <c r="AI19" t="s">
        <v>2002</v>
      </c>
      <c r="AJ19" t="s">
        <v>2003</v>
      </c>
      <c r="AK19">
        <v>16130073</v>
      </c>
      <c r="AO19" t="s">
        <v>80</v>
      </c>
      <c r="AP19" t="s">
        <v>406</v>
      </c>
      <c r="AQ19" t="s">
        <v>82</v>
      </c>
      <c r="AR19" t="s">
        <v>83</v>
      </c>
      <c r="AT19" t="s">
        <v>84</v>
      </c>
      <c r="AU19" t="s">
        <v>2004</v>
      </c>
      <c r="AV19" t="s">
        <v>86</v>
      </c>
      <c r="AW19" t="s">
        <v>84</v>
      </c>
      <c r="AX19" t="s">
        <v>87</v>
      </c>
      <c r="AY19" s="4">
        <f t="shared" si="0"/>
        <v>-1</v>
      </c>
      <c r="AZ19" t="b">
        <v>1</v>
      </c>
      <c r="BA19" s="4">
        <f t="shared" si="1"/>
        <v>1</v>
      </c>
      <c r="BB19" t="b">
        <v>1</v>
      </c>
      <c r="BC19" s="4">
        <f t="shared" si="2"/>
        <v>1</v>
      </c>
      <c r="BD19" s="5">
        <v>1</v>
      </c>
      <c r="BE19" s="5">
        <v>0</v>
      </c>
      <c r="BF19" s="5">
        <v>0</v>
      </c>
      <c r="BG19" s="5">
        <v>0</v>
      </c>
      <c r="BH19" s="5" t="str">
        <f t="shared" si="3"/>
        <v>No</v>
      </c>
      <c r="BI19" t="str">
        <f t="shared" si="4"/>
        <v>No</v>
      </c>
      <c r="BJ19" s="5">
        <v>0</v>
      </c>
      <c r="BK19" t="s">
        <v>2855</v>
      </c>
    </row>
    <row r="20" spans="1:63" ht="17" x14ac:dyDescent="0.2">
      <c r="A20">
        <v>39</v>
      </c>
      <c r="B20" t="s">
        <v>862</v>
      </c>
      <c r="C20" t="s">
        <v>863</v>
      </c>
      <c r="D20" t="s">
        <v>864</v>
      </c>
      <c r="E20" s="4" t="s">
        <v>865</v>
      </c>
      <c r="F20" t="s">
        <v>146</v>
      </c>
      <c r="G20" t="s">
        <v>866</v>
      </c>
      <c r="H20">
        <v>245</v>
      </c>
      <c r="K20" t="s">
        <v>151</v>
      </c>
      <c r="L20" t="s">
        <v>649</v>
      </c>
      <c r="M20" t="s">
        <v>180</v>
      </c>
      <c r="N20" t="s">
        <v>61</v>
      </c>
      <c r="P20" t="s">
        <v>867</v>
      </c>
      <c r="Q20" t="s">
        <v>868</v>
      </c>
      <c r="R20" t="s">
        <v>869</v>
      </c>
      <c r="S20" t="s">
        <v>870</v>
      </c>
      <c r="T20" t="s">
        <v>871</v>
      </c>
      <c r="U20" t="s">
        <v>872</v>
      </c>
      <c r="AB20" t="s">
        <v>873</v>
      </c>
      <c r="AC20" t="s">
        <v>874</v>
      </c>
      <c r="AD20" t="s">
        <v>875</v>
      </c>
      <c r="AE20" t="s">
        <v>876</v>
      </c>
      <c r="AG20" t="s">
        <v>877</v>
      </c>
      <c r="AH20" t="s">
        <v>878</v>
      </c>
      <c r="AI20" t="s">
        <v>879</v>
      </c>
      <c r="AJ20" t="s">
        <v>880</v>
      </c>
      <c r="AK20">
        <v>26403498</v>
      </c>
      <c r="AO20" t="s">
        <v>80</v>
      </c>
      <c r="AP20" t="s">
        <v>881</v>
      </c>
      <c r="AQ20" t="s">
        <v>82</v>
      </c>
      <c r="AR20" t="s">
        <v>83</v>
      </c>
      <c r="AT20" t="s">
        <v>84</v>
      </c>
      <c r="AU20" t="s">
        <v>882</v>
      </c>
      <c r="AV20" t="s">
        <v>86</v>
      </c>
      <c r="AW20" t="s">
        <v>84</v>
      </c>
      <c r="AX20" t="s">
        <v>87</v>
      </c>
      <c r="AY20" s="4">
        <f t="shared" si="0"/>
        <v>-1</v>
      </c>
      <c r="AZ20" t="s">
        <v>87</v>
      </c>
      <c r="BA20" s="4">
        <f t="shared" si="1"/>
        <v>-1</v>
      </c>
      <c r="BB20" t="s">
        <v>87</v>
      </c>
      <c r="BC20" s="4">
        <f t="shared" si="2"/>
        <v>-1</v>
      </c>
      <c r="BD20" s="5">
        <v>0</v>
      </c>
      <c r="BE20" s="5">
        <v>0</v>
      </c>
      <c r="BF20" s="5">
        <v>0</v>
      </c>
      <c r="BG20" s="5">
        <v>0</v>
      </c>
      <c r="BH20" s="5" t="str">
        <f t="shared" si="3"/>
        <v>No</v>
      </c>
      <c r="BI20" t="str">
        <f t="shared" si="4"/>
        <v>No</v>
      </c>
      <c r="BJ20" s="5">
        <v>0</v>
      </c>
    </row>
    <row r="21" spans="1:63" ht="17" x14ac:dyDescent="0.2">
      <c r="A21">
        <v>156</v>
      </c>
      <c r="B21" t="s">
        <v>2659</v>
      </c>
      <c r="C21" t="s">
        <v>2660</v>
      </c>
      <c r="D21" t="s">
        <v>2661</v>
      </c>
      <c r="E21" s="4" t="s">
        <v>2662</v>
      </c>
      <c r="F21" t="s">
        <v>146</v>
      </c>
      <c r="G21" t="s">
        <v>391</v>
      </c>
      <c r="H21">
        <v>3745</v>
      </c>
      <c r="K21" t="s">
        <v>2663</v>
      </c>
      <c r="L21" t="s">
        <v>1924</v>
      </c>
      <c r="M21" t="s">
        <v>151</v>
      </c>
      <c r="N21" t="s">
        <v>61</v>
      </c>
      <c r="P21" s="7" t="s">
        <v>2664</v>
      </c>
      <c r="Q21" t="s">
        <v>2665</v>
      </c>
      <c r="R21" t="s">
        <v>2666</v>
      </c>
      <c r="S21" t="s">
        <v>2667</v>
      </c>
      <c r="T21" t="s">
        <v>2668</v>
      </c>
      <c r="U21" t="s">
        <v>2669</v>
      </c>
      <c r="Z21" t="s">
        <v>2670</v>
      </c>
      <c r="AA21" t="s">
        <v>2671</v>
      </c>
      <c r="AB21" t="s">
        <v>2672</v>
      </c>
      <c r="AC21" t="s">
        <v>2673</v>
      </c>
      <c r="AD21" t="s">
        <v>2674</v>
      </c>
      <c r="AE21" t="s">
        <v>401</v>
      </c>
      <c r="AG21" t="s">
        <v>2675</v>
      </c>
      <c r="AH21" t="s">
        <v>2676</v>
      </c>
      <c r="AI21" t="s">
        <v>2677</v>
      </c>
      <c r="AJ21" t="s">
        <v>2678</v>
      </c>
      <c r="AK21">
        <v>16130073</v>
      </c>
      <c r="AO21" t="s">
        <v>80</v>
      </c>
      <c r="AP21" t="s">
        <v>406</v>
      </c>
      <c r="AQ21" t="s">
        <v>82</v>
      </c>
      <c r="AR21" t="s">
        <v>83</v>
      </c>
      <c r="AT21" t="s">
        <v>84</v>
      </c>
      <c r="AU21" t="s">
        <v>2679</v>
      </c>
      <c r="AV21" t="s">
        <v>2635</v>
      </c>
      <c r="AW21" t="s">
        <v>84</v>
      </c>
      <c r="AX21" t="s">
        <v>87</v>
      </c>
      <c r="AY21" s="4">
        <f t="shared" si="0"/>
        <v>-1</v>
      </c>
      <c r="AZ21" t="b">
        <v>1</v>
      </c>
      <c r="BA21" s="4">
        <f t="shared" si="1"/>
        <v>1</v>
      </c>
      <c r="BB21" t="b">
        <v>1</v>
      </c>
      <c r="BC21" s="4">
        <f t="shared" si="2"/>
        <v>1</v>
      </c>
      <c r="BD21" s="5">
        <v>1</v>
      </c>
      <c r="BE21" s="5">
        <v>1</v>
      </c>
      <c r="BF21" s="5">
        <v>1</v>
      </c>
      <c r="BG21" s="5">
        <v>1</v>
      </c>
      <c r="BH21" s="17" t="str">
        <f t="shared" si="3"/>
        <v>Yes</v>
      </c>
      <c r="BI21" t="str">
        <f t="shared" si="4"/>
        <v>Yes</v>
      </c>
      <c r="BJ21" s="5">
        <v>1</v>
      </c>
      <c r="BK21" t="s">
        <v>2894</v>
      </c>
    </row>
    <row r="22" spans="1:63" ht="17" x14ac:dyDescent="0.2">
      <c r="A22">
        <v>7</v>
      </c>
      <c r="B22" t="s">
        <v>248</v>
      </c>
      <c r="C22" t="s">
        <v>249</v>
      </c>
      <c r="D22" t="s">
        <v>250</v>
      </c>
      <c r="E22" s="4" t="s">
        <v>251</v>
      </c>
      <c r="F22" t="s">
        <v>176</v>
      </c>
      <c r="G22" t="s">
        <v>252</v>
      </c>
      <c r="H22">
        <v>1</v>
      </c>
      <c r="K22" t="s">
        <v>253</v>
      </c>
      <c r="L22" t="s">
        <v>254</v>
      </c>
      <c r="M22" t="s">
        <v>148</v>
      </c>
      <c r="N22" t="s">
        <v>125</v>
      </c>
      <c r="O22" t="s">
        <v>255</v>
      </c>
      <c r="P22" s="7" t="s">
        <v>256</v>
      </c>
      <c r="Q22" t="s">
        <v>257</v>
      </c>
      <c r="R22" t="s">
        <v>258</v>
      </c>
      <c r="S22" t="s">
        <v>259</v>
      </c>
      <c r="U22" t="s">
        <v>260</v>
      </c>
      <c r="Z22" t="s">
        <v>261</v>
      </c>
      <c r="AA22" t="s">
        <v>262</v>
      </c>
      <c r="AB22" t="s">
        <v>263</v>
      </c>
      <c r="AE22" t="s">
        <v>109</v>
      </c>
      <c r="AF22" t="s">
        <v>264</v>
      </c>
      <c r="AG22" t="s">
        <v>265</v>
      </c>
      <c r="AH22" t="s">
        <v>266</v>
      </c>
      <c r="AI22" t="s">
        <v>267</v>
      </c>
      <c r="AJ22" t="s">
        <v>268</v>
      </c>
      <c r="AK22" t="s">
        <v>269</v>
      </c>
      <c r="AL22" t="s">
        <v>270</v>
      </c>
      <c r="AO22" t="s">
        <v>80</v>
      </c>
      <c r="AP22" t="s">
        <v>271</v>
      </c>
      <c r="AQ22" t="s">
        <v>82</v>
      </c>
      <c r="AR22" t="s">
        <v>83</v>
      </c>
      <c r="AS22" t="s">
        <v>115</v>
      </c>
      <c r="AT22" t="s">
        <v>84</v>
      </c>
      <c r="AU22" t="s">
        <v>272</v>
      </c>
      <c r="AV22" t="s">
        <v>86</v>
      </c>
      <c r="AW22" t="s">
        <v>84</v>
      </c>
      <c r="AX22" t="b">
        <v>1</v>
      </c>
      <c r="AY22" s="4">
        <f t="shared" si="0"/>
        <v>1</v>
      </c>
      <c r="AZ22" t="b">
        <v>1</v>
      </c>
      <c r="BA22" s="4">
        <f t="shared" si="1"/>
        <v>1</v>
      </c>
      <c r="BB22" t="b">
        <v>1</v>
      </c>
      <c r="BC22" s="4">
        <f t="shared" si="2"/>
        <v>1</v>
      </c>
      <c r="BD22" s="5">
        <v>1</v>
      </c>
      <c r="BE22" s="5">
        <v>1</v>
      </c>
      <c r="BF22" s="5">
        <v>1</v>
      </c>
      <c r="BG22" s="5">
        <v>1</v>
      </c>
      <c r="BH22" s="5" t="str">
        <f t="shared" si="3"/>
        <v>Yes</v>
      </c>
      <c r="BI22" t="str">
        <f t="shared" si="4"/>
        <v>Yes</v>
      </c>
      <c r="BJ22" s="5">
        <v>1</v>
      </c>
      <c r="BK22" t="s">
        <v>2942</v>
      </c>
    </row>
    <row r="23" spans="1:63" ht="17" x14ac:dyDescent="0.2">
      <c r="A23">
        <v>136</v>
      </c>
      <c r="B23" t="s">
        <v>2372</v>
      </c>
      <c r="C23" t="s">
        <v>2373</v>
      </c>
      <c r="D23" t="s">
        <v>2374</v>
      </c>
      <c r="E23" s="4" t="s">
        <v>2375</v>
      </c>
      <c r="F23" t="s">
        <v>55</v>
      </c>
      <c r="G23" t="s">
        <v>2376</v>
      </c>
      <c r="H23">
        <v>164</v>
      </c>
      <c r="J23" t="s">
        <v>2377</v>
      </c>
      <c r="N23" t="s">
        <v>61</v>
      </c>
      <c r="O23" t="s">
        <v>2378</v>
      </c>
      <c r="P23" s="7" t="s">
        <v>2379</v>
      </c>
      <c r="Q23" t="s">
        <v>2380</v>
      </c>
      <c r="R23" t="s">
        <v>2381</v>
      </c>
      <c r="S23" t="s">
        <v>2382</v>
      </c>
      <c r="T23" t="s">
        <v>2383</v>
      </c>
      <c r="U23" t="s">
        <v>2384</v>
      </c>
      <c r="Z23" t="s">
        <v>2385</v>
      </c>
      <c r="AA23" t="s">
        <v>2386</v>
      </c>
      <c r="AB23" t="s">
        <v>2387</v>
      </c>
      <c r="AC23" t="s">
        <v>2388</v>
      </c>
      <c r="AE23" t="s">
        <v>2389</v>
      </c>
      <c r="AK23">
        <v>15320464</v>
      </c>
      <c r="AM23" t="s">
        <v>2390</v>
      </c>
      <c r="AO23" t="s">
        <v>80</v>
      </c>
      <c r="AP23" t="s">
        <v>2391</v>
      </c>
      <c r="AQ23" t="s">
        <v>245</v>
      </c>
      <c r="AR23" t="s">
        <v>83</v>
      </c>
      <c r="AT23" t="s">
        <v>84</v>
      </c>
      <c r="AU23" t="s">
        <v>2392</v>
      </c>
      <c r="AV23" t="s">
        <v>2313</v>
      </c>
      <c r="AW23" t="s">
        <v>84</v>
      </c>
      <c r="AX23" t="s">
        <v>87</v>
      </c>
      <c r="AY23" s="4">
        <f t="shared" si="0"/>
        <v>-1</v>
      </c>
      <c r="AZ23" t="b">
        <v>1</v>
      </c>
      <c r="BA23" s="4">
        <f t="shared" si="1"/>
        <v>1</v>
      </c>
      <c r="BB23" t="s">
        <v>87</v>
      </c>
      <c r="BC23" s="4">
        <f t="shared" si="2"/>
        <v>-1</v>
      </c>
      <c r="BD23" s="5">
        <v>1</v>
      </c>
      <c r="BE23" s="5">
        <v>1</v>
      </c>
      <c r="BF23" s="5">
        <v>1</v>
      </c>
      <c r="BG23" s="5">
        <v>-1</v>
      </c>
      <c r="BH23" s="6" t="str">
        <f t="shared" si="3"/>
        <v>Doubt</v>
      </c>
      <c r="BI23" t="str">
        <f t="shared" si="4"/>
        <v>Yes</v>
      </c>
      <c r="BJ23" s="5">
        <v>1</v>
      </c>
      <c r="BK23" t="s">
        <v>2877</v>
      </c>
    </row>
    <row r="24" spans="1:63" ht="17" x14ac:dyDescent="0.2">
      <c r="A24">
        <v>40</v>
      </c>
      <c r="B24" t="s">
        <v>883</v>
      </c>
      <c r="C24" t="s">
        <v>884</v>
      </c>
      <c r="D24" t="s">
        <v>885</v>
      </c>
      <c r="E24" s="4" t="s">
        <v>886</v>
      </c>
      <c r="F24" t="s">
        <v>146</v>
      </c>
      <c r="G24" t="s">
        <v>887</v>
      </c>
      <c r="H24">
        <v>2</v>
      </c>
      <c r="K24" t="s">
        <v>888</v>
      </c>
      <c r="L24" t="s">
        <v>508</v>
      </c>
      <c r="M24" t="s">
        <v>151</v>
      </c>
      <c r="N24" t="s">
        <v>231</v>
      </c>
      <c r="P24" s="7" t="s">
        <v>889</v>
      </c>
      <c r="Q24" t="s">
        <v>856</v>
      </c>
      <c r="R24" t="s">
        <v>890</v>
      </c>
      <c r="S24" t="s">
        <v>891</v>
      </c>
      <c r="U24" t="s">
        <v>892</v>
      </c>
      <c r="AB24" t="s">
        <v>893</v>
      </c>
      <c r="AE24" t="s">
        <v>109</v>
      </c>
      <c r="AF24" t="s">
        <v>894</v>
      </c>
      <c r="AG24" t="s">
        <v>895</v>
      </c>
      <c r="AH24" t="s">
        <v>896</v>
      </c>
      <c r="AI24" t="s">
        <v>897</v>
      </c>
      <c r="AJ24" t="s">
        <v>898</v>
      </c>
      <c r="AO24" t="s">
        <v>80</v>
      </c>
      <c r="AP24" t="s">
        <v>899</v>
      </c>
      <c r="AQ24" t="s">
        <v>82</v>
      </c>
      <c r="AR24" t="s">
        <v>83</v>
      </c>
      <c r="AT24" t="s">
        <v>84</v>
      </c>
      <c r="AU24" t="s">
        <v>900</v>
      </c>
      <c r="AV24" t="s">
        <v>86</v>
      </c>
      <c r="AW24" t="s">
        <v>84</v>
      </c>
      <c r="AX24" t="b">
        <v>1</v>
      </c>
      <c r="AY24" s="4">
        <f t="shared" si="0"/>
        <v>1</v>
      </c>
      <c r="AZ24" t="b">
        <v>1</v>
      </c>
      <c r="BA24" s="4">
        <f t="shared" si="1"/>
        <v>1</v>
      </c>
      <c r="BB24" t="b">
        <v>1</v>
      </c>
      <c r="BC24" s="4">
        <f t="shared" si="2"/>
        <v>1</v>
      </c>
      <c r="BD24" s="5">
        <v>1</v>
      </c>
      <c r="BE24" s="5">
        <v>1</v>
      </c>
      <c r="BF24" s="5">
        <v>1</v>
      </c>
      <c r="BG24" s="5">
        <v>1</v>
      </c>
      <c r="BH24" s="5" t="str">
        <f t="shared" si="3"/>
        <v>Yes</v>
      </c>
      <c r="BI24" t="str">
        <f t="shared" si="4"/>
        <v>Yes</v>
      </c>
      <c r="BJ24" s="5">
        <v>1</v>
      </c>
      <c r="BK24" t="s">
        <v>2831</v>
      </c>
    </row>
    <row r="25" spans="1:63" ht="17" x14ac:dyDescent="0.2">
      <c r="A25">
        <v>98</v>
      </c>
      <c r="B25" t="s">
        <v>1819</v>
      </c>
      <c r="C25" t="s">
        <v>1820</v>
      </c>
      <c r="D25" t="s">
        <v>1821</v>
      </c>
      <c r="E25" s="4" t="s">
        <v>1822</v>
      </c>
      <c r="F25" t="s">
        <v>92</v>
      </c>
      <c r="G25" t="s">
        <v>1164</v>
      </c>
      <c r="K25" t="s">
        <v>1823</v>
      </c>
      <c r="L25" t="s">
        <v>1824</v>
      </c>
      <c r="M25" t="s">
        <v>280</v>
      </c>
      <c r="N25" t="s">
        <v>206</v>
      </c>
      <c r="O25" t="s">
        <v>1825</v>
      </c>
      <c r="P25" s="7" t="s">
        <v>1826</v>
      </c>
      <c r="Q25" t="s">
        <v>1827</v>
      </c>
      <c r="R25" t="s">
        <v>1828</v>
      </c>
      <c r="S25" t="s">
        <v>1829</v>
      </c>
      <c r="T25" t="s">
        <v>1830</v>
      </c>
      <c r="U25" t="s">
        <v>1831</v>
      </c>
      <c r="Z25" t="s">
        <v>1832</v>
      </c>
      <c r="AA25" t="s">
        <v>1833</v>
      </c>
      <c r="AB25" t="s">
        <v>1834</v>
      </c>
      <c r="AE25" t="s">
        <v>1060</v>
      </c>
      <c r="AF25" t="s">
        <v>1835</v>
      </c>
      <c r="AG25" t="s">
        <v>1836</v>
      </c>
      <c r="AH25" t="s">
        <v>1837</v>
      </c>
      <c r="AI25" t="s">
        <v>1838</v>
      </c>
      <c r="AJ25" t="s">
        <v>1839</v>
      </c>
      <c r="AL25" t="s">
        <v>1840</v>
      </c>
      <c r="AO25" t="s">
        <v>80</v>
      </c>
      <c r="AP25" t="s">
        <v>1184</v>
      </c>
      <c r="AQ25" t="s">
        <v>82</v>
      </c>
      <c r="AR25" t="s">
        <v>83</v>
      </c>
      <c r="AT25" t="s">
        <v>84</v>
      </c>
      <c r="AU25" t="s">
        <v>1841</v>
      </c>
      <c r="AV25" t="s">
        <v>86</v>
      </c>
      <c r="AW25" t="s">
        <v>84</v>
      </c>
      <c r="AX25" t="b">
        <v>1</v>
      </c>
      <c r="AY25" s="4">
        <f t="shared" si="0"/>
        <v>1</v>
      </c>
      <c r="AZ25" t="s">
        <v>87</v>
      </c>
      <c r="BA25" s="4">
        <f t="shared" si="1"/>
        <v>-1</v>
      </c>
      <c r="BB25" t="s">
        <v>87</v>
      </c>
      <c r="BC25" s="4">
        <f t="shared" si="2"/>
        <v>-1</v>
      </c>
      <c r="BD25" s="5">
        <v>1</v>
      </c>
      <c r="BE25" s="5">
        <v>1</v>
      </c>
      <c r="BF25" s="5">
        <v>1</v>
      </c>
      <c r="BG25" s="5">
        <v>1</v>
      </c>
      <c r="BH25" s="14" t="str">
        <f t="shared" si="3"/>
        <v>Yes</v>
      </c>
      <c r="BI25" t="str">
        <f t="shared" si="4"/>
        <v>Yes</v>
      </c>
      <c r="BJ25" s="5">
        <v>1</v>
      </c>
      <c r="BK25" t="s">
        <v>2910</v>
      </c>
    </row>
    <row r="26" spans="1:63" ht="17" x14ac:dyDescent="0.2">
      <c r="A26">
        <v>22</v>
      </c>
      <c r="B26" t="s">
        <v>570</v>
      </c>
      <c r="C26" t="s">
        <v>571</v>
      </c>
      <c r="D26" t="s">
        <v>572</v>
      </c>
      <c r="E26" s="4" t="s">
        <v>573</v>
      </c>
      <c r="F26" t="s">
        <v>176</v>
      </c>
      <c r="G26" t="s">
        <v>252</v>
      </c>
      <c r="H26">
        <v>1</v>
      </c>
      <c r="K26" t="s">
        <v>574</v>
      </c>
      <c r="L26" t="s">
        <v>575</v>
      </c>
      <c r="M26" t="s">
        <v>96</v>
      </c>
      <c r="N26" t="s">
        <v>152</v>
      </c>
      <c r="O26" t="s">
        <v>576</v>
      </c>
      <c r="P26" s="7" t="s">
        <v>577</v>
      </c>
      <c r="Q26" t="s">
        <v>578</v>
      </c>
      <c r="R26" t="s">
        <v>579</v>
      </c>
      <c r="S26" t="s">
        <v>580</v>
      </c>
      <c r="U26" t="s">
        <v>581</v>
      </c>
      <c r="AB26" t="s">
        <v>582</v>
      </c>
      <c r="AE26" t="s">
        <v>109</v>
      </c>
      <c r="AF26" t="s">
        <v>264</v>
      </c>
      <c r="AG26" t="s">
        <v>265</v>
      </c>
      <c r="AH26" t="s">
        <v>266</v>
      </c>
      <c r="AI26" t="s">
        <v>267</v>
      </c>
      <c r="AJ26" t="s">
        <v>268</v>
      </c>
      <c r="AK26" t="s">
        <v>269</v>
      </c>
      <c r="AL26" t="s">
        <v>270</v>
      </c>
      <c r="AO26" t="s">
        <v>80</v>
      </c>
      <c r="AP26" t="s">
        <v>271</v>
      </c>
      <c r="AQ26" t="s">
        <v>82</v>
      </c>
      <c r="AR26" t="s">
        <v>83</v>
      </c>
      <c r="AS26" t="s">
        <v>115</v>
      </c>
      <c r="AT26" t="s">
        <v>84</v>
      </c>
      <c r="AU26" t="s">
        <v>583</v>
      </c>
      <c r="AV26" t="s">
        <v>86</v>
      </c>
      <c r="AW26" t="s">
        <v>84</v>
      </c>
      <c r="AX26" t="b">
        <v>1</v>
      </c>
      <c r="AY26" s="4">
        <f t="shared" si="0"/>
        <v>1</v>
      </c>
      <c r="AZ26" t="b">
        <v>1</v>
      </c>
      <c r="BA26" s="4">
        <f t="shared" si="1"/>
        <v>1</v>
      </c>
      <c r="BB26" t="b">
        <v>1</v>
      </c>
      <c r="BC26" s="4">
        <f t="shared" si="2"/>
        <v>1</v>
      </c>
      <c r="BD26" s="5">
        <v>1</v>
      </c>
      <c r="BE26" s="5">
        <v>1</v>
      </c>
      <c r="BF26" s="5">
        <v>1</v>
      </c>
      <c r="BG26" s="5">
        <v>1</v>
      </c>
      <c r="BH26" s="5" t="str">
        <f t="shared" si="3"/>
        <v>Yes</v>
      </c>
      <c r="BI26" t="str">
        <f t="shared" si="4"/>
        <v>Yes</v>
      </c>
      <c r="BJ26" s="5">
        <v>1</v>
      </c>
      <c r="BK26" t="s">
        <v>2950</v>
      </c>
    </row>
    <row r="27" spans="1:63" ht="17" x14ac:dyDescent="0.2">
      <c r="A27">
        <v>77</v>
      </c>
      <c r="B27" t="s">
        <v>1531</v>
      </c>
      <c r="C27" t="s">
        <v>1532</v>
      </c>
      <c r="D27" t="s">
        <v>1533</v>
      </c>
      <c r="E27" s="4" t="s">
        <v>1534</v>
      </c>
      <c r="F27" t="s">
        <v>146</v>
      </c>
      <c r="G27" t="s">
        <v>1535</v>
      </c>
      <c r="H27">
        <v>167</v>
      </c>
      <c r="J27">
        <v>112302</v>
      </c>
      <c r="N27" t="s">
        <v>61</v>
      </c>
      <c r="O27" t="s">
        <v>1536</v>
      </c>
      <c r="P27" s="7" t="s">
        <v>1537</v>
      </c>
      <c r="Q27" t="s">
        <v>1538</v>
      </c>
      <c r="R27" t="s">
        <v>1539</v>
      </c>
      <c r="S27" t="s">
        <v>1540</v>
      </c>
      <c r="T27" t="s">
        <v>1541</v>
      </c>
      <c r="U27" t="s">
        <v>1542</v>
      </c>
      <c r="Z27" t="s">
        <v>1543</v>
      </c>
      <c r="AA27" t="s">
        <v>1544</v>
      </c>
      <c r="AB27" t="s">
        <v>1545</v>
      </c>
      <c r="AC27" t="s">
        <v>1546</v>
      </c>
      <c r="AE27" t="s">
        <v>1040</v>
      </c>
      <c r="AK27">
        <v>15684946</v>
      </c>
      <c r="AO27" t="s">
        <v>80</v>
      </c>
      <c r="AP27" t="s">
        <v>1547</v>
      </c>
      <c r="AQ27" t="s">
        <v>245</v>
      </c>
      <c r="AR27" t="s">
        <v>83</v>
      </c>
      <c r="AT27" t="s">
        <v>84</v>
      </c>
      <c r="AU27" t="s">
        <v>1548</v>
      </c>
      <c r="AV27" t="s">
        <v>86</v>
      </c>
      <c r="AW27" t="s">
        <v>84</v>
      </c>
      <c r="AX27" t="s">
        <v>87</v>
      </c>
      <c r="AY27" s="4">
        <f t="shared" si="0"/>
        <v>-1</v>
      </c>
      <c r="AZ27" t="b">
        <v>1</v>
      </c>
      <c r="BA27" s="4">
        <f t="shared" si="1"/>
        <v>1</v>
      </c>
      <c r="BB27" t="s">
        <v>87</v>
      </c>
      <c r="BC27" s="4">
        <f t="shared" si="2"/>
        <v>-1</v>
      </c>
      <c r="BD27" s="5">
        <v>1</v>
      </c>
      <c r="BE27" s="5">
        <v>1</v>
      </c>
      <c r="BF27" s="5">
        <v>1</v>
      </c>
      <c r="BG27" s="5">
        <v>0</v>
      </c>
      <c r="BH27" s="5" t="str">
        <f t="shared" si="3"/>
        <v>No</v>
      </c>
      <c r="BI27" t="str">
        <f t="shared" si="4"/>
        <v>Yes</v>
      </c>
      <c r="BJ27" s="5">
        <v>1</v>
      </c>
      <c r="BK27" t="s">
        <v>2923</v>
      </c>
    </row>
    <row r="28" spans="1:63" ht="17" x14ac:dyDescent="0.2">
      <c r="A28">
        <v>48</v>
      </c>
      <c r="B28" t="s">
        <v>1044</v>
      </c>
      <c r="C28" t="s">
        <v>1045</v>
      </c>
      <c r="D28" t="s">
        <v>1046</v>
      </c>
      <c r="E28" s="4" t="s">
        <v>1047</v>
      </c>
      <c r="F28" t="s">
        <v>176</v>
      </c>
      <c r="G28" t="s">
        <v>1048</v>
      </c>
      <c r="K28" t="s">
        <v>1049</v>
      </c>
      <c r="L28" t="s">
        <v>1050</v>
      </c>
      <c r="M28" t="s">
        <v>180</v>
      </c>
      <c r="N28" t="s">
        <v>61</v>
      </c>
      <c r="O28" t="s">
        <v>1051</v>
      </c>
      <c r="P28" s="7" t="s">
        <v>1052</v>
      </c>
      <c r="Q28" t="s">
        <v>1053</v>
      </c>
      <c r="R28" t="s">
        <v>1054</v>
      </c>
      <c r="S28" t="s">
        <v>1055</v>
      </c>
      <c r="T28" t="s">
        <v>1056</v>
      </c>
      <c r="U28" t="s">
        <v>1057</v>
      </c>
      <c r="AB28" t="s">
        <v>1058</v>
      </c>
      <c r="AC28" t="s">
        <v>1059</v>
      </c>
      <c r="AE28" t="s">
        <v>1060</v>
      </c>
      <c r="AG28" t="s">
        <v>1061</v>
      </c>
      <c r="AH28" t="s">
        <v>1062</v>
      </c>
      <c r="AI28" t="s">
        <v>1063</v>
      </c>
      <c r="AJ28" t="s">
        <v>1064</v>
      </c>
      <c r="AL28" t="s">
        <v>1065</v>
      </c>
      <c r="AO28" t="s">
        <v>80</v>
      </c>
      <c r="AP28" t="s">
        <v>1066</v>
      </c>
      <c r="AQ28" t="s">
        <v>82</v>
      </c>
      <c r="AR28" t="s">
        <v>83</v>
      </c>
      <c r="AT28" t="s">
        <v>84</v>
      </c>
      <c r="AU28" t="s">
        <v>1067</v>
      </c>
      <c r="AV28" t="s">
        <v>86</v>
      </c>
      <c r="AW28" t="s">
        <v>84</v>
      </c>
      <c r="AX28" t="s">
        <v>87</v>
      </c>
      <c r="AY28" s="4">
        <f t="shared" si="0"/>
        <v>-1</v>
      </c>
      <c r="AZ28" t="s">
        <v>87</v>
      </c>
      <c r="BA28" s="4">
        <f t="shared" si="1"/>
        <v>-1</v>
      </c>
      <c r="BB28" t="b">
        <v>1</v>
      </c>
      <c r="BC28" s="4">
        <f t="shared" si="2"/>
        <v>1</v>
      </c>
      <c r="BD28" s="5">
        <v>1</v>
      </c>
      <c r="BE28" s="5">
        <v>1</v>
      </c>
      <c r="BF28" s="5">
        <v>1</v>
      </c>
      <c r="BG28" s="5">
        <v>1</v>
      </c>
      <c r="BH28" s="5" t="str">
        <f t="shared" si="3"/>
        <v>Yes</v>
      </c>
      <c r="BI28" t="str">
        <f t="shared" si="4"/>
        <v>Yes</v>
      </c>
      <c r="BJ28" s="5">
        <v>1</v>
      </c>
      <c r="BK28" t="s">
        <v>2928</v>
      </c>
    </row>
    <row r="29" spans="1:63" ht="17" x14ac:dyDescent="0.2">
      <c r="A29">
        <v>64</v>
      </c>
      <c r="B29" t="s">
        <v>1330</v>
      </c>
      <c r="C29" t="s">
        <v>1331</v>
      </c>
      <c r="D29" t="s">
        <v>1332</v>
      </c>
      <c r="E29" s="4" t="s">
        <v>1333</v>
      </c>
      <c r="F29" t="s">
        <v>176</v>
      </c>
      <c r="G29" t="s">
        <v>830</v>
      </c>
      <c r="H29" t="s">
        <v>1334</v>
      </c>
      <c r="K29" t="s">
        <v>1335</v>
      </c>
      <c r="L29" t="s">
        <v>1336</v>
      </c>
      <c r="M29" t="s">
        <v>475</v>
      </c>
      <c r="N29" t="s">
        <v>280</v>
      </c>
      <c r="O29" t="s">
        <v>1337</v>
      </c>
      <c r="P29" s="7" t="s">
        <v>1338</v>
      </c>
      <c r="Q29" t="s">
        <v>1339</v>
      </c>
      <c r="R29" t="s">
        <v>1340</v>
      </c>
      <c r="S29" t="s">
        <v>1341</v>
      </c>
      <c r="T29" t="s">
        <v>1342</v>
      </c>
      <c r="U29" t="s">
        <v>1343</v>
      </c>
      <c r="Z29" t="s">
        <v>1344</v>
      </c>
      <c r="AA29" t="s">
        <v>1345</v>
      </c>
      <c r="AB29" t="s">
        <v>1346</v>
      </c>
      <c r="AC29" t="s">
        <v>1347</v>
      </c>
      <c r="AD29" t="s">
        <v>1348</v>
      </c>
      <c r="AE29" t="s">
        <v>74</v>
      </c>
      <c r="AG29" t="s">
        <v>1349</v>
      </c>
      <c r="AH29" t="s">
        <v>1350</v>
      </c>
      <c r="AI29" t="s">
        <v>1121</v>
      </c>
      <c r="AJ29" t="s">
        <v>1351</v>
      </c>
      <c r="AK29">
        <v>3029743</v>
      </c>
      <c r="AL29" t="s">
        <v>1352</v>
      </c>
      <c r="AO29" t="s">
        <v>80</v>
      </c>
      <c r="AP29" t="s">
        <v>81</v>
      </c>
      <c r="AQ29" t="s">
        <v>82</v>
      </c>
      <c r="AR29" t="s">
        <v>83</v>
      </c>
      <c r="AT29" t="s">
        <v>84</v>
      </c>
      <c r="AU29" t="s">
        <v>1353</v>
      </c>
      <c r="AV29" t="s">
        <v>86</v>
      </c>
      <c r="AW29" t="s">
        <v>84</v>
      </c>
      <c r="AX29" t="b">
        <v>1</v>
      </c>
      <c r="AY29" s="4">
        <f t="shared" si="0"/>
        <v>1</v>
      </c>
      <c r="AZ29" t="b">
        <v>1</v>
      </c>
      <c r="BA29" s="4">
        <f t="shared" si="1"/>
        <v>1</v>
      </c>
      <c r="BB29" t="s">
        <v>87</v>
      </c>
      <c r="BC29" s="4">
        <f t="shared" si="2"/>
        <v>-1</v>
      </c>
      <c r="BD29" s="5">
        <v>1</v>
      </c>
      <c r="BE29" s="5">
        <v>1</v>
      </c>
      <c r="BF29" s="5">
        <v>1</v>
      </c>
      <c r="BG29" s="5">
        <v>0</v>
      </c>
      <c r="BH29" s="6" t="str">
        <f t="shared" si="3"/>
        <v>No</v>
      </c>
      <c r="BI29" t="str">
        <f t="shared" si="4"/>
        <v>Yes</v>
      </c>
      <c r="BJ29" s="5">
        <v>1</v>
      </c>
      <c r="BK29" t="s">
        <v>2893</v>
      </c>
    </row>
    <row r="30" spans="1:63" ht="17" x14ac:dyDescent="0.2">
      <c r="A30">
        <v>92</v>
      </c>
      <c r="B30" t="s">
        <v>1732</v>
      </c>
      <c r="C30" t="s">
        <v>1733</v>
      </c>
      <c r="D30" t="s">
        <v>1734</v>
      </c>
      <c r="E30" s="4" t="s">
        <v>1735</v>
      </c>
      <c r="F30" t="s">
        <v>146</v>
      </c>
      <c r="G30" t="s">
        <v>454</v>
      </c>
      <c r="H30">
        <v>12</v>
      </c>
      <c r="K30" t="s">
        <v>1736</v>
      </c>
      <c r="L30" t="s">
        <v>1737</v>
      </c>
      <c r="M30" t="s">
        <v>558</v>
      </c>
      <c r="N30" t="s">
        <v>61</v>
      </c>
      <c r="O30" t="s">
        <v>1738</v>
      </c>
      <c r="P30" s="7" t="s">
        <v>1739</v>
      </c>
      <c r="Q30" t="s">
        <v>1740</v>
      </c>
      <c r="R30" t="s">
        <v>1741</v>
      </c>
      <c r="S30" t="s">
        <v>1742</v>
      </c>
      <c r="T30" t="s">
        <v>1743</v>
      </c>
      <c r="U30" t="s">
        <v>1744</v>
      </c>
      <c r="AB30" t="s">
        <v>1745</v>
      </c>
      <c r="AC30" t="s">
        <v>1746</v>
      </c>
      <c r="AE30" t="s">
        <v>216</v>
      </c>
      <c r="AK30">
        <v>21693536</v>
      </c>
      <c r="AO30" t="s">
        <v>80</v>
      </c>
      <c r="AP30" t="s">
        <v>454</v>
      </c>
      <c r="AQ30" t="s">
        <v>245</v>
      </c>
      <c r="AR30" t="s">
        <v>83</v>
      </c>
      <c r="AT30" t="s">
        <v>84</v>
      </c>
      <c r="AU30" t="s">
        <v>1747</v>
      </c>
      <c r="AV30" t="s">
        <v>86</v>
      </c>
      <c r="AW30" t="s">
        <v>84</v>
      </c>
      <c r="AX30" t="s">
        <v>87</v>
      </c>
      <c r="AY30" s="4">
        <f t="shared" si="0"/>
        <v>-1</v>
      </c>
      <c r="AZ30" t="b">
        <v>1</v>
      </c>
      <c r="BA30" s="4">
        <f t="shared" si="1"/>
        <v>1</v>
      </c>
      <c r="BB30" t="b">
        <v>1</v>
      </c>
      <c r="BC30" s="4">
        <f t="shared" si="2"/>
        <v>1</v>
      </c>
      <c r="BD30" s="5">
        <v>1</v>
      </c>
      <c r="BE30" s="5">
        <v>1</v>
      </c>
      <c r="BF30" s="5">
        <v>1</v>
      </c>
      <c r="BG30" s="5">
        <v>-1</v>
      </c>
      <c r="BH30" s="5" t="str">
        <f t="shared" si="3"/>
        <v>Doubt</v>
      </c>
      <c r="BI30" t="str">
        <f t="shared" si="4"/>
        <v>Yes</v>
      </c>
      <c r="BJ30" s="5">
        <v>1</v>
      </c>
      <c r="BK30" t="s">
        <v>2934</v>
      </c>
    </row>
    <row r="31" spans="1:63" ht="17" x14ac:dyDescent="0.2">
      <c r="A31">
        <v>0</v>
      </c>
      <c r="B31" t="s">
        <v>51</v>
      </c>
      <c r="C31" t="s">
        <v>52</v>
      </c>
      <c r="D31" t="s">
        <v>53</v>
      </c>
      <c r="E31" s="4" t="s">
        <v>54</v>
      </c>
      <c r="F31" t="s">
        <v>55</v>
      </c>
      <c r="G31" t="s">
        <v>56</v>
      </c>
      <c r="H31" t="s">
        <v>57</v>
      </c>
      <c r="K31" t="s">
        <v>58</v>
      </c>
      <c r="L31" t="s">
        <v>59</v>
      </c>
      <c r="M31" t="s">
        <v>60</v>
      </c>
      <c r="N31" t="s">
        <v>61</v>
      </c>
      <c r="O31" t="s">
        <v>62</v>
      </c>
      <c r="P31" t="s">
        <v>63</v>
      </c>
      <c r="Q31" t="s">
        <v>64</v>
      </c>
      <c r="R31" t="s">
        <v>65</v>
      </c>
      <c r="S31" t="s">
        <v>66</v>
      </c>
      <c r="T31" t="s">
        <v>67</v>
      </c>
      <c r="U31" t="s">
        <v>68</v>
      </c>
      <c r="Z31" t="s">
        <v>69</v>
      </c>
      <c r="AA31" t="s">
        <v>70</v>
      </c>
      <c r="AB31" t="s">
        <v>71</v>
      </c>
      <c r="AC31" t="s">
        <v>72</v>
      </c>
      <c r="AD31" t="s">
        <v>73</v>
      </c>
      <c r="AE31" t="s">
        <v>74</v>
      </c>
      <c r="AG31" t="s">
        <v>75</v>
      </c>
      <c r="AH31" t="s">
        <v>76</v>
      </c>
      <c r="AI31" t="s">
        <v>77</v>
      </c>
      <c r="AJ31" t="s">
        <v>78</v>
      </c>
      <c r="AK31">
        <v>3029743</v>
      </c>
      <c r="AL31" t="s">
        <v>79</v>
      </c>
      <c r="AO31" t="s">
        <v>80</v>
      </c>
      <c r="AP31" t="s">
        <v>81</v>
      </c>
      <c r="AQ31" t="s">
        <v>82</v>
      </c>
      <c r="AR31" t="s">
        <v>83</v>
      </c>
      <c r="AT31" t="s">
        <v>84</v>
      </c>
      <c r="AU31" t="s">
        <v>85</v>
      </c>
      <c r="AV31" t="s">
        <v>86</v>
      </c>
      <c r="AW31" t="s">
        <v>84</v>
      </c>
      <c r="AX31" t="b">
        <v>0</v>
      </c>
      <c r="AY31" s="4">
        <f t="shared" si="0"/>
        <v>0</v>
      </c>
      <c r="AZ31" t="b">
        <v>1</v>
      </c>
      <c r="BA31" s="4">
        <f t="shared" si="1"/>
        <v>1</v>
      </c>
      <c r="BB31" t="s">
        <v>87</v>
      </c>
      <c r="BC31" s="4">
        <f t="shared" si="2"/>
        <v>-1</v>
      </c>
      <c r="BD31" s="5">
        <v>0</v>
      </c>
      <c r="BE31" s="5">
        <v>0</v>
      </c>
      <c r="BF31" s="5">
        <v>0</v>
      </c>
      <c r="BG31" s="5">
        <v>0</v>
      </c>
      <c r="BH31" s="5" t="str">
        <f t="shared" si="3"/>
        <v>No</v>
      </c>
      <c r="BI31" t="str">
        <f t="shared" si="4"/>
        <v>No</v>
      </c>
      <c r="BJ31" s="5">
        <v>0</v>
      </c>
      <c r="BK31" t="s">
        <v>87</v>
      </c>
    </row>
    <row r="32" spans="1:63" ht="17" x14ac:dyDescent="0.2">
      <c r="A32">
        <v>112</v>
      </c>
      <c r="B32" t="s">
        <v>2044</v>
      </c>
      <c r="C32" t="s">
        <v>2045</v>
      </c>
      <c r="D32" t="s">
        <v>2046</v>
      </c>
      <c r="E32" s="4" t="s">
        <v>2047</v>
      </c>
      <c r="F32" t="s">
        <v>121</v>
      </c>
      <c r="G32" t="s">
        <v>1679</v>
      </c>
      <c r="H32">
        <v>20</v>
      </c>
      <c r="I32" t="s">
        <v>280</v>
      </c>
      <c r="J32">
        <v>66</v>
      </c>
      <c r="N32" t="s">
        <v>280</v>
      </c>
      <c r="O32" t="s">
        <v>2048</v>
      </c>
      <c r="P32" t="s">
        <v>2049</v>
      </c>
      <c r="Q32" t="s">
        <v>2050</v>
      </c>
      <c r="R32" t="s">
        <v>2051</v>
      </c>
      <c r="S32" t="s">
        <v>2052</v>
      </c>
      <c r="T32" t="s">
        <v>2053</v>
      </c>
      <c r="U32" t="s">
        <v>2054</v>
      </c>
      <c r="Z32" t="s">
        <v>2055</v>
      </c>
      <c r="AA32" t="s">
        <v>2056</v>
      </c>
      <c r="AB32" t="s">
        <v>2057</v>
      </c>
      <c r="AC32" t="s">
        <v>2058</v>
      </c>
      <c r="AE32" t="s">
        <v>1060</v>
      </c>
      <c r="AK32">
        <v>23754699</v>
      </c>
      <c r="AO32" t="s">
        <v>80</v>
      </c>
      <c r="AP32" t="s">
        <v>1688</v>
      </c>
      <c r="AQ32" t="s">
        <v>245</v>
      </c>
      <c r="AR32" t="s">
        <v>83</v>
      </c>
      <c r="AS32" t="s">
        <v>1185</v>
      </c>
      <c r="AT32" t="s">
        <v>84</v>
      </c>
      <c r="AU32" t="s">
        <v>2059</v>
      </c>
      <c r="AV32" t="s">
        <v>86</v>
      </c>
      <c r="AW32" t="s">
        <v>84</v>
      </c>
      <c r="AX32" t="s">
        <v>87</v>
      </c>
      <c r="AY32" s="4">
        <f t="shared" si="0"/>
        <v>-1</v>
      </c>
      <c r="AZ32" t="s">
        <v>87</v>
      </c>
      <c r="BA32" s="4">
        <f t="shared" si="1"/>
        <v>-1</v>
      </c>
      <c r="BB32" t="b">
        <v>1</v>
      </c>
      <c r="BC32" s="4">
        <f t="shared" si="2"/>
        <v>1</v>
      </c>
      <c r="BD32" s="5">
        <v>1</v>
      </c>
      <c r="BE32" s="5">
        <v>1</v>
      </c>
      <c r="BF32" s="5">
        <v>0</v>
      </c>
      <c r="BG32" s="5">
        <v>0</v>
      </c>
      <c r="BH32" s="5" t="str">
        <f t="shared" si="3"/>
        <v>No</v>
      </c>
      <c r="BI32" t="str">
        <f t="shared" si="4"/>
        <v>No</v>
      </c>
      <c r="BJ32" s="5">
        <v>0</v>
      </c>
      <c r="BK32" t="s">
        <v>2861</v>
      </c>
    </row>
    <row r="33" spans="1:63" ht="17" x14ac:dyDescent="0.2">
      <c r="A33">
        <v>120</v>
      </c>
      <c r="B33" t="s">
        <v>2044</v>
      </c>
      <c r="C33" t="s">
        <v>2045</v>
      </c>
      <c r="D33" t="s">
        <v>2046</v>
      </c>
      <c r="E33" s="4" t="s">
        <v>2161</v>
      </c>
      <c r="F33" t="s">
        <v>92</v>
      </c>
      <c r="G33" t="s">
        <v>2162</v>
      </c>
      <c r="H33">
        <v>71</v>
      </c>
      <c r="J33">
        <v>101265</v>
      </c>
      <c r="N33" t="s">
        <v>745</v>
      </c>
      <c r="O33" t="s">
        <v>2163</v>
      </c>
      <c r="P33" t="s">
        <v>2164</v>
      </c>
      <c r="Q33" t="s">
        <v>2165</v>
      </c>
      <c r="R33" t="s">
        <v>2166</v>
      </c>
      <c r="S33" t="s">
        <v>2167</v>
      </c>
      <c r="T33" t="s">
        <v>2168</v>
      </c>
      <c r="U33" t="s">
        <v>2169</v>
      </c>
      <c r="AB33" t="s">
        <v>2170</v>
      </c>
      <c r="AC33" t="s">
        <v>2171</v>
      </c>
      <c r="AE33" t="s">
        <v>2172</v>
      </c>
      <c r="AK33">
        <v>8852308</v>
      </c>
      <c r="AM33" t="s">
        <v>2173</v>
      </c>
      <c r="AO33" t="s">
        <v>80</v>
      </c>
      <c r="AP33" t="s">
        <v>2174</v>
      </c>
      <c r="AQ33" t="s">
        <v>245</v>
      </c>
      <c r="AR33" t="s">
        <v>83</v>
      </c>
      <c r="AT33" t="s">
        <v>84</v>
      </c>
      <c r="AU33" t="s">
        <v>2175</v>
      </c>
      <c r="AV33" t="s">
        <v>86</v>
      </c>
      <c r="AW33" t="s">
        <v>84</v>
      </c>
      <c r="AX33" t="s">
        <v>87</v>
      </c>
      <c r="AY33" s="4">
        <f t="shared" si="0"/>
        <v>-1</v>
      </c>
      <c r="AZ33" t="b">
        <v>1</v>
      </c>
      <c r="BA33" s="4">
        <f t="shared" si="1"/>
        <v>1</v>
      </c>
      <c r="BB33" t="s">
        <v>87</v>
      </c>
      <c r="BC33" s="4">
        <f t="shared" si="2"/>
        <v>-1</v>
      </c>
      <c r="BD33" s="5">
        <v>1</v>
      </c>
      <c r="BE33" s="5">
        <v>1</v>
      </c>
      <c r="BF33" s="5">
        <v>0</v>
      </c>
      <c r="BG33" s="5">
        <v>0</v>
      </c>
      <c r="BH33" s="5" t="str">
        <f t="shared" si="3"/>
        <v>No</v>
      </c>
      <c r="BI33" t="str">
        <f t="shared" si="4"/>
        <v>No</v>
      </c>
      <c r="BJ33" s="5">
        <v>0</v>
      </c>
      <c r="BK33" t="s">
        <v>2858</v>
      </c>
    </row>
    <row r="34" spans="1:63" ht="17" x14ac:dyDescent="0.2">
      <c r="A34">
        <v>31</v>
      </c>
      <c r="B34" t="s">
        <v>717</v>
      </c>
      <c r="C34" t="s">
        <v>718</v>
      </c>
      <c r="D34" t="s">
        <v>719</v>
      </c>
      <c r="E34" s="4" t="s">
        <v>720</v>
      </c>
      <c r="F34" t="s">
        <v>92</v>
      </c>
      <c r="G34" t="s">
        <v>721</v>
      </c>
      <c r="K34" t="s">
        <v>722</v>
      </c>
      <c r="L34" t="s">
        <v>723</v>
      </c>
      <c r="M34" t="s">
        <v>125</v>
      </c>
      <c r="N34" t="s">
        <v>649</v>
      </c>
      <c r="P34" t="s">
        <v>724</v>
      </c>
      <c r="Q34" t="s">
        <v>725</v>
      </c>
      <c r="R34" t="s">
        <v>726</v>
      </c>
      <c r="S34" t="s">
        <v>727</v>
      </c>
      <c r="U34" t="s">
        <v>728</v>
      </c>
      <c r="Z34" t="s">
        <v>104</v>
      </c>
      <c r="AA34" t="s">
        <v>729</v>
      </c>
      <c r="AB34" t="s">
        <v>730</v>
      </c>
      <c r="AC34" t="s">
        <v>731</v>
      </c>
      <c r="AD34" t="s">
        <v>732</v>
      </c>
      <c r="AE34" t="s">
        <v>109</v>
      </c>
      <c r="AG34" t="s">
        <v>733</v>
      </c>
      <c r="AH34" t="s">
        <v>111</v>
      </c>
      <c r="AI34" t="s">
        <v>112</v>
      </c>
      <c r="AJ34" t="s">
        <v>734</v>
      </c>
      <c r="AL34" t="s">
        <v>735</v>
      </c>
      <c r="AO34" t="s">
        <v>80</v>
      </c>
      <c r="AP34" t="s">
        <v>736</v>
      </c>
      <c r="AQ34" t="s">
        <v>82</v>
      </c>
      <c r="AR34" t="s">
        <v>83</v>
      </c>
      <c r="AT34" t="s">
        <v>84</v>
      </c>
      <c r="AU34" t="s">
        <v>737</v>
      </c>
      <c r="AV34" t="s">
        <v>86</v>
      </c>
      <c r="AW34" t="s">
        <v>84</v>
      </c>
      <c r="AX34" t="b">
        <v>1</v>
      </c>
      <c r="AY34" s="4">
        <f t="shared" ref="AY34:AY65" si="5">IF(AX34=TRUE,1,IF(AX34=FALSE,0,-1))</f>
        <v>1</v>
      </c>
      <c r="AZ34" t="b">
        <v>1</v>
      </c>
      <c r="BA34" s="4">
        <f t="shared" ref="BA34:BA65" si="6">IF(AZ34=TRUE,1,IF(AZ34=FALSE,0,-1))</f>
        <v>1</v>
      </c>
      <c r="BB34" t="b">
        <v>1</v>
      </c>
      <c r="BC34" s="4">
        <f t="shared" ref="BC34:BC65" si="7">IF(BB34=TRUE,1,IF(BB34=FALSE,0,-1))</f>
        <v>1</v>
      </c>
      <c r="BD34" s="5">
        <v>1</v>
      </c>
      <c r="BE34" s="5">
        <v>1</v>
      </c>
      <c r="BF34" s="5">
        <v>0</v>
      </c>
      <c r="BG34" s="5">
        <v>0</v>
      </c>
      <c r="BH34" s="5" t="str">
        <f t="shared" ref="BH34:BH65" si="8">IF(BG34=1,"Yes",IF(BG34=-1,"Doubt","No"))</f>
        <v>No</v>
      </c>
      <c r="BI34" t="str">
        <f t="shared" ref="BI34:BI65" si="9">IF(BF34=1,"Yes","No")</f>
        <v>No</v>
      </c>
      <c r="BJ34" s="5">
        <v>0</v>
      </c>
      <c r="BK34" t="s">
        <v>2828</v>
      </c>
    </row>
    <row r="35" spans="1:63" ht="17" x14ac:dyDescent="0.2">
      <c r="A35">
        <v>69</v>
      </c>
      <c r="B35" t="s">
        <v>1433</v>
      </c>
      <c r="C35" t="s">
        <v>1434</v>
      </c>
      <c r="D35" t="s">
        <v>1435</v>
      </c>
      <c r="E35" s="4" t="s">
        <v>1436</v>
      </c>
      <c r="F35" t="s">
        <v>146</v>
      </c>
      <c r="G35" t="s">
        <v>1437</v>
      </c>
      <c r="H35">
        <v>26</v>
      </c>
      <c r="I35" t="s">
        <v>343</v>
      </c>
      <c r="J35">
        <v>352</v>
      </c>
      <c r="N35" t="s">
        <v>61</v>
      </c>
      <c r="O35" t="s">
        <v>1438</v>
      </c>
      <c r="P35" s="7" t="s">
        <v>1439</v>
      </c>
      <c r="Q35" t="s">
        <v>1440</v>
      </c>
      <c r="R35" t="s">
        <v>1441</v>
      </c>
      <c r="S35" t="s">
        <v>1442</v>
      </c>
      <c r="T35" t="s">
        <v>1443</v>
      </c>
      <c r="Z35" t="s">
        <v>1444</v>
      </c>
      <c r="AA35" t="s">
        <v>1445</v>
      </c>
      <c r="AB35" t="s">
        <v>1446</v>
      </c>
      <c r="AC35" t="s">
        <v>1447</v>
      </c>
      <c r="AE35" t="s">
        <v>334</v>
      </c>
      <c r="AK35">
        <v>10994300</v>
      </c>
      <c r="AO35" t="s">
        <v>80</v>
      </c>
      <c r="AP35" t="s">
        <v>1437</v>
      </c>
      <c r="AQ35" t="s">
        <v>245</v>
      </c>
      <c r="AR35" t="s">
        <v>83</v>
      </c>
      <c r="AS35" t="s">
        <v>246</v>
      </c>
      <c r="AT35" t="s">
        <v>84</v>
      </c>
      <c r="AU35" t="s">
        <v>1448</v>
      </c>
      <c r="AV35" t="s">
        <v>86</v>
      </c>
      <c r="AW35" t="s">
        <v>84</v>
      </c>
      <c r="AX35" t="s">
        <v>87</v>
      </c>
      <c r="AY35" s="4">
        <f t="shared" si="5"/>
        <v>-1</v>
      </c>
      <c r="AZ35" t="b">
        <v>1</v>
      </c>
      <c r="BA35" s="4">
        <f t="shared" si="6"/>
        <v>1</v>
      </c>
      <c r="BB35" t="s">
        <v>87</v>
      </c>
      <c r="BC35" s="4">
        <f t="shared" si="7"/>
        <v>-1</v>
      </c>
      <c r="BD35" s="5">
        <v>1</v>
      </c>
      <c r="BE35" s="5">
        <v>1</v>
      </c>
      <c r="BF35" s="5">
        <v>1</v>
      </c>
      <c r="BG35" s="5">
        <v>1</v>
      </c>
      <c r="BH35" s="14" t="str">
        <f t="shared" si="8"/>
        <v>Yes</v>
      </c>
      <c r="BI35" t="str">
        <f t="shared" si="9"/>
        <v>Yes</v>
      </c>
      <c r="BJ35" s="5">
        <v>1</v>
      </c>
      <c r="BK35" t="s">
        <v>2915</v>
      </c>
    </row>
    <row r="36" spans="1:63" ht="17" x14ac:dyDescent="0.2">
      <c r="A36">
        <v>149</v>
      </c>
      <c r="B36" t="s">
        <v>2552</v>
      </c>
      <c r="C36" t="s">
        <v>2553</v>
      </c>
      <c r="D36" t="s">
        <v>2554</v>
      </c>
      <c r="E36" s="4" t="s">
        <v>2555</v>
      </c>
      <c r="F36" t="s">
        <v>2009</v>
      </c>
      <c r="G36" t="s">
        <v>2556</v>
      </c>
      <c r="H36" t="s">
        <v>926</v>
      </c>
      <c r="I36" t="s">
        <v>343</v>
      </c>
      <c r="K36" t="s">
        <v>2557</v>
      </c>
      <c r="L36" t="s">
        <v>2558</v>
      </c>
      <c r="M36" t="s">
        <v>474</v>
      </c>
      <c r="N36" t="s">
        <v>206</v>
      </c>
      <c r="O36" t="s">
        <v>2559</v>
      </c>
      <c r="P36" t="s">
        <v>2560</v>
      </c>
      <c r="Q36" t="s">
        <v>2561</v>
      </c>
      <c r="R36" t="s">
        <v>2562</v>
      </c>
      <c r="S36" t="s">
        <v>2563</v>
      </c>
      <c r="T36" t="s">
        <v>2564</v>
      </c>
      <c r="U36" t="s">
        <v>2565</v>
      </c>
      <c r="Z36" t="s">
        <v>2566</v>
      </c>
      <c r="AA36" t="s">
        <v>2567</v>
      </c>
      <c r="AB36" t="s">
        <v>2568</v>
      </c>
      <c r="AC36" t="s">
        <v>2569</v>
      </c>
      <c r="AE36" t="s">
        <v>2570</v>
      </c>
      <c r="AK36" t="s">
        <v>2571</v>
      </c>
      <c r="AO36" t="s">
        <v>80</v>
      </c>
      <c r="AP36" t="s">
        <v>2572</v>
      </c>
      <c r="AQ36" t="s">
        <v>245</v>
      </c>
      <c r="AR36" t="s">
        <v>83</v>
      </c>
      <c r="AS36" t="s">
        <v>1185</v>
      </c>
      <c r="AT36" t="s">
        <v>84</v>
      </c>
      <c r="AU36" t="s">
        <v>2573</v>
      </c>
      <c r="AV36" t="s">
        <v>2551</v>
      </c>
      <c r="AW36" t="s">
        <v>84</v>
      </c>
      <c r="AX36" t="s">
        <v>87</v>
      </c>
      <c r="AY36" s="4">
        <f t="shared" si="5"/>
        <v>-1</v>
      </c>
      <c r="AZ36" t="s">
        <v>87</v>
      </c>
      <c r="BA36" s="4">
        <f t="shared" si="6"/>
        <v>-1</v>
      </c>
      <c r="BB36" t="s">
        <v>87</v>
      </c>
      <c r="BC36" s="4">
        <f t="shared" si="7"/>
        <v>-1</v>
      </c>
      <c r="BD36" s="5">
        <v>0</v>
      </c>
      <c r="BE36" s="5">
        <v>0</v>
      </c>
      <c r="BF36" s="5">
        <v>0</v>
      </c>
      <c r="BG36" s="5">
        <v>0</v>
      </c>
      <c r="BH36" s="5" t="str">
        <f t="shared" si="8"/>
        <v>No</v>
      </c>
      <c r="BI36" t="str">
        <f t="shared" si="9"/>
        <v>No</v>
      </c>
      <c r="BJ36" s="5">
        <v>0</v>
      </c>
    </row>
    <row r="37" spans="1:63" ht="17" x14ac:dyDescent="0.2">
      <c r="A37">
        <v>162</v>
      </c>
      <c r="B37" t="s">
        <v>2783</v>
      </c>
      <c r="C37" t="s">
        <v>2784</v>
      </c>
      <c r="D37" t="s">
        <v>2785</v>
      </c>
      <c r="E37" s="4" t="s">
        <v>2786</v>
      </c>
      <c r="F37" t="s">
        <v>2455</v>
      </c>
      <c r="G37" t="s">
        <v>2787</v>
      </c>
      <c r="J37">
        <v>7459848</v>
      </c>
      <c r="N37" t="s">
        <v>61</v>
      </c>
      <c r="O37" t="s">
        <v>2788</v>
      </c>
      <c r="P37" t="s">
        <v>2789</v>
      </c>
      <c r="Q37" t="s">
        <v>2790</v>
      </c>
      <c r="R37" t="s">
        <v>2791</v>
      </c>
      <c r="S37" t="s">
        <v>2792</v>
      </c>
      <c r="U37" t="s">
        <v>2793</v>
      </c>
      <c r="AB37" t="s">
        <v>2794</v>
      </c>
      <c r="AE37" t="s">
        <v>216</v>
      </c>
      <c r="AG37" t="s">
        <v>2795</v>
      </c>
      <c r="AH37" t="s">
        <v>2796</v>
      </c>
      <c r="AI37" t="s">
        <v>383</v>
      </c>
      <c r="AJ37" t="s">
        <v>2797</v>
      </c>
      <c r="AL37" t="s">
        <v>2798</v>
      </c>
      <c r="AO37" t="s">
        <v>80</v>
      </c>
      <c r="AP37" t="s">
        <v>2799</v>
      </c>
      <c r="AQ37" t="s">
        <v>82</v>
      </c>
      <c r="AR37" t="s">
        <v>83</v>
      </c>
      <c r="AT37" t="s">
        <v>84</v>
      </c>
      <c r="AU37" t="s">
        <v>2800</v>
      </c>
      <c r="AV37" t="s">
        <v>2635</v>
      </c>
      <c r="AW37" t="s">
        <v>84</v>
      </c>
      <c r="AX37" t="b">
        <v>1</v>
      </c>
      <c r="AY37" s="4">
        <f t="shared" si="5"/>
        <v>1</v>
      </c>
      <c r="AZ37" t="b">
        <v>1</v>
      </c>
      <c r="BA37" s="4">
        <f t="shared" si="6"/>
        <v>1</v>
      </c>
      <c r="BB37" t="b">
        <v>1</v>
      </c>
      <c r="BC37" s="4">
        <f t="shared" si="7"/>
        <v>1</v>
      </c>
      <c r="BD37" s="5">
        <v>1</v>
      </c>
      <c r="BE37" s="5">
        <v>0</v>
      </c>
      <c r="BF37" s="5">
        <v>0</v>
      </c>
      <c r="BG37" s="5">
        <v>0</v>
      </c>
      <c r="BH37" s="5" t="str">
        <f t="shared" si="8"/>
        <v>No</v>
      </c>
      <c r="BI37" t="str">
        <f t="shared" si="9"/>
        <v>No</v>
      </c>
      <c r="BJ37" s="5">
        <v>0</v>
      </c>
      <c r="BK37" t="s">
        <v>2850</v>
      </c>
    </row>
    <row r="38" spans="1:63" ht="17" x14ac:dyDescent="0.2">
      <c r="A38">
        <v>142</v>
      </c>
      <c r="B38" t="s">
        <v>2476</v>
      </c>
      <c r="C38" t="s">
        <v>2477</v>
      </c>
      <c r="D38" t="s">
        <v>2478</v>
      </c>
      <c r="E38" s="4" t="s">
        <v>2479</v>
      </c>
      <c r="F38" t="s">
        <v>146</v>
      </c>
      <c r="G38" t="s">
        <v>923</v>
      </c>
      <c r="K38" t="s">
        <v>2480</v>
      </c>
      <c r="L38" t="s">
        <v>2481</v>
      </c>
      <c r="M38" t="s">
        <v>125</v>
      </c>
      <c r="N38" t="s">
        <v>152</v>
      </c>
      <c r="P38" s="7" t="s">
        <v>2482</v>
      </c>
      <c r="Q38" t="s">
        <v>2483</v>
      </c>
      <c r="R38" t="s">
        <v>2484</v>
      </c>
      <c r="S38" t="s">
        <v>2485</v>
      </c>
      <c r="T38" t="s">
        <v>2486</v>
      </c>
      <c r="U38" t="s">
        <v>2487</v>
      </c>
      <c r="AB38" t="s">
        <v>2488</v>
      </c>
      <c r="AC38" t="s">
        <v>2489</v>
      </c>
      <c r="AD38" t="s">
        <v>937</v>
      </c>
      <c r="AE38" t="s">
        <v>938</v>
      </c>
      <c r="AF38" t="s">
        <v>939</v>
      </c>
      <c r="AG38" t="s">
        <v>940</v>
      </c>
      <c r="AH38" t="s">
        <v>941</v>
      </c>
      <c r="AI38" t="s">
        <v>942</v>
      </c>
      <c r="AJ38" t="s">
        <v>943</v>
      </c>
      <c r="AL38" t="s">
        <v>944</v>
      </c>
      <c r="AO38" t="s">
        <v>80</v>
      </c>
      <c r="AP38" t="s">
        <v>945</v>
      </c>
      <c r="AQ38" t="s">
        <v>82</v>
      </c>
      <c r="AR38" t="s">
        <v>83</v>
      </c>
      <c r="AT38" t="s">
        <v>84</v>
      </c>
      <c r="AU38" t="s">
        <v>2490</v>
      </c>
      <c r="AV38" t="s">
        <v>2313</v>
      </c>
      <c r="AW38" t="s">
        <v>84</v>
      </c>
      <c r="AX38" t="s">
        <v>87</v>
      </c>
      <c r="AY38" s="4">
        <f t="shared" si="5"/>
        <v>-1</v>
      </c>
      <c r="AZ38" t="s">
        <v>87</v>
      </c>
      <c r="BA38" s="4">
        <f t="shared" si="6"/>
        <v>-1</v>
      </c>
      <c r="BB38" t="b">
        <v>1</v>
      </c>
      <c r="BC38" s="4">
        <f t="shared" si="7"/>
        <v>1</v>
      </c>
      <c r="BD38" s="5">
        <v>1</v>
      </c>
      <c r="BE38" s="5">
        <v>1</v>
      </c>
      <c r="BF38" s="5">
        <v>1</v>
      </c>
      <c r="BG38" s="5">
        <v>1</v>
      </c>
      <c r="BH38" s="5" t="str">
        <f t="shared" si="8"/>
        <v>Yes</v>
      </c>
      <c r="BI38" t="str">
        <f t="shared" si="9"/>
        <v>Yes</v>
      </c>
      <c r="BJ38" s="5">
        <v>1</v>
      </c>
      <c r="BK38" t="s">
        <v>2884</v>
      </c>
    </row>
    <row r="39" spans="1:63" ht="17" x14ac:dyDescent="0.2">
      <c r="A39">
        <v>101</v>
      </c>
      <c r="B39" t="s">
        <v>1858</v>
      </c>
      <c r="C39" t="s">
        <v>1859</v>
      </c>
      <c r="D39" t="s">
        <v>1860</v>
      </c>
      <c r="E39" s="4" t="s">
        <v>1861</v>
      </c>
      <c r="F39" t="s">
        <v>121</v>
      </c>
      <c r="G39" t="s">
        <v>905</v>
      </c>
      <c r="H39">
        <v>555</v>
      </c>
      <c r="K39" t="s">
        <v>1862</v>
      </c>
      <c r="L39" t="s">
        <v>1863</v>
      </c>
      <c r="M39" t="s">
        <v>558</v>
      </c>
      <c r="N39" t="s">
        <v>1402</v>
      </c>
      <c r="O39" t="s">
        <v>1864</v>
      </c>
      <c r="P39" s="7" t="s">
        <v>1865</v>
      </c>
      <c r="Q39" t="s">
        <v>1866</v>
      </c>
      <c r="R39" t="s">
        <v>1867</v>
      </c>
      <c r="S39" t="s">
        <v>1868</v>
      </c>
      <c r="T39" t="s">
        <v>1869</v>
      </c>
      <c r="U39" t="s">
        <v>1870</v>
      </c>
      <c r="Z39" t="s">
        <v>1871</v>
      </c>
      <c r="AA39" t="s">
        <v>1872</v>
      </c>
      <c r="AB39" t="s">
        <v>1873</v>
      </c>
      <c r="AE39" t="s">
        <v>915</v>
      </c>
      <c r="AK39">
        <v>200255</v>
      </c>
      <c r="AM39" t="s">
        <v>916</v>
      </c>
      <c r="AO39" t="s">
        <v>80</v>
      </c>
      <c r="AP39" t="s">
        <v>917</v>
      </c>
      <c r="AQ39" t="s">
        <v>245</v>
      </c>
      <c r="AR39" t="s">
        <v>83</v>
      </c>
      <c r="AT39" t="s">
        <v>84</v>
      </c>
      <c r="AU39" t="s">
        <v>1874</v>
      </c>
      <c r="AV39" t="s">
        <v>86</v>
      </c>
      <c r="AW39" t="s">
        <v>84</v>
      </c>
      <c r="AX39" t="s">
        <v>87</v>
      </c>
      <c r="AY39" s="4">
        <f t="shared" si="5"/>
        <v>-1</v>
      </c>
      <c r="AZ39" t="b">
        <v>1</v>
      </c>
      <c r="BA39" s="4">
        <f t="shared" si="6"/>
        <v>1</v>
      </c>
      <c r="BB39" t="s">
        <v>87</v>
      </c>
      <c r="BC39" s="4">
        <f t="shared" si="7"/>
        <v>-1</v>
      </c>
      <c r="BD39" s="5">
        <v>1</v>
      </c>
      <c r="BE39" s="5">
        <v>1</v>
      </c>
      <c r="BF39" s="5">
        <v>1</v>
      </c>
      <c r="BG39" s="5">
        <v>-1</v>
      </c>
      <c r="BH39" s="5" t="str">
        <f t="shared" si="8"/>
        <v>Doubt</v>
      </c>
      <c r="BI39" t="str">
        <f t="shared" si="9"/>
        <v>Yes</v>
      </c>
      <c r="BJ39" s="5">
        <v>1</v>
      </c>
      <c r="BK39" t="s">
        <v>2929</v>
      </c>
    </row>
    <row r="40" spans="1:63" ht="17" x14ac:dyDescent="0.2">
      <c r="A40">
        <v>74</v>
      </c>
      <c r="B40" t="s">
        <v>1470</v>
      </c>
      <c r="C40" t="s">
        <v>1471</v>
      </c>
      <c r="D40" t="s">
        <v>1472</v>
      </c>
      <c r="E40" s="4" t="s">
        <v>1473</v>
      </c>
      <c r="F40" t="s">
        <v>92</v>
      </c>
      <c r="G40" t="s">
        <v>431</v>
      </c>
      <c r="H40">
        <v>29</v>
      </c>
      <c r="I40" t="s">
        <v>231</v>
      </c>
      <c r="K40" t="s">
        <v>1474</v>
      </c>
      <c r="L40" t="s">
        <v>1475</v>
      </c>
      <c r="M40" t="s">
        <v>745</v>
      </c>
      <c r="N40" t="s">
        <v>649</v>
      </c>
      <c r="P40" t="s">
        <v>1476</v>
      </c>
      <c r="Q40" t="s">
        <v>1477</v>
      </c>
      <c r="R40" t="s">
        <v>1478</v>
      </c>
      <c r="S40" t="s">
        <v>1479</v>
      </c>
      <c r="U40" t="s">
        <v>1480</v>
      </c>
      <c r="AB40" t="s">
        <v>1481</v>
      </c>
      <c r="AC40" t="s">
        <v>1482</v>
      </c>
      <c r="AD40" t="s">
        <v>442</v>
      </c>
      <c r="AE40" t="s">
        <v>109</v>
      </c>
      <c r="AF40" t="s">
        <v>443</v>
      </c>
      <c r="AG40" t="s">
        <v>444</v>
      </c>
      <c r="AH40" t="s">
        <v>445</v>
      </c>
      <c r="AI40" t="s">
        <v>446</v>
      </c>
      <c r="AJ40" t="s">
        <v>447</v>
      </c>
      <c r="AK40">
        <v>29512093</v>
      </c>
      <c r="AO40" t="s">
        <v>80</v>
      </c>
      <c r="AP40" t="s">
        <v>448</v>
      </c>
      <c r="AQ40" t="s">
        <v>82</v>
      </c>
      <c r="AR40" t="s">
        <v>83</v>
      </c>
      <c r="AT40" t="s">
        <v>84</v>
      </c>
      <c r="AU40" t="s">
        <v>1483</v>
      </c>
      <c r="AV40" t="s">
        <v>86</v>
      </c>
      <c r="AW40" t="s">
        <v>84</v>
      </c>
      <c r="AX40" t="b">
        <v>1</v>
      </c>
      <c r="AY40" s="4">
        <f t="shared" si="5"/>
        <v>1</v>
      </c>
      <c r="AZ40" t="b">
        <v>1</v>
      </c>
      <c r="BA40" s="4">
        <f t="shared" si="6"/>
        <v>1</v>
      </c>
      <c r="BB40" t="b">
        <v>1</v>
      </c>
      <c r="BC40" s="4">
        <f t="shared" si="7"/>
        <v>1</v>
      </c>
      <c r="BD40" s="5">
        <v>1</v>
      </c>
      <c r="BE40" s="5">
        <v>1</v>
      </c>
      <c r="BF40" s="5">
        <v>0</v>
      </c>
      <c r="BG40" s="5">
        <v>0</v>
      </c>
      <c r="BH40" s="5" t="str">
        <f t="shared" si="8"/>
        <v>No</v>
      </c>
      <c r="BI40" t="str">
        <f t="shared" si="9"/>
        <v>No</v>
      </c>
      <c r="BJ40" s="5">
        <v>0</v>
      </c>
      <c r="BK40" t="s">
        <v>2842</v>
      </c>
    </row>
    <row r="41" spans="1:63" ht="17" x14ac:dyDescent="0.2">
      <c r="A41">
        <v>33</v>
      </c>
      <c r="B41" t="s">
        <v>759</v>
      </c>
      <c r="C41" t="s">
        <v>760</v>
      </c>
      <c r="D41" t="s">
        <v>761</v>
      </c>
      <c r="E41" s="4" t="s">
        <v>762</v>
      </c>
      <c r="F41" t="s">
        <v>176</v>
      </c>
      <c r="G41" t="s">
        <v>252</v>
      </c>
      <c r="K41" t="s">
        <v>763</v>
      </c>
      <c r="L41" t="s">
        <v>764</v>
      </c>
      <c r="M41" t="s">
        <v>96</v>
      </c>
      <c r="N41" t="s">
        <v>457</v>
      </c>
      <c r="P41" s="7" t="s">
        <v>765</v>
      </c>
      <c r="Q41" t="s">
        <v>766</v>
      </c>
      <c r="R41" t="s">
        <v>767</v>
      </c>
      <c r="S41" t="s">
        <v>768</v>
      </c>
      <c r="U41" t="s">
        <v>769</v>
      </c>
      <c r="Z41" t="s">
        <v>770</v>
      </c>
      <c r="AA41" t="s">
        <v>771</v>
      </c>
      <c r="AB41" t="s">
        <v>772</v>
      </c>
      <c r="AC41" t="s">
        <v>773</v>
      </c>
      <c r="AE41" t="s">
        <v>109</v>
      </c>
      <c r="AF41" t="s">
        <v>774</v>
      </c>
      <c r="AG41" t="s">
        <v>265</v>
      </c>
      <c r="AH41" t="s">
        <v>266</v>
      </c>
      <c r="AI41" t="s">
        <v>267</v>
      </c>
      <c r="AJ41" t="s">
        <v>775</v>
      </c>
      <c r="AK41" t="s">
        <v>269</v>
      </c>
      <c r="AL41" t="s">
        <v>776</v>
      </c>
      <c r="AO41" t="s">
        <v>80</v>
      </c>
      <c r="AP41" t="s">
        <v>271</v>
      </c>
      <c r="AQ41" t="s">
        <v>82</v>
      </c>
      <c r="AR41" t="s">
        <v>83</v>
      </c>
      <c r="AT41" t="s">
        <v>84</v>
      </c>
      <c r="AU41" t="s">
        <v>777</v>
      </c>
      <c r="AV41" t="s">
        <v>86</v>
      </c>
      <c r="AW41" t="s">
        <v>84</v>
      </c>
      <c r="AX41" t="b">
        <v>1</v>
      </c>
      <c r="AY41" s="4">
        <f t="shared" si="5"/>
        <v>1</v>
      </c>
      <c r="AZ41" t="b">
        <v>1</v>
      </c>
      <c r="BA41" s="4">
        <f t="shared" si="6"/>
        <v>1</v>
      </c>
      <c r="BB41" t="b">
        <v>1</v>
      </c>
      <c r="BC41" s="4">
        <f t="shared" si="7"/>
        <v>1</v>
      </c>
      <c r="BD41" s="5">
        <v>1</v>
      </c>
      <c r="BE41" s="5">
        <v>1</v>
      </c>
      <c r="BF41" s="5">
        <v>1</v>
      </c>
      <c r="BG41" s="5">
        <v>1</v>
      </c>
      <c r="BH41" s="5" t="str">
        <f t="shared" si="8"/>
        <v>Yes</v>
      </c>
      <c r="BI41" t="str">
        <f t="shared" si="9"/>
        <v>Yes</v>
      </c>
      <c r="BJ41" s="5">
        <v>1</v>
      </c>
      <c r="BK41" t="s">
        <v>2930</v>
      </c>
    </row>
    <row r="42" spans="1:63" ht="17" x14ac:dyDescent="0.2">
      <c r="A42">
        <v>117</v>
      </c>
      <c r="B42" t="s">
        <v>2138</v>
      </c>
      <c r="C42" t="s">
        <v>2139</v>
      </c>
      <c r="D42" t="s">
        <v>2140</v>
      </c>
      <c r="E42" s="4" t="s">
        <v>2141</v>
      </c>
      <c r="F42" t="s">
        <v>1879</v>
      </c>
      <c r="G42" t="s">
        <v>2142</v>
      </c>
      <c r="K42" t="s">
        <v>2143</v>
      </c>
      <c r="L42" t="s">
        <v>2144</v>
      </c>
      <c r="M42" t="s">
        <v>745</v>
      </c>
      <c r="N42" t="s">
        <v>206</v>
      </c>
      <c r="P42" s="7" t="s">
        <v>2145</v>
      </c>
      <c r="Q42" t="s">
        <v>2146</v>
      </c>
      <c r="R42" t="s">
        <v>2147</v>
      </c>
      <c r="S42" t="s">
        <v>2148</v>
      </c>
      <c r="U42" t="s">
        <v>2149</v>
      </c>
      <c r="Z42" t="s">
        <v>2150</v>
      </c>
      <c r="AA42" t="s">
        <v>2151</v>
      </c>
      <c r="AB42" t="s">
        <v>2152</v>
      </c>
      <c r="AE42" t="s">
        <v>109</v>
      </c>
      <c r="AF42" t="s">
        <v>2153</v>
      </c>
      <c r="AG42" t="s">
        <v>2154</v>
      </c>
      <c r="AH42" t="s">
        <v>2155</v>
      </c>
      <c r="AI42" t="s">
        <v>2156</v>
      </c>
      <c r="AJ42" t="s">
        <v>2157</v>
      </c>
      <c r="AL42" t="s">
        <v>2158</v>
      </c>
      <c r="AO42" t="s">
        <v>80</v>
      </c>
      <c r="AP42" t="s">
        <v>2159</v>
      </c>
      <c r="AQ42" t="s">
        <v>82</v>
      </c>
      <c r="AR42" t="s">
        <v>83</v>
      </c>
      <c r="AT42" t="s">
        <v>84</v>
      </c>
      <c r="AU42" t="s">
        <v>2160</v>
      </c>
      <c r="AV42" t="s">
        <v>86</v>
      </c>
      <c r="AW42" t="s">
        <v>84</v>
      </c>
      <c r="AX42" t="b">
        <v>1</v>
      </c>
      <c r="AY42" s="4">
        <f t="shared" si="5"/>
        <v>1</v>
      </c>
      <c r="AZ42" t="b">
        <v>1</v>
      </c>
      <c r="BA42" s="4">
        <f t="shared" si="6"/>
        <v>1</v>
      </c>
      <c r="BB42" t="b">
        <v>1</v>
      </c>
      <c r="BC42" s="4">
        <f t="shared" si="7"/>
        <v>1</v>
      </c>
      <c r="BD42" s="5">
        <v>1</v>
      </c>
      <c r="BE42" s="5">
        <v>1</v>
      </c>
      <c r="BF42" s="5">
        <v>1</v>
      </c>
      <c r="BG42" s="5">
        <v>0</v>
      </c>
      <c r="BH42" s="5" t="str">
        <f t="shared" si="8"/>
        <v>No</v>
      </c>
      <c r="BI42" t="str">
        <f t="shared" si="9"/>
        <v>Yes</v>
      </c>
      <c r="BJ42" s="5">
        <v>1</v>
      </c>
      <c r="BK42" t="s">
        <v>2921</v>
      </c>
    </row>
    <row r="43" spans="1:63" ht="17" x14ac:dyDescent="0.2">
      <c r="A43">
        <v>60</v>
      </c>
      <c r="B43" t="s">
        <v>1245</v>
      </c>
      <c r="C43" t="s">
        <v>1246</v>
      </c>
      <c r="D43" t="s">
        <v>1247</v>
      </c>
      <c r="E43" s="4" t="s">
        <v>1248</v>
      </c>
      <c r="F43" t="s">
        <v>146</v>
      </c>
      <c r="G43" t="s">
        <v>56</v>
      </c>
      <c r="H43" t="s">
        <v>1249</v>
      </c>
      <c r="K43" t="s">
        <v>1250</v>
      </c>
      <c r="L43" t="s">
        <v>1251</v>
      </c>
      <c r="M43" t="s">
        <v>125</v>
      </c>
      <c r="N43" t="s">
        <v>61</v>
      </c>
      <c r="O43" t="s">
        <v>1252</v>
      </c>
      <c r="P43" s="7" t="s">
        <v>1253</v>
      </c>
      <c r="Q43" t="s">
        <v>1254</v>
      </c>
      <c r="R43" t="s">
        <v>1255</v>
      </c>
      <c r="S43" t="s">
        <v>1256</v>
      </c>
      <c r="T43" t="s">
        <v>1257</v>
      </c>
      <c r="U43" t="s">
        <v>1258</v>
      </c>
      <c r="Z43" t="s">
        <v>1259</v>
      </c>
      <c r="AA43" t="s">
        <v>1260</v>
      </c>
      <c r="AB43" t="s">
        <v>1261</v>
      </c>
      <c r="AC43" t="s">
        <v>1262</v>
      </c>
      <c r="AD43" t="s">
        <v>1263</v>
      </c>
      <c r="AE43" t="s">
        <v>74</v>
      </c>
      <c r="AG43" t="s">
        <v>1264</v>
      </c>
      <c r="AH43" t="s">
        <v>1265</v>
      </c>
      <c r="AI43" t="s">
        <v>1266</v>
      </c>
      <c r="AJ43" t="s">
        <v>1267</v>
      </c>
      <c r="AK43">
        <v>3029743</v>
      </c>
      <c r="AL43" t="s">
        <v>1268</v>
      </c>
      <c r="AO43" t="s">
        <v>80</v>
      </c>
      <c r="AP43" t="s">
        <v>81</v>
      </c>
      <c r="AQ43" t="s">
        <v>82</v>
      </c>
      <c r="AR43" t="s">
        <v>83</v>
      </c>
      <c r="AT43" t="s">
        <v>84</v>
      </c>
      <c r="AU43" t="s">
        <v>1269</v>
      </c>
      <c r="AV43" t="s">
        <v>86</v>
      </c>
      <c r="AW43" t="s">
        <v>84</v>
      </c>
      <c r="AX43" t="b">
        <v>1</v>
      </c>
      <c r="AY43" s="4">
        <f t="shared" si="5"/>
        <v>1</v>
      </c>
      <c r="AZ43" t="b">
        <v>1</v>
      </c>
      <c r="BA43" s="4">
        <f t="shared" si="6"/>
        <v>1</v>
      </c>
      <c r="BB43" t="s">
        <v>87</v>
      </c>
      <c r="BC43" s="4">
        <f t="shared" si="7"/>
        <v>-1</v>
      </c>
      <c r="BD43" s="5">
        <v>1</v>
      </c>
      <c r="BE43" s="5">
        <v>1</v>
      </c>
      <c r="BF43" s="5">
        <v>1</v>
      </c>
      <c r="BG43" s="5">
        <v>1</v>
      </c>
      <c r="BH43" s="8" t="str">
        <f t="shared" si="8"/>
        <v>Yes</v>
      </c>
      <c r="BI43" t="str">
        <f t="shared" si="9"/>
        <v>Yes</v>
      </c>
      <c r="BJ43" s="5">
        <v>1</v>
      </c>
      <c r="BK43" t="s">
        <v>2836</v>
      </c>
    </row>
    <row r="44" spans="1:63" ht="17" x14ac:dyDescent="0.2">
      <c r="A44">
        <v>95</v>
      </c>
      <c r="B44" t="s">
        <v>1777</v>
      </c>
      <c r="C44" t="s">
        <v>1778</v>
      </c>
      <c r="D44" t="s">
        <v>1779</v>
      </c>
      <c r="E44" s="4" t="s">
        <v>1780</v>
      </c>
      <c r="F44" t="s">
        <v>146</v>
      </c>
      <c r="G44" t="s">
        <v>147</v>
      </c>
      <c r="H44">
        <v>38</v>
      </c>
      <c r="I44" t="s">
        <v>1276</v>
      </c>
      <c r="K44" t="s">
        <v>1781</v>
      </c>
      <c r="L44" t="s">
        <v>1782</v>
      </c>
      <c r="M44" t="s">
        <v>151</v>
      </c>
      <c r="N44" t="s">
        <v>206</v>
      </c>
      <c r="O44" t="s">
        <v>1783</v>
      </c>
      <c r="P44" s="7" t="s">
        <v>1784</v>
      </c>
      <c r="Q44" t="s">
        <v>1785</v>
      </c>
      <c r="R44" t="s">
        <v>1786</v>
      </c>
      <c r="S44" t="s">
        <v>1787</v>
      </c>
      <c r="U44" t="s">
        <v>1788</v>
      </c>
      <c r="Z44" t="s">
        <v>1789</v>
      </c>
      <c r="AA44" t="s">
        <v>1790</v>
      </c>
      <c r="AB44" t="s">
        <v>1791</v>
      </c>
      <c r="AC44" t="s">
        <v>1792</v>
      </c>
      <c r="AD44" t="s">
        <v>163</v>
      </c>
      <c r="AE44" t="s">
        <v>164</v>
      </c>
      <c r="AF44" t="s">
        <v>164</v>
      </c>
      <c r="AG44" t="s">
        <v>165</v>
      </c>
      <c r="AH44" t="s">
        <v>166</v>
      </c>
      <c r="AI44" t="s">
        <v>167</v>
      </c>
      <c r="AJ44" t="s">
        <v>168</v>
      </c>
      <c r="AK44">
        <v>21595399</v>
      </c>
      <c r="AO44" t="s">
        <v>80</v>
      </c>
      <c r="AP44" t="s">
        <v>169</v>
      </c>
      <c r="AQ44" t="s">
        <v>82</v>
      </c>
      <c r="AR44" t="s">
        <v>83</v>
      </c>
      <c r="AS44" t="s">
        <v>170</v>
      </c>
      <c r="AT44" t="s">
        <v>84</v>
      </c>
      <c r="AU44" t="s">
        <v>1793</v>
      </c>
      <c r="AV44" t="s">
        <v>86</v>
      </c>
      <c r="AW44" t="s">
        <v>84</v>
      </c>
      <c r="AX44" t="b">
        <v>1</v>
      </c>
      <c r="AY44" s="4">
        <f t="shared" si="5"/>
        <v>1</v>
      </c>
      <c r="AZ44" t="s">
        <v>87</v>
      </c>
      <c r="BA44" s="4">
        <f t="shared" si="6"/>
        <v>-1</v>
      </c>
      <c r="BB44" t="b">
        <v>1</v>
      </c>
      <c r="BC44" s="4">
        <f t="shared" si="7"/>
        <v>1</v>
      </c>
      <c r="BD44" s="5">
        <v>1</v>
      </c>
      <c r="BE44" s="5">
        <v>1</v>
      </c>
      <c r="BF44" s="5">
        <v>1</v>
      </c>
      <c r="BG44" s="5">
        <v>-1</v>
      </c>
      <c r="BH44" s="5" t="str">
        <f t="shared" si="8"/>
        <v>Doubt</v>
      </c>
      <c r="BI44" t="str">
        <f t="shared" si="9"/>
        <v>Yes</v>
      </c>
      <c r="BJ44" s="5">
        <v>1</v>
      </c>
      <c r="BK44" t="s">
        <v>2961</v>
      </c>
    </row>
    <row r="45" spans="1:63" ht="17" x14ac:dyDescent="0.2">
      <c r="A45">
        <v>114</v>
      </c>
      <c r="B45" t="s">
        <v>2080</v>
      </c>
      <c r="C45" t="s">
        <v>2081</v>
      </c>
      <c r="D45" t="s">
        <v>2082</v>
      </c>
      <c r="E45" s="4" t="s">
        <v>2083</v>
      </c>
      <c r="F45" t="s">
        <v>121</v>
      </c>
      <c r="G45" t="s">
        <v>1900</v>
      </c>
      <c r="H45">
        <v>2</v>
      </c>
      <c r="K45" t="s">
        <v>2084</v>
      </c>
      <c r="L45" t="s">
        <v>2085</v>
      </c>
      <c r="M45" t="s">
        <v>280</v>
      </c>
      <c r="N45" t="s">
        <v>2086</v>
      </c>
      <c r="P45" s="7" t="s">
        <v>2087</v>
      </c>
      <c r="Q45" t="s">
        <v>2088</v>
      </c>
      <c r="R45" t="s">
        <v>2089</v>
      </c>
      <c r="S45" t="s">
        <v>2090</v>
      </c>
      <c r="U45" t="s">
        <v>2091</v>
      </c>
      <c r="AB45" t="s">
        <v>2092</v>
      </c>
      <c r="AC45" t="s">
        <v>2093</v>
      </c>
      <c r="AE45" t="s">
        <v>109</v>
      </c>
      <c r="AF45" t="s">
        <v>134</v>
      </c>
      <c r="AG45" t="s">
        <v>1913</v>
      </c>
      <c r="AH45" t="s">
        <v>1914</v>
      </c>
      <c r="AI45" t="s">
        <v>404</v>
      </c>
      <c r="AJ45" t="s">
        <v>2094</v>
      </c>
      <c r="AL45" t="s">
        <v>1916</v>
      </c>
      <c r="AO45" t="s">
        <v>80</v>
      </c>
      <c r="AP45" t="s">
        <v>1917</v>
      </c>
      <c r="AQ45" t="s">
        <v>82</v>
      </c>
      <c r="AR45" t="s">
        <v>83</v>
      </c>
      <c r="AT45" t="s">
        <v>84</v>
      </c>
      <c r="AU45" t="s">
        <v>2095</v>
      </c>
      <c r="AV45" t="s">
        <v>86</v>
      </c>
      <c r="AW45" t="s">
        <v>84</v>
      </c>
      <c r="AX45" t="s">
        <v>87</v>
      </c>
      <c r="AY45" s="4">
        <f t="shared" si="5"/>
        <v>-1</v>
      </c>
      <c r="AZ45" t="b">
        <v>1</v>
      </c>
      <c r="BA45" s="4">
        <f t="shared" si="6"/>
        <v>1</v>
      </c>
      <c r="BB45" t="b">
        <v>1</v>
      </c>
      <c r="BC45" s="4">
        <f t="shared" si="7"/>
        <v>1</v>
      </c>
      <c r="BD45" s="5">
        <v>1</v>
      </c>
      <c r="BE45" s="5">
        <v>1</v>
      </c>
      <c r="BF45" s="5">
        <v>1</v>
      </c>
      <c r="BG45" s="5">
        <v>-1</v>
      </c>
      <c r="BH45" s="5" t="str">
        <f t="shared" si="8"/>
        <v>Doubt</v>
      </c>
      <c r="BI45" t="str">
        <f t="shared" si="9"/>
        <v>Yes</v>
      </c>
      <c r="BJ45" s="5">
        <v>1</v>
      </c>
      <c r="BK45" t="s">
        <v>2945</v>
      </c>
    </row>
    <row r="46" spans="1:63" ht="17" x14ac:dyDescent="0.2">
      <c r="A46">
        <v>105</v>
      </c>
      <c r="B46" t="s">
        <v>1896</v>
      </c>
      <c r="C46" t="s">
        <v>1897</v>
      </c>
      <c r="D46" t="s">
        <v>1898</v>
      </c>
      <c r="E46" s="4" t="s">
        <v>1899</v>
      </c>
      <c r="F46" t="s">
        <v>121</v>
      </c>
      <c r="G46" t="s">
        <v>1900</v>
      </c>
      <c r="K46" t="s">
        <v>1901</v>
      </c>
      <c r="L46" t="s">
        <v>1902</v>
      </c>
      <c r="M46" t="s">
        <v>558</v>
      </c>
      <c r="N46" t="s">
        <v>1903</v>
      </c>
      <c r="P46" s="7" t="s">
        <v>1904</v>
      </c>
      <c r="Q46" t="s">
        <v>1905</v>
      </c>
      <c r="R46" t="s">
        <v>1906</v>
      </c>
      <c r="S46" t="s">
        <v>1907</v>
      </c>
      <c r="U46" t="s">
        <v>1908</v>
      </c>
      <c r="Z46" t="s">
        <v>1909</v>
      </c>
      <c r="AA46" t="s">
        <v>1910</v>
      </c>
      <c r="AB46" t="s">
        <v>1911</v>
      </c>
      <c r="AC46" t="s">
        <v>1912</v>
      </c>
      <c r="AE46" t="s">
        <v>109</v>
      </c>
      <c r="AF46" t="s">
        <v>134</v>
      </c>
      <c r="AG46" t="s">
        <v>1913</v>
      </c>
      <c r="AH46" t="s">
        <v>1914</v>
      </c>
      <c r="AI46" t="s">
        <v>404</v>
      </c>
      <c r="AJ46" t="s">
        <v>1915</v>
      </c>
      <c r="AL46" t="s">
        <v>1916</v>
      </c>
      <c r="AO46" t="s">
        <v>80</v>
      </c>
      <c r="AP46" t="s">
        <v>1917</v>
      </c>
      <c r="AQ46" t="s">
        <v>82</v>
      </c>
      <c r="AR46" t="s">
        <v>83</v>
      </c>
      <c r="AT46" t="s">
        <v>84</v>
      </c>
      <c r="AU46" t="s">
        <v>1918</v>
      </c>
      <c r="AV46" t="s">
        <v>86</v>
      </c>
      <c r="AW46" t="s">
        <v>84</v>
      </c>
      <c r="AX46" t="s">
        <v>87</v>
      </c>
      <c r="AY46" s="4">
        <f t="shared" si="5"/>
        <v>-1</v>
      </c>
      <c r="AZ46" t="b">
        <v>1</v>
      </c>
      <c r="BA46" s="4">
        <f t="shared" si="6"/>
        <v>1</v>
      </c>
      <c r="BB46" t="b">
        <v>1</v>
      </c>
      <c r="BC46" s="4">
        <f t="shared" si="7"/>
        <v>1</v>
      </c>
      <c r="BD46" s="5">
        <v>1</v>
      </c>
      <c r="BE46" s="5">
        <v>1</v>
      </c>
      <c r="BF46" s="5">
        <v>1</v>
      </c>
      <c r="BG46" s="5">
        <v>1</v>
      </c>
      <c r="BH46" s="5" t="str">
        <f t="shared" si="8"/>
        <v>Yes</v>
      </c>
      <c r="BI46" t="str">
        <f t="shared" si="9"/>
        <v>Yes</v>
      </c>
      <c r="BJ46" s="5">
        <v>1</v>
      </c>
      <c r="BK46" t="s">
        <v>2936</v>
      </c>
    </row>
    <row r="47" spans="1:63" ht="17" x14ac:dyDescent="0.2">
      <c r="A47">
        <v>96</v>
      </c>
      <c r="B47" t="s">
        <v>1794</v>
      </c>
      <c r="C47" t="s">
        <v>1795</v>
      </c>
      <c r="D47" t="s">
        <v>1796</v>
      </c>
      <c r="E47" s="4" t="s">
        <v>1797</v>
      </c>
      <c r="F47" t="s">
        <v>176</v>
      </c>
      <c r="G47" t="s">
        <v>830</v>
      </c>
      <c r="H47" t="s">
        <v>1798</v>
      </c>
      <c r="K47" t="s">
        <v>1799</v>
      </c>
      <c r="L47" t="s">
        <v>1800</v>
      </c>
      <c r="M47" t="s">
        <v>180</v>
      </c>
      <c r="N47" t="s">
        <v>61</v>
      </c>
      <c r="O47" t="s">
        <v>1801</v>
      </c>
      <c r="P47" s="7" t="s">
        <v>1802</v>
      </c>
      <c r="Q47" t="s">
        <v>1803</v>
      </c>
      <c r="R47" t="s">
        <v>1804</v>
      </c>
      <c r="S47" t="s">
        <v>1805</v>
      </c>
      <c r="T47" t="s">
        <v>1806</v>
      </c>
      <c r="U47" t="s">
        <v>1807</v>
      </c>
      <c r="Z47" t="s">
        <v>1808</v>
      </c>
      <c r="AA47" t="s">
        <v>1809</v>
      </c>
      <c r="AB47" t="s">
        <v>1810</v>
      </c>
      <c r="AC47" t="s">
        <v>1811</v>
      </c>
      <c r="AD47" t="s">
        <v>1812</v>
      </c>
      <c r="AE47" t="s">
        <v>74</v>
      </c>
      <c r="AG47" t="s">
        <v>1813</v>
      </c>
      <c r="AH47" t="s">
        <v>1814</v>
      </c>
      <c r="AI47" t="s">
        <v>1815</v>
      </c>
      <c r="AJ47" t="s">
        <v>1816</v>
      </c>
      <c r="AK47">
        <v>3029743</v>
      </c>
      <c r="AL47" t="s">
        <v>1817</v>
      </c>
      <c r="AO47" t="s">
        <v>80</v>
      </c>
      <c r="AP47" t="s">
        <v>81</v>
      </c>
      <c r="AQ47" t="s">
        <v>82</v>
      </c>
      <c r="AR47" t="s">
        <v>83</v>
      </c>
      <c r="AT47" t="s">
        <v>84</v>
      </c>
      <c r="AU47" t="s">
        <v>1818</v>
      </c>
      <c r="AV47" t="s">
        <v>86</v>
      </c>
      <c r="AW47" t="s">
        <v>84</v>
      </c>
      <c r="AX47" t="s">
        <v>87</v>
      </c>
      <c r="AY47" s="4">
        <f t="shared" si="5"/>
        <v>-1</v>
      </c>
      <c r="AZ47" t="b">
        <v>1</v>
      </c>
      <c r="BA47" s="4">
        <f t="shared" si="6"/>
        <v>1</v>
      </c>
      <c r="BB47" t="s">
        <v>87</v>
      </c>
      <c r="BC47" s="4">
        <f t="shared" si="7"/>
        <v>-1</v>
      </c>
      <c r="BD47" s="5">
        <v>1</v>
      </c>
      <c r="BE47" s="5">
        <v>1</v>
      </c>
      <c r="BF47" s="5">
        <v>1</v>
      </c>
      <c r="BG47" s="5">
        <v>1</v>
      </c>
      <c r="BH47" s="5" t="str">
        <f t="shared" si="8"/>
        <v>Yes</v>
      </c>
      <c r="BI47" t="str">
        <f t="shared" si="9"/>
        <v>Yes</v>
      </c>
      <c r="BJ47" s="5">
        <v>1</v>
      </c>
      <c r="BK47" t="s">
        <v>2938</v>
      </c>
    </row>
    <row r="48" spans="1:63" ht="17" x14ac:dyDescent="0.2">
      <c r="A48">
        <v>83</v>
      </c>
      <c r="B48" t="s">
        <v>1610</v>
      </c>
      <c r="C48" t="s">
        <v>1611</v>
      </c>
      <c r="D48" t="s">
        <v>1612</v>
      </c>
      <c r="E48" s="4" t="s">
        <v>1613</v>
      </c>
      <c r="F48" t="s">
        <v>146</v>
      </c>
      <c r="G48" t="s">
        <v>1614</v>
      </c>
      <c r="N48" t="s">
        <v>61</v>
      </c>
      <c r="O48" t="s">
        <v>1615</v>
      </c>
      <c r="P48" t="s">
        <v>1616</v>
      </c>
      <c r="Q48" t="s">
        <v>1617</v>
      </c>
      <c r="R48" t="s">
        <v>1618</v>
      </c>
      <c r="S48" t="s">
        <v>1619</v>
      </c>
      <c r="T48" t="s">
        <v>1620</v>
      </c>
      <c r="U48" t="s">
        <v>1621</v>
      </c>
      <c r="Z48" t="s">
        <v>1622</v>
      </c>
      <c r="AA48" t="s">
        <v>1623</v>
      </c>
      <c r="AB48" t="s">
        <v>1624</v>
      </c>
      <c r="AE48" t="s">
        <v>216</v>
      </c>
      <c r="AK48" t="s">
        <v>1625</v>
      </c>
      <c r="AO48" t="s">
        <v>80</v>
      </c>
      <c r="AP48" t="s">
        <v>1626</v>
      </c>
      <c r="AQ48" t="s">
        <v>245</v>
      </c>
      <c r="AR48" t="s">
        <v>568</v>
      </c>
      <c r="AT48" t="s">
        <v>84</v>
      </c>
      <c r="AU48" t="s">
        <v>1627</v>
      </c>
      <c r="AV48" t="s">
        <v>86</v>
      </c>
      <c r="AW48" t="s">
        <v>84</v>
      </c>
      <c r="AX48" t="s">
        <v>87</v>
      </c>
      <c r="AY48" s="4">
        <f t="shared" si="5"/>
        <v>-1</v>
      </c>
      <c r="AZ48" t="b">
        <v>1</v>
      </c>
      <c r="BA48" s="4">
        <f t="shared" si="6"/>
        <v>1</v>
      </c>
      <c r="BB48" t="b">
        <v>1</v>
      </c>
      <c r="BC48" s="4">
        <f t="shared" si="7"/>
        <v>1</v>
      </c>
      <c r="BD48" s="5">
        <v>1</v>
      </c>
      <c r="BE48" s="5">
        <v>0</v>
      </c>
      <c r="BF48" s="5">
        <v>0</v>
      </c>
      <c r="BG48" s="5">
        <v>0</v>
      </c>
      <c r="BH48" s="5" t="str">
        <f t="shared" si="8"/>
        <v>No</v>
      </c>
      <c r="BI48" t="str">
        <f t="shared" si="9"/>
        <v>No</v>
      </c>
      <c r="BJ48" s="5">
        <v>0</v>
      </c>
      <c r="BK48" t="s">
        <v>2870</v>
      </c>
    </row>
    <row r="49" spans="1:63" ht="17" x14ac:dyDescent="0.2">
      <c r="A49">
        <v>50</v>
      </c>
      <c r="B49" t="s">
        <v>1082</v>
      </c>
      <c r="C49" t="s">
        <v>1083</v>
      </c>
      <c r="D49" t="s">
        <v>1084</v>
      </c>
      <c r="E49" s="4" t="s">
        <v>1085</v>
      </c>
      <c r="F49" t="s">
        <v>176</v>
      </c>
      <c r="G49" t="s">
        <v>340</v>
      </c>
      <c r="K49" t="s">
        <v>1086</v>
      </c>
      <c r="L49" t="s">
        <v>1087</v>
      </c>
      <c r="M49" t="s">
        <v>280</v>
      </c>
      <c r="N49" t="s">
        <v>231</v>
      </c>
      <c r="O49" t="s">
        <v>1088</v>
      </c>
      <c r="P49" s="7" t="s">
        <v>1089</v>
      </c>
      <c r="Q49" t="s">
        <v>1090</v>
      </c>
      <c r="R49" t="s">
        <v>1091</v>
      </c>
      <c r="S49" t="s">
        <v>1092</v>
      </c>
      <c r="T49" t="s">
        <v>1093</v>
      </c>
      <c r="U49" t="s">
        <v>1094</v>
      </c>
      <c r="Z49" t="s">
        <v>1095</v>
      </c>
      <c r="AA49" t="s">
        <v>1096</v>
      </c>
      <c r="AB49" t="s">
        <v>1097</v>
      </c>
      <c r="AC49" t="s">
        <v>1098</v>
      </c>
      <c r="AE49" t="s">
        <v>354</v>
      </c>
      <c r="AF49" t="s">
        <v>355</v>
      </c>
      <c r="AG49" t="s">
        <v>356</v>
      </c>
      <c r="AH49" t="s">
        <v>357</v>
      </c>
      <c r="AI49" t="s">
        <v>358</v>
      </c>
      <c r="AJ49" t="s">
        <v>359</v>
      </c>
      <c r="AL49" t="s">
        <v>360</v>
      </c>
      <c r="AO49" t="s">
        <v>80</v>
      </c>
      <c r="AP49" t="s">
        <v>361</v>
      </c>
      <c r="AQ49" t="s">
        <v>82</v>
      </c>
      <c r="AR49" t="s">
        <v>83</v>
      </c>
      <c r="AT49" t="s">
        <v>84</v>
      </c>
      <c r="AU49" t="s">
        <v>1099</v>
      </c>
      <c r="AV49" t="s">
        <v>86</v>
      </c>
      <c r="AW49" t="s">
        <v>84</v>
      </c>
      <c r="AX49" t="b">
        <v>1</v>
      </c>
      <c r="AY49" s="4">
        <f t="shared" si="5"/>
        <v>1</v>
      </c>
      <c r="AZ49" t="s">
        <v>87</v>
      </c>
      <c r="BA49" s="4">
        <f t="shared" si="6"/>
        <v>-1</v>
      </c>
      <c r="BB49" t="b">
        <v>1</v>
      </c>
      <c r="BC49" s="4">
        <f t="shared" si="7"/>
        <v>1</v>
      </c>
      <c r="BD49" s="5">
        <v>1</v>
      </c>
      <c r="BE49" s="5">
        <v>1</v>
      </c>
      <c r="BF49" s="5">
        <v>1</v>
      </c>
      <c r="BG49" s="5">
        <v>0</v>
      </c>
      <c r="BH49" s="5" t="str">
        <f t="shared" si="8"/>
        <v>No</v>
      </c>
      <c r="BI49" t="str">
        <f t="shared" si="9"/>
        <v>Yes</v>
      </c>
      <c r="BJ49" s="5">
        <v>1</v>
      </c>
      <c r="BK49" t="s">
        <v>2948</v>
      </c>
    </row>
    <row r="50" spans="1:63" ht="17" x14ac:dyDescent="0.2">
      <c r="A50">
        <v>152</v>
      </c>
      <c r="B50" t="s">
        <v>2574</v>
      </c>
      <c r="C50" t="s">
        <v>2575</v>
      </c>
      <c r="D50">
        <v>58894387300</v>
      </c>
      <c r="E50" s="4" t="s">
        <v>2576</v>
      </c>
      <c r="F50" t="s">
        <v>146</v>
      </c>
      <c r="G50" t="s">
        <v>2577</v>
      </c>
      <c r="H50">
        <v>9</v>
      </c>
      <c r="I50" t="s">
        <v>231</v>
      </c>
      <c r="N50" t="s">
        <v>61</v>
      </c>
      <c r="O50" t="s">
        <v>2578</v>
      </c>
      <c r="P50" t="s">
        <v>2579</v>
      </c>
      <c r="Q50" t="s">
        <v>2580</v>
      </c>
      <c r="R50" t="s">
        <v>2581</v>
      </c>
      <c r="S50" t="s">
        <v>2582</v>
      </c>
      <c r="T50" t="s">
        <v>2583</v>
      </c>
      <c r="U50" t="s">
        <v>2584</v>
      </c>
      <c r="AB50" t="s">
        <v>2585</v>
      </c>
      <c r="AC50" t="s">
        <v>2586</v>
      </c>
      <c r="AE50" t="s">
        <v>2587</v>
      </c>
      <c r="AK50">
        <v>24448656</v>
      </c>
      <c r="AO50" t="s">
        <v>80</v>
      </c>
      <c r="AP50" t="s">
        <v>2588</v>
      </c>
      <c r="AQ50" t="s">
        <v>245</v>
      </c>
      <c r="AR50" t="s">
        <v>83</v>
      </c>
      <c r="AS50" t="s">
        <v>170</v>
      </c>
      <c r="AT50" t="s">
        <v>84</v>
      </c>
      <c r="AU50" t="s">
        <v>2589</v>
      </c>
      <c r="AV50" t="s">
        <v>2551</v>
      </c>
      <c r="AW50" t="s">
        <v>84</v>
      </c>
      <c r="AX50" t="s">
        <v>87</v>
      </c>
      <c r="AY50" s="4">
        <f t="shared" si="5"/>
        <v>-1</v>
      </c>
      <c r="AZ50" t="s">
        <v>87</v>
      </c>
      <c r="BA50" s="4">
        <f t="shared" si="6"/>
        <v>-1</v>
      </c>
      <c r="BB50" t="s">
        <v>87</v>
      </c>
      <c r="BC50" s="4">
        <f t="shared" si="7"/>
        <v>-1</v>
      </c>
      <c r="BD50" s="5">
        <v>1</v>
      </c>
      <c r="BE50" s="5">
        <v>0</v>
      </c>
      <c r="BF50" s="5">
        <v>0</v>
      </c>
      <c r="BG50" s="5">
        <v>0</v>
      </c>
      <c r="BH50" s="9" t="str">
        <f t="shared" si="8"/>
        <v>No</v>
      </c>
      <c r="BI50" t="str">
        <f t="shared" si="9"/>
        <v>No</v>
      </c>
      <c r="BJ50" s="5">
        <v>0</v>
      </c>
      <c r="BK50" t="s">
        <v>2862</v>
      </c>
    </row>
    <row r="51" spans="1:63" ht="17" x14ac:dyDescent="0.2">
      <c r="A51">
        <v>131</v>
      </c>
      <c r="B51" t="s">
        <v>2274</v>
      </c>
      <c r="C51" t="s">
        <v>2275</v>
      </c>
      <c r="D51" t="s">
        <v>2276</v>
      </c>
      <c r="E51" s="4" t="s">
        <v>2277</v>
      </c>
      <c r="F51" t="s">
        <v>121</v>
      </c>
      <c r="G51" t="s">
        <v>323</v>
      </c>
      <c r="H51">
        <v>10</v>
      </c>
      <c r="I51" t="s">
        <v>1335</v>
      </c>
      <c r="J51" t="s">
        <v>2278</v>
      </c>
      <c r="N51" t="s">
        <v>180</v>
      </c>
      <c r="O51" t="s">
        <v>2279</v>
      </c>
      <c r="P51" t="s">
        <v>2280</v>
      </c>
      <c r="Q51" t="s">
        <v>2281</v>
      </c>
      <c r="R51" t="s">
        <v>2282</v>
      </c>
      <c r="S51" t="s">
        <v>2283</v>
      </c>
      <c r="T51" t="s">
        <v>2284</v>
      </c>
      <c r="Z51" t="s">
        <v>2285</v>
      </c>
      <c r="AA51" t="s">
        <v>2286</v>
      </c>
      <c r="AB51" t="s">
        <v>2287</v>
      </c>
      <c r="AC51" t="s">
        <v>2288</v>
      </c>
      <c r="AE51" t="s">
        <v>639</v>
      </c>
      <c r="AK51">
        <v>20799292</v>
      </c>
      <c r="AO51" t="s">
        <v>80</v>
      </c>
      <c r="AP51" t="s">
        <v>323</v>
      </c>
      <c r="AQ51" t="s">
        <v>245</v>
      </c>
      <c r="AR51" t="s">
        <v>83</v>
      </c>
      <c r="AS51" t="s">
        <v>246</v>
      </c>
      <c r="AT51" t="s">
        <v>84</v>
      </c>
      <c r="AU51" t="s">
        <v>2289</v>
      </c>
      <c r="AV51" t="s">
        <v>2260</v>
      </c>
      <c r="AW51" t="s">
        <v>84</v>
      </c>
      <c r="AX51" t="s">
        <v>87</v>
      </c>
      <c r="AY51" s="4">
        <f t="shared" si="5"/>
        <v>-1</v>
      </c>
      <c r="AZ51" t="b">
        <v>1</v>
      </c>
      <c r="BA51" s="4">
        <f t="shared" si="6"/>
        <v>1</v>
      </c>
      <c r="BB51" t="b">
        <v>1</v>
      </c>
      <c r="BC51" s="4">
        <f t="shared" si="7"/>
        <v>1</v>
      </c>
      <c r="BD51" s="5">
        <v>1</v>
      </c>
      <c r="BE51" s="5">
        <v>1</v>
      </c>
      <c r="BF51" s="5">
        <v>0</v>
      </c>
      <c r="BG51" s="5">
        <v>0</v>
      </c>
      <c r="BH51" s="5" t="str">
        <f t="shared" si="8"/>
        <v>No</v>
      </c>
      <c r="BI51" t="str">
        <f t="shared" si="9"/>
        <v>No</v>
      </c>
      <c r="BJ51" s="5">
        <v>0</v>
      </c>
      <c r="BK51" t="s">
        <v>2859</v>
      </c>
    </row>
    <row r="52" spans="1:63" ht="17" x14ac:dyDescent="0.2">
      <c r="A52">
        <v>159</v>
      </c>
      <c r="B52" t="s">
        <v>2720</v>
      </c>
      <c r="C52" t="s">
        <v>2721</v>
      </c>
      <c r="D52" t="s">
        <v>2722</v>
      </c>
      <c r="E52" s="4" t="s">
        <v>2723</v>
      </c>
      <c r="F52" t="s">
        <v>176</v>
      </c>
      <c r="G52" t="s">
        <v>454</v>
      </c>
      <c r="H52">
        <v>11</v>
      </c>
      <c r="K52" t="s">
        <v>2724</v>
      </c>
      <c r="L52" t="s">
        <v>2725</v>
      </c>
      <c r="M52" t="s">
        <v>745</v>
      </c>
      <c r="N52" t="s">
        <v>61</v>
      </c>
      <c r="O52" t="s">
        <v>2726</v>
      </c>
      <c r="P52" s="7" t="s">
        <v>2727</v>
      </c>
      <c r="Q52" t="s">
        <v>2728</v>
      </c>
      <c r="R52" t="s">
        <v>2729</v>
      </c>
      <c r="S52" t="s">
        <v>2730</v>
      </c>
      <c r="T52" t="s">
        <v>2731</v>
      </c>
      <c r="U52" t="s">
        <v>2732</v>
      </c>
      <c r="Z52" t="s">
        <v>2733</v>
      </c>
      <c r="AA52" t="s">
        <v>2734</v>
      </c>
      <c r="AB52" t="s">
        <v>2735</v>
      </c>
      <c r="AC52" t="s">
        <v>2736</v>
      </c>
      <c r="AE52" t="s">
        <v>216</v>
      </c>
      <c r="AK52">
        <v>21693536</v>
      </c>
      <c r="AO52" t="s">
        <v>80</v>
      </c>
      <c r="AP52" t="s">
        <v>454</v>
      </c>
      <c r="AQ52" t="s">
        <v>245</v>
      </c>
      <c r="AR52" t="s">
        <v>83</v>
      </c>
      <c r="AS52" t="s">
        <v>170</v>
      </c>
      <c r="AT52" t="s">
        <v>84</v>
      </c>
      <c r="AU52" t="s">
        <v>2737</v>
      </c>
      <c r="AV52" t="s">
        <v>2635</v>
      </c>
      <c r="AW52" t="s">
        <v>84</v>
      </c>
      <c r="AX52" t="s">
        <v>87</v>
      </c>
      <c r="AY52" s="4">
        <f t="shared" si="5"/>
        <v>-1</v>
      </c>
      <c r="AZ52" t="b">
        <v>1</v>
      </c>
      <c r="BA52" s="4">
        <f t="shared" si="6"/>
        <v>1</v>
      </c>
      <c r="BB52" t="b">
        <v>1</v>
      </c>
      <c r="BC52" s="4">
        <f t="shared" si="7"/>
        <v>1</v>
      </c>
      <c r="BD52" s="5">
        <v>1</v>
      </c>
      <c r="BE52" s="5">
        <v>1</v>
      </c>
      <c r="BF52" s="5">
        <v>1</v>
      </c>
      <c r="BG52" s="5">
        <v>1</v>
      </c>
      <c r="BH52" s="5" t="str">
        <f t="shared" si="8"/>
        <v>Yes</v>
      </c>
      <c r="BI52" t="str">
        <f t="shared" si="9"/>
        <v>Yes</v>
      </c>
      <c r="BJ52" s="5">
        <v>1</v>
      </c>
      <c r="BK52" t="s">
        <v>2867</v>
      </c>
    </row>
    <row r="53" spans="1:63" ht="17" x14ac:dyDescent="0.2">
      <c r="A53">
        <v>4</v>
      </c>
      <c r="B53" t="s">
        <v>172</v>
      </c>
      <c r="C53" t="s">
        <v>173</v>
      </c>
      <c r="D53" t="s">
        <v>174</v>
      </c>
      <c r="E53" s="4" t="s">
        <v>175</v>
      </c>
      <c r="F53" t="s">
        <v>176</v>
      </c>
      <c r="G53" t="s">
        <v>177</v>
      </c>
      <c r="H53">
        <v>37</v>
      </c>
      <c r="K53" t="s">
        <v>178</v>
      </c>
      <c r="L53" t="s">
        <v>179</v>
      </c>
      <c r="M53" t="s">
        <v>151</v>
      </c>
      <c r="N53" t="s">
        <v>180</v>
      </c>
      <c r="O53" t="s">
        <v>181</v>
      </c>
      <c r="P53" s="7" t="s">
        <v>182</v>
      </c>
      <c r="Q53" t="s">
        <v>183</v>
      </c>
      <c r="R53" t="s">
        <v>184</v>
      </c>
      <c r="S53" t="s">
        <v>185</v>
      </c>
      <c r="U53" t="s">
        <v>186</v>
      </c>
      <c r="Z53" t="s">
        <v>187</v>
      </c>
      <c r="AA53" t="s">
        <v>188</v>
      </c>
      <c r="AB53" t="s">
        <v>189</v>
      </c>
      <c r="AC53" t="s">
        <v>190</v>
      </c>
      <c r="AD53" t="s">
        <v>191</v>
      </c>
      <c r="AE53" t="s">
        <v>192</v>
      </c>
      <c r="AF53" t="s">
        <v>164</v>
      </c>
      <c r="AG53" t="s">
        <v>193</v>
      </c>
      <c r="AH53" t="s">
        <v>194</v>
      </c>
      <c r="AI53" t="s">
        <v>195</v>
      </c>
      <c r="AJ53" t="s">
        <v>196</v>
      </c>
      <c r="AL53" t="s">
        <v>197</v>
      </c>
      <c r="AO53" t="s">
        <v>80</v>
      </c>
      <c r="AP53" t="s">
        <v>198</v>
      </c>
      <c r="AQ53" t="s">
        <v>82</v>
      </c>
      <c r="AR53" t="s">
        <v>83</v>
      </c>
      <c r="AS53" t="s">
        <v>170</v>
      </c>
      <c r="AT53" t="s">
        <v>84</v>
      </c>
      <c r="AU53" t="s">
        <v>199</v>
      </c>
      <c r="AV53" t="s">
        <v>86</v>
      </c>
      <c r="AW53" t="s">
        <v>84</v>
      </c>
      <c r="AX53" t="b">
        <v>1</v>
      </c>
      <c r="AY53" s="4">
        <f t="shared" si="5"/>
        <v>1</v>
      </c>
      <c r="AZ53" t="b">
        <v>1</v>
      </c>
      <c r="BA53" s="4">
        <f t="shared" si="6"/>
        <v>1</v>
      </c>
      <c r="BB53" t="b">
        <v>1</v>
      </c>
      <c r="BC53" s="4">
        <f t="shared" si="7"/>
        <v>1</v>
      </c>
      <c r="BD53" s="5">
        <v>1</v>
      </c>
      <c r="BE53" s="5">
        <v>0</v>
      </c>
      <c r="BF53" s="5">
        <v>1</v>
      </c>
      <c r="BG53" s="5">
        <v>1</v>
      </c>
      <c r="BH53" s="5" t="str">
        <f t="shared" si="8"/>
        <v>Yes</v>
      </c>
      <c r="BI53" t="str">
        <f t="shared" si="9"/>
        <v>Yes</v>
      </c>
      <c r="BJ53" s="5">
        <v>1</v>
      </c>
      <c r="BK53" t="s">
        <v>2941</v>
      </c>
    </row>
    <row r="54" spans="1:63" ht="17" x14ac:dyDescent="0.2">
      <c r="A54">
        <v>30</v>
      </c>
      <c r="B54" t="s">
        <v>692</v>
      </c>
      <c r="C54" t="s">
        <v>693</v>
      </c>
      <c r="D54" t="s">
        <v>694</v>
      </c>
      <c r="E54" s="4" t="s">
        <v>695</v>
      </c>
      <c r="F54" t="s">
        <v>146</v>
      </c>
      <c r="G54" t="s">
        <v>696</v>
      </c>
      <c r="K54" t="s">
        <v>649</v>
      </c>
      <c r="L54" t="s">
        <v>697</v>
      </c>
      <c r="M54" t="s">
        <v>60</v>
      </c>
      <c r="N54" t="s">
        <v>61</v>
      </c>
      <c r="O54" t="s">
        <v>698</v>
      </c>
      <c r="P54" s="7" t="s">
        <v>699</v>
      </c>
      <c r="Q54" t="s">
        <v>700</v>
      </c>
      <c r="R54" t="s">
        <v>701</v>
      </c>
      <c r="S54" t="s">
        <v>702</v>
      </c>
      <c r="T54" t="s">
        <v>703</v>
      </c>
      <c r="Z54" t="s">
        <v>704</v>
      </c>
      <c r="AA54" t="s">
        <v>705</v>
      </c>
      <c r="AB54" t="s">
        <v>706</v>
      </c>
      <c r="AC54" t="s">
        <v>707</v>
      </c>
      <c r="AD54" t="s">
        <v>708</v>
      </c>
      <c r="AE54" t="s">
        <v>709</v>
      </c>
      <c r="AG54" t="s">
        <v>710</v>
      </c>
      <c r="AH54" t="s">
        <v>711</v>
      </c>
      <c r="AI54" t="s">
        <v>712</v>
      </c>
      <c r="AJ54" t="s">
        <v>713</v>
      </c>
      <c r="AK54">
        <v>22138684</v>
      </c>
      <c r="AL54" t="s">
        <v>714</v>
      </c>
      <c r="AO54" t="s">
        <v>80</v>
      </c>
      <c r="AP54" t="s">
        <v>715</v>
      </c>
      <c r="AQ54" t="s">
        <v>82</v>
      </c>
      <c r="AR54" t="s">
        <v>83</v>
      </c>
      <c r="AT54" t="s">
        <v>84</v>
      </c>
      <c r="AU54" t="s">
        <v>716</v>
      </c>
      <c r="AV54" t="s">
        <v>86</v>
      </c>
      <c r="AW54" t="s">
        <v>84</v>
      </c>
      <c r="AX54" t="b">
        <v>1</v>
      </c>
      <c r="AY54" s="4">
        <f t="shared" si="5"/>
        <v>1</v>
      </c>
      <c r="AZ54" t="b">
        <v>1</v>
      </c>
      <c r="BA54" s="4">
        <f t="shared" si="6"/>
        <v>1</v>
      </c>
      <c r="BB54" t="b">
        <v>1</v>
      </c>
      <c r="BC54" s="4">
        <f t="shared" si="7"/>
        <v>1</v>
      </c>
      <c r="BD54" s="5">
        <v>1</v>
      </c>
      <c r="BE54" s="5">
        <v>1</v>
      </c>
      <c r="BF54" s="5">
        <v>1</v>
      </c>
      <c r="BG54" s="5">
        <v>-1</v>
      </c>
      <c r="BH54" s="6" t="str">
        <f t="shared" si="8"/>
        <v>Doubt</v>
      </c>
      <c r="BI54" t="str">
        <f t="shared" si="9"/>
        <v>Yes</v>
      </c>
      <c r="BJ54" s="5">
        <v>1</v>
      </c>
      <c r="BK54" t="s">
        <v>2827</v>
      </c>
    </row>
    <row r="55" spans="1:63" ht="17" x14ac:dyDescent="0.2">
      <c r="A55">
        <v>45</v>
      </c>
      <c r="B55" t="s">
        <v>987</v>
      </c>
      <c r="C55" t="s">
        <v>988</v>
      </c>
      <c r="D55" t="s">
        <v>989</v>
      </c>
      <c r="E55" s="4" t="s">
        <v>990</v>
      </c>
      <c r="F55" t="s">
        <v>176</v>
      </c>
      <c r="G55" t="s">
        <v>252</v>
      </c>
      <c r="K55" t="s">
        <v>991</v>
      </c>
      <c r="L55" t="s">
        <v>992</v>
      </c>
      <c r="M55" t="s">
        <v>558</v>
      </c>
      <c r="N55" t="s">
        <v>180</v>
      </c>
      <c r="P55" s="7" t="s">
        <v>993</v>
      </c>
      <c r="Q55" t="s">
        <v>994</v>
      </c>
      <c r="R55" t="s">
        <v>995</v>
      </c>
      <c r="S55" t="s">
        <v>996</v>
      </c>
      <c r="U55" t="s">
        <v>997</v>
      </c>
      <c r="Z55" t="s">
        <v>998</v>
      </c>
      <c r="AA55" t="s">
        <v>999</v>
      </c>
      <c r="AB55" t="s">
        <v>1000</v>
      </c>
      <c r="AC55" t="s">
        <v>1001</v>
      </c>
      <c r="AE55" t="s">
        <v>109</v>
      </c>
      <c r="AF55" t="s">
        <v>774</v>
      </c>
      <c r="AG55" t="s">
        <v>265</v>
      </c>
      <c r="AH55" t="s">
        <v>266</v>
      </c>
      <c r="AI55" t="s">
        <v>267</v>
      </c>
      <c r="AJ55" t="s">
        <v>775</v>
      </c>
      <c r="AK55" t="s">
        <v>269</v>
      </c>
      <c r="AL55" t="s">
        <v>776</v>
      </c>
      <c r="AO55" t="s">
        <v>80</v>
      </c>
      <c r="AP55" t="s">
        <v>271</v>
      </c>
      <c r="AQ55" t="s">
        <v>82</v>
      </c>
      <c r="AR55" t="s">
        <v>83</v>
      </c>
      <c r="AT55" t="s">
        <v>84</v>
      </c>
      <c r="AU55" t="s">
        <v>1002</v>
      </c>
      <c r="AV55" t="s">
        <v>86</v>
      </c>
      <c r="AW55" t="s">
        <v>84</v>
      </c>
      <c r="AX55" t="b">
        <v>1</v>
      </c>
      <c r="AY55" s="4">
        <f t="shared" si="5"/>
        <v>1</v>
      </c>
      <c r="AZ55" t="b">
        <v>1</v>
      </c>
      <c r="BA55" s="4">
        <f t="shared" si="6"/>
        <v>1</v>
      </c>
      <c r="BB55" t="b">
        <v>1</v>
      </c>
      <c r="BC55" s="4">
        <f t="shared" si="7"/>
        <v>1</v>
      </c>
      <c r="BD55" s="5">
        <v>1</v>
      </c>
      <c r="BE55" s="5">
        <v>1</v>
      </c>
      <c r="BF55" s="5">
        <v>1</v>
      </c>
      <c r="BG55" s="5">
        <v>1</v>
      </c>
      <c r="BH55" s="6" t="str">
        <f t="shared" si="8"/>
        <v>Yes</v>
      </c>
      <c r="BI55" t="str">
        <f t="shared" si="9"/>
        <v>Yes</v>
      </c>
      <c r="BJ55" s="5">
        <v>1</v>
      </c>
      <c r="BK55" t="s">
        <v>2832</v>
      </c>
    </row>
    <row r="56" spans="1:63" ht="17" x14ac:dyDescent="0.2">
      <c r="A56">
        <v>29</v>
      </c>
      <c r="B56" t="s">
        <v>668</v>
      </c>
      <c r="C56" t="s">
        <v>669</v>
      </c>
      <c r="D56" t="s">
        <v>670</v>
      </c>
      <c r="E56" s="4" t="s">
        <v>671</v>
      </c>
      <c r="F56" t="s">
        <v>176</v>
      </c>
      <c r="G56" t="s">
        <v>672</v>
      </c>
      <c r="K56" t="s">
        <v>673</v>
      </c>
      <c r="L56" t="s">
        <v>674</v>
      </c>
      <c r="M56" t="s">
        <v>96</v>
      </c>
      <c r="N56" t="s">
        <v>97</v>
      </c>
      <c r="O56" t="s">
        <v>675</v>
      </c>
      <c r="P56" s="7" t="s">
        <v>676</v>
      </c>
      <c r="Q56" t="s">
        <v>677</v>
      </c>
      <c r="R56" t="s">
        <v>678</v>
      </c>
      <c r="S56" t="s">
        <v>679</v>
      </c>
      <c r="U56" t="s">
        <v>680</v>
      </c>
      <c r="Z56" t="s">
        <v>681</v>
      </c>
      <c r="AA56" t="s">
        <v>682</v>
      </c>
      <c r="AB56" t="s">
        <v>683</v>
      </c>
      <c r="AC56" t="s">
        <v>684</v>
      </c>
      <c r="AD56" t="s">
        <v>685</v>
      </c>
      <c r="AE56" t="s">
        <v>109</v>
      </c>
      <c r="AF56" t="s">
        <v>686</v>
      </c>
      <c r="AG56" t="s">
        <v>687</v>
      </c>
      <c r="AH56" t="s">
        <v>382</v>
      </c>
      <c r="AI56" t="s">
        <v>688</v>
      </c>
      <c r="AJ56" t="s">
        <v>689</v>
      </c>
      <c r="AL56" t="s">
        <v>690</v>
      </c>
      <c r="AO56" t="s">
        <v>80</v>
      </c>
      <c r="AP56" t="s">
        <v>140</v>
      </c>
      <c r="AQ56" t="s">
        <v>82</v>
      </c>
      <c r="AR56" t="s">
        <v>83</v>
      </c>
      <c r="AS56" t="s">
        <v>362</v>
      </c>
      <c r="AT56" t="s">
        <v>84</v>
      </c>
      <c r="AU56" t="s">
        <v>691</v>
      </c>
      <c r="AV56" t="s">
        <v>86</v>
      </c>
      <c r="AW56" t="s">
        <v>84</v>
      </c>
      <c r="AX56" t="b">
        <v>1</v>
      </c>
      <c r="AY56" s="4">
        <f t="shared" si="5"/>
        <v>1</v>
      </c>
      <c r="AZ56" t="b">
        <v>1</v>
      </c>
      <c r="BA56" s="4">
        <f t="shared" si="6"/>
        <v>1</v>
      </c>
      <c r="BB56" t="b">
        <v>1</v>
      </c>
      <c r="BC56" s="4">
        <f t="shared" si="7"/>
        <v>1</v>
      </c>
      <c r="BD56" s="5">
        <v>1</v>
      </c>
      <c r="BE56" s="5">
        <v>1</v>
      </c>
      <c r="BF56" s="5">
        <v>1</v>
      </c>
      <c r="BG56" s="5">
        <v>1</v>
      </c>
      <c r="BH56" s="5" t="str">
        <f t="shared" si="8"/>
        <v>Yes</v>
      </c>
      <c r="BI56" t="str">
        <f t="shared" si="9"/>
        <v>Yes</v>
      </c>
      <c r="BJ56" s="5">
        <v>1</v>
      </c>
      <c r="BK56" t="s">
        <v>2933</v>
      </c>
    </row>
    <row r="57" spans="1:63" ht="17" x14ac:dyDescent="0.2">
      <c r="A57">
        <v>90</v>
      </c>
      <c r="B57" t="s">
        <v>1690</v>
      </c>
      <c r="C57" t="s">
        <v>1691</v>
      </c>
      <c r="D57" t="s">
        <v>1692</v>
      </c>
      <c r="E57" s="4" t="s">
        <v>1693</v>
      </c>
      <c r="F57" t="s">
        <v>176</v>
      </c>
      <c r="G57" t="s">
        <v>368</v>
      </c>
      <c r="K57" t="s">
        <v>1694</v>
      </c>
      <c r="L57" t="s">
        <v>1695</v>
      </c>
      <c r="M57" t="s">
        <v>745</v>
      </c>
      <c r="N57" t="s">
        <v>231</v>
      </c>
      <c r="P57" t="s">
        <v>1696</v>
      </c>
      <c r="Q57" t="s">
        <v>1697</v>
      </c>
      <c r="R57" t="s">
        <v>1698</v>
      </c>
      <c r="S57" t="s">
        <v>1699</v>
      </c>
      <c r="U57" t="s">
        <v>1700</v>
      </c>
      <c r="Z57" t="s">
        <v>1701</v>
      </c>
      <c r="AA57" t="s">
        <v>1702</v>
      </c>
      <c r="AB57" t="s">
        <v>1703</v>
      </c>
      <c r="AC57" t="s">
        <v>1704</v>
      </c>
      <c r="AE57" t="s">
        <v>109</v>
      </c>
      <c r="AF57" t="s">
        <v>380</v>
      </c>
      <c r="AG57" t="s">
        <v>381</v>
      </c>
      <c r="AH57" t="s">
        <v>382</v>
      </c>
      <c r="AI57" t="s">
        <v>383</v>
      </c>
      <c r="AJ57" t="s">
        <v>384</v>
      </c>
      <c r="AL57" t="s">
        <v>385</v>
      </c>
      <c r="AO57" t="s">
        <v>80</v>
      </c>
      <c r="AP57" t="s">
        <v>114</v>
      </c>
      <c r="AQ57" t="s">
        <v>82</v>
      </c>
      <c r="AR57" t="s">
        <v>83</v>
      </c>
      <c r="AT57" t="s">
        <v>84</v>
      </c>
      <c r="AU57" t="s">
        <v>1705</v>
      </c>
      <c r="AV57" t="s">
        <v>86</v>
      </c>
      <c r="AW57" t="s">
        <v>84</v>
      </c>
      <c r="AX57" t="b">
        <v>1</v>
      </c>
      <c r="AY57" s="4">
        <f t="shared" si="5"/>
        <v>1</v>
      </c>
      <c r="AZ57" t="b">
        <v>1</v>
      </c>
      <c r="BA57" s="4">
        <f t="shared" si="6"/>
        <v>1</v>
      </c>
      <c r="BB57" t="b">
        <v>1</v>
      </c>
      <c r="BC57" s="4">
        <f t="shared" si="7"/>
        <v>1</v>
      </c>
      <c r="BD57" s="5">
        <v>1</v>
      </c>
      <c r="BE57" s="5">
        <v>1</v>
      </c>
      <c r="BF57" s="5">
        <v>0</v>
      </c>
      <c r="BG57" s="5">
        <v>0</v>
      </c>
      <c r="BH57" s="5" t="str">
        <f t="shared" si="8"/>
        <v>No</v>
      </c>
      <c r="BI57" t="str">
        <f t="shared" si="9"/>
        <v>No</v>
      </c>
      <c r="BJ57" s="5">
        <v>0</v>
      </c>
      <c r="BK57" t="s">
        <v>2845</v>
      </c>
    </row>
    <row r="58" spans="1:63" ht="17" x14ac:dyDescent="0.2">
      <c r="A58">
        <v>18</v>
      </c>
      <c r="B58" t="s">
        <v>486</v>
      </c>
      <c r="C58" t="s">
        <v>487</v>
      </c>
      <c r="D58" t="s">
        <v>488</v>
      </c>
      <c r="E58" s="4" t="s">
        <v>489</v>
      </c>
      <c r="F58" t="s">
        <v>121</v>
      </c>
      <c r="G58" t="s">
        <v>122</v>
      </c>
      <c r="K58" t="s">
        <v>490</v>
      </c>
      <c r="L58" t="s">
        <v>491</v>
      </c>
      <c r="M58" t="s">
        <v>457</v>
      </c>
      <c r="N58" t="s">
        <v>492</v>
      </c>
      <c r="P58" s="7" t="s">
        <v>493</v>
      </c>
      <c r="Q58" t="s">
        <v>494</v>
      </c>
      <c r="R58" t="s">
        <v>495</v>
      </c>
      <c r="S58" t="s">
        <v>496</v>
      </c>
      <c r="U58" t="s">
        <v>497</v>
      </c>
      <c r="Z58" t="s">
        <v>498</v>
      </c>
      <c r="AA58" t="s">
        <v>499</v>
      </c>
      <c r="AB58" t="s">
        <v>500</v>
      </c>
      <c r="AC58" t="s">
        <v>501</v>
      </c>
      <c r="AE58" t="s">
        <v>109</v>
      </c>
      <c r="AF58" t="s">
        <v>134</v>
      </c>
      <c r="AG58" t="s">
        <v>135</v>
      </c>
      <c r="AH58" t="s">
        <v>136</v>
      </c>
      <c r="AI58" t="s">
        <v>137</v>
      </c>
      <c r="AJ58" t="s">
        <v>138</v>
      </c>
      <c r="AL58" t="s">
        <v>139</v>
      </c>
      <c r="AO58" t="s">
        <v>80</v>
      </c>
      <c r="AP58" t="s">
        <v>140</v>
      </c>
      <c r="AQ58" t="s">
        <v>82</v>
      </c>
      <c r="AR58" t="s">
        <v>83</v>
      </c>
      <c r="AT58" t="s">
        <v>84</v>
      </c>
      <c r="AU58" t="s">
        <v>502</v>
      </c>
      <c r="AV58" t="s">
        <v>86</v>
      </c>
      <c r="AW58" t="s">
        <v>84</v>
      </c>
      <c r="AX58" t="b">
        <v>1</v>
      </c>
      <c r="AY58" s="4">
        <f t="shared" si="5"/>
        <v>1</v>
      </c>
      <c r="AZ58" t="b">
        <v>1</v>
      </c>
      <c r="BA58" s="4">
        <f t="shared" si="6"/>
        <v>1</v>
      </c>
      <c r="BB58" t="b">
        <v>1</v>
      </c>
      <c r="BC58" s="4">
        <f t="shared" si="7"/>
        <v>1</v>
      </c>
      <c r="BD58" s="5">
        <v>1</v>
      </c>
      <c r="BE58" s="5">
        <v>1</v>
      </c>
      <c r="BF58" s="5">
        <v>1</v>
      </c>
      <c r="BG58" s="5">
        <v>1</v>
      </c>
      <c r="BH58" s="5" t="str">
        <f t="shared" si="8"/>
        <v>Yes</v>
      </c>
      <c r="BI58" t="str">
        <f t="shared" si="9"/>
        <v>Yes</v>
      </c>
      <c r="BJ58" s="5">
        <v>1</v>
      </c>
      <c r="BK58" t="s">
        <v>2926</v>
      </c>
    </row>
    <row r="59" spans="1:63" ht="17" x14ac:dyDescent="0.2">
      <c r="A59">
        <v>113</v>
      </c>
      <c r="B59" t="s">
        <v>2060</v>
      </c>
      <c r="C59" t="s">
        <v>2061</v>
      </c>
      <c r="D59" t="s">
        <v>2062</v>
      </c>
      <c r="E59" s="4" t="s">
        <v>2063</v>
      </c>
      <c r="F59" t="s">
        <v>2009</v>
      </c>
      <c r="G59" t="s">
        <v>2064</v>
      </c>
      <c r="H59">
        <v>53</v>
      </c>
      <c r="I59" t="s">
        <v>206</v>
      </c>
      <c r="K59" t="s">
        <v>2065</v>
      </c>
      <c r="L59" t="s">
        <v>2066</v>
      </c>
      <c r="M59" t="s">
        <v>474</v>
      </c>
      <c r="N59" t="s">
        <v>152</v>
      </c>
      <c r="O59" t="s">
        <v>2067</v>
      </c>
      <c r="P59" t="s">
        <v>2068</v>
      </c>
      <c r="Q59" t="s">
        <v>2069</v>
      </c>
      <c r="R59" t="s">
        <v>2070</v>
      </c>
      <c r="S59" t="s">
        <v>2071</v>
      </c>
      <c r="T59" t="s">
        <v>2072</v>
      </c>
      <c r="U59" t="s">
        <v>2073</v>
      </c>
      <c r="AB59" t="s">
        <v>2074</v>
      </c>
      <c r="AC59" t="s">
        <v>2075</v>
      </c>
      <c r="AE59" t="s">
        <v>2076</v>
      </c>
      <c r="AK59">
        <v>25149288</v>
      </c>
      <c r="AO59" t="s">
        <v>80</v>
      </c>
      <c r="AP59" t="s">
        <v>2077</v>
      </c>
      <c r="AQ59" t="s">
        <v>2078</v>
      </c>
      <c r="AR59" t="s">
        <v>83</v>
      </c>
      <c r="AT59" t="s">
        <v>84</v>
      </c>
      <c r="AU59" t="s">
        <v>2079</v>
      </c>
      <c r="AV59" t="s">
        <v>86</v>
      </c>
      <c r="AW59" t="s">
        <v>84</v>
      </c>
      <c r="AX59" t="s">
        <v>87</v>
      </c>
      <c r="AY59" s="4">
        <f t="shared" si="5"/>
        <v>-1</v>
      </c>
      <c r="AZ59" t="s">
        <v>87</v>
      </c>
      <c r="BA59" s="4">
        <f t="shared" si="6"/>
        <v>-1</v>
      </c>
      <c r="BB59" t="s">
        <v>87</v>
      </c>
      <c r="BC59" s="4">
        <f t="shared" si="7"/>
        <v>-1</v>
      </c>
      <c r="BD59" s="5">
        <v>1</v>
      </c>
      <c r="BE59" s="5">
        <v>0</v>
      </c>
      <c r="BF59" s="5">
        <v>0</v>
      </c>
      <c r="BG59" s="5">
        <v>0</v>
      </c>
      <c r="BH59" s="9" t="str">
        <f t="shared" si="8"/>
        <v>No</v>
      </c>
      <c r="BI59" t="str">
        <f t="shared" si="9"/>
        <v>No</v>
      </c>
      <c r="BJ59" s="5">
        <v>0</v>
      </c>
      <c r="BK59" t="s">
        <v>2864</v>
      </c>
    </row>
    <row r="60" spans="1:63" ht="17" x14ac:dyDescent="0.2">
      <c r="A60">
        <v>49</v>
      </c>
      <c r="B60" t="s">
        <v>1068</v>
      </c>
      <c r="C60" t="s">
        <v>1069</v>
      </c>
      <c r="D60" t="s">
        <v>1070</v>
      </c>
      <c r="E60" s="4" t="s">
        <v>1071</v>
      </c>
      <c r="F60" t="s">
        <v>146</v>
      </c>
      <c r="G60" t="s">
        <v>923</v>
      </c>
      <c r="K60" t="s">
        <v>1072</v>
      </c>
      <c r="L60" t="s">
        <v>1073</v>
      </c>
      <c r="M60" t="s">
        <v>125</v>
      </c>
      <c r="N60" t="s">
        <v>61</v>
      </c>
      <c r="P60" s="7" t="s">
        <v>1074</v>
      </c>
      <c r="Q60" t="s">
        <v>1075</v>
      </c>
      <c r="R60" t="s">
        <v>1076</v>
      </c>
      <c r="S60" t="s">
        <v>1077</v>
      </c>
      <c r="T60" t="s">
        <v>1078</v>
      </c>
      <c r="U60" t="s">
        <v>1079</v>
      </c>
      <c r="AB60" t="s">
        <v>1080</v>
      </c>
      <c r="AD60" t="s">
        <v>937</v>
      </c>
      <c r="AE60" t="s">
        <v>938</v>
      </c>
      <c r="AF60" t="s">
        <v>939</v>
      </c>
      <c r="AG60" t="s">
        <v>940</v>
      </c>
      <c r="AH60" t="s">
        <v>941</v>
      </c>
      <c r="AI60" t="s">
        <v>942</v>
      </c>
      <c r="AJ60" t="s">
        <v>943</v>
      </c>
      <c r="AL60" t="s">
        <v>944</v>
      </c>
      <c r="AO60" t="s">
        <v>80</v>
      </c>
      <c r="AP60" t="s">
        <v>945</v>
      </c>
      <c r="AQ60" t="s">
        <v>82</v>
      </c>
      <c r="AR60" t="s">
        <v>83</v>
      </c>
      <c r="AT60" t="s">
        <v>84</v>
      </c>
      <c r="AU60" t="s">
        <v>1081</v>
      </c>
      <c r="AV60" t="s">
        <v>86</v>
      </c>
      <c r="AW60" t="s">
        <v>84</v>
      </c>
      <c r="AX60" t="s">
        <v>87</v>
      </c>
      <c r="AY60" s="4">
        <f t="shared" si="5"/>
        <v>-1</v>
      </c>
      <c r="AZ60" t="s">
        <v>87</v>
      </c>
      <c r="BA60" s="4">
        <f t="shared" si="6"/>
        <v>-1</v>
      </c>
      <c r="BB60" t="b">
        <v>1</v>
      </c>
      <c r="BC60" s="4">
        <f t="shared" si="7"/>
        <v>1</v>
      </c>
      <c r="BD60" s="5">
        <v>1</v>
      </c>
      <c r="BE60" s="5">
        <v>1</v>
      </c>
      <c r="BF60" s="5">
        <v>1</v>
      </c>
      <c r="BG60" s="5">
        <v>1</v>
      </c>
      <c r="BH60" s="5" t="str">
        <f t="shared" si="8"/>
        <v>Yes</v>
      </c>
      <c r="BI60" t="str">
        <f t="shared" si="9"/>
        <v>Yes</v>
      </c>
      <c r="BJ60" s="5">
        <v>1</v>
      </c>
      <c r="BK60" t="s">
        <v>2935</v>
      </c>
    </row>
    <row r="61" spans="1:63" ht="17" x14ac:dyDescent="0.2">
      <c r="A61">
        <v>148</v>
      </c>
      <c r="B61" t="s">
        <v>2532</v>
      </c>
      <c r="C61" t="s">
        <v>2533</v>
      </c>
      <c r="D61" t="s">
        <v>2534</v>
      </c>
      <c r="E61" s="4" t="s">
        <v>2535</v>
      </c>
      <c r="F61" t="s">
        <v>92</v>
      </c>
      <c r="G61" t="s">
        <v>2536</v>
      </c>
      <c r="K61" t="s">
        <v>2537</v>
      </c>
      <c r="L61" t="s">
        <v>2538</v>
      </c>
      <c r="M61" t="s">
        <v>180</v>
      </c>
      <c r="N61" t="s">
        <v>61</v>
      </c>
      <c r="P61" s="7" t="s">
        <v>2539</v>
      </c>
      <c r="Q61" t="s">
        <v>2540</v>
      </c>
      <c r="R61" t="s">
        <v>2541</v>
      </c>
      <c r="S61" t="s">
        <v>2542</v>
      </c>
      <c r="U61" t="s">
        <v>2543</v>
      </c>
      <c r="AB61" t="s">
        <v>2544</v>
      </c>
      <c r="AE61" t="s">
        <v>109</v>
      </c>
      <c r="AG61" t="s">
        <v>2545</v>
      </c>
      <c r="AH61" t="s">
        <v>2546</v>
      </c>
      <c r="AI61" t="s">
        <v>112</v>
      </c>
      <c r="AJ61" t="s">
        <v>2547</v>
      </c>
      <c r="AL61" t="s">
        <v>2548</v>
      </c>
      <c r="AO61" t="s">
        <v>80</v>
      </c>
      <c r="AP61" t="s">
        <v>2549</v>
      </c>
      <c r="AQ61" t="s">
        <v>82</v>
      </c>
      <c r="AR61" t="s">
        <v>83</v>
      </c>
      <c r="AT61" t="s">
        <v>84</v>
      </c>
      <c r="AU61" t="s">
        <v>2550</v>
      </c>
      <c r="AV61" t="s">
        <v>2551</v>
      </c>
      <c r="AW61" t="s">
        <v>84</v>
      </c>
      <c r="AX61" t="s">
        <v>87</v>
      </c>
      <c r="AY61" s="4">
        <f t="shared" si="5"/>
        <v>-1</v>
      </c>
      <c r="AZ61" t="b">
        <v>1</v>
      </c>
      <c r="BA61" s="4">
        <f t="shared" si="6"/>
        <v>1</v>
      </c>
      <c r="BB61" t="s">
        <v>87</v>
      </c>
      <c r="BC61" s="4">
        <f t="shared" si="7"/>
        <v>-1</v>
      </c>
      <c r="BD61" s="5">
        <v>1</v>
      </c>
      <c r="BE61" s="5">
        <v>1</v>
      </c>
      <c r="BF61" s="5">
        <v>1</v>
      </c>
      <c r="BG61" s="5">
        <v>0</v>
      </c>
      <c r="BH61" s="5" t="str">
        <f t="shared" si="8"/>
        <v>No</v>
      </c>
      <c r="BI61" t="str">
        <f t="shared" si="9"/>
        <v>Yes</v>
      </c>
      <c r="BJ61" s="5">
        <v>1</v>
      </c>
      <c r="BK61" t="s">
        <v>2958</v>
      </c>
    </row>
    <row r="62" spans="1:63" ht="17" x14ac:dyDescent="0.2">
      <c r="A62">
        <v>163</v>
      </c>
      <c r="B62" t="s">
        <v>2801</v>
      </c>
      <c r="C62" t="s">
        <v>2802</v>
      </c>
      <c r="D62" t="s">
        <v>2803</v>
      </c>
      <c r="E62" s="4" t="s">
        <v>2804</v>
      </c>
      <c r="F62" t="s">
        <v>92</v>
      </c>
      <c r="G62" t="s">
        <v>2805</v>
      </c>
      <c r="H62">
        <v>5</v>
      </c>
      <c r="I62" t="s">
        <v>152</v>
      </c>
      <c r="J62" t="s">
        <v>2806</v>
      </c>
      <c r="N62" t="s">
        <v>2807</v>
      </c>
      <c r="O62" t="s">
        <v>2808</v>
      </c>
      <c r="P62" t="s">
        <v>2809</v>
      </c>
      <c r="Q62" t="s">
        <v>2810</v>
      </c>
      <c r="R62" t="s">
        <v>2811</v>
      </c>
      <c r="S62" t="s">
        <v>2812</v>
      </c>
      <c r="T62" t="s">
        <v>2813</v>
      </c>
      <c r="U62" t="s">
        <v>2814</v>
      </c>
      <c r="AB62" t="s">
        <v>2815</v>
      </c>
      <c r="AC62" t="s">
        <v>2816</v>
      </c>
      <c r="AE62" t="s">
        <v>2817</v>
      </c>
      <c r="AK62">
        <v>25742531</v>
      </c>
      <c r="AO62" t="s">
        <v>80</v>
      </c>
      <c r="AP62" t="s">
        <v>2805</v>
      </c>
      <c r="AQ62" t="s">
        <v>2078</v>
      </c>
      <c r="AR62" t="s">
        <v>83</v>
      </c>
      <c r="AS62" t="s">
        <v>246</v>
      </c>
      <c r="AT62" t="s">
        <v>84</v>
      </c>
      <c r="AU62" t="s">
        <v>2818</v>
      </c>
      <c r="AV62" t="s">
        <v>2635</v>
      </c>
      <c r="AW62" t="s">
        <v>84</v>
      </c>
      <c r="AX62" t="s">
        <v>87</v>
      </c>
      <c r="AY62" s="4">
        <f t="shared" si="5"/>
        <v>-1</v>
      </c>
      <c r="AZ62" t="s">
        <v>87</v>
      </c>
      <c r="BA62" s="4">
        <f t="shared" si="6"/>
        <v>-1</v>
      </c>
      <c r="BB62" t="s">
        <v>87</v>
      </c>
      <c r="BC62" s="4">
        <f t="shared" si="7"/>
        <v>-1</v>
      </c>
      <c r="BD62" s="5">
        <v>0</v>
      </c>
      <c r="BE62" s="5">
        <v>0</v>
      </c>
      <c r="BF62" s="5">
        <v>0</v>
      </c>
      <c r="BG62" s="5">
        <v>0</v>
      </c>
      <c r="BH62" s="5" t="str">
        <f t="shared" si="8"/>
        <v>No</v>
      </c>
      <c r="BI62" t="str">
        <f t="shared" si="9"/>
        <v>No</v>
      </c>
      <c r="BJ62" s="5">
        <v>0</v>
      </c>
    </row>
    <row r="63" spans="1:63" ht="17" x14ac:dyDescent="0.2">
      <c r="A63">
        <v>21</v>
      </c>
      <c r="B63" t="s">
        <v>553</v>
      </c>
      <c r="C63" t="s">
        <v>554</v>
      </c>
      <c r="D63" t="s">
        <v>555</v>
      </c>
      <c r="E63" s="4" t="s">
        <v>556</v>
      </c>
      <c r="F63" t="s">
        <v>146</v>
      </c>
      <c r="G63" t="s">
        <v>557</v>
      </c>
      <c r="K63" t="s">
        <v>231</v>
      </c>
      <c r="L63" t="s">
        <v>96</v>
      </c>
      <c r="M63" t="s">
        <v>558</v>
      </c>
      <c r="N63" t="s">
        <v>152</v>
      </c>
      <c r="O63" t="s">
        <v>559</v>
      </c>
      <c r="P63" s="7" t="s">
        <v>560</v>
      </c>
      <c r="Q63" t="s">
        <v>561</v>
      </c>
      <c r="R63" t="s">
        <v>562</v>
      </c>
      <c r="S63" t="s">
        <v>563</v>
      </c>
      <c r="T63" t="s">
        <v>564</v>
      </c>
      <c r="U63" t="s">
        <v>565</v>
      </c>
      <c r="AE63" t="s">
        <v>216</v>
      </c>
      <c r="AK63" t="s">
        <v>566</v>
      </c>
      <c r="AO63" t="s">
        <v>80</v>
      </c>
      <c r="AP63" t="s">
        <v>567</v>
      </c>
      <c r="AQ63" t="s">
        <v>245</v>
      </c>
      <c r="AR63" t="s">
        <v>568</v>
      </c>
      <c r="AT63" t="s">
        <v>84</v>
      </c>
      <c r="AU63" t="s">
        <v>569</v>
      </c>
      <c r="AV63" t="s">
        <v>86</v>
      </c>
      <c r="AW63" t="s">
        <v>84</v>
      </c>
      <c r="AX63" t="s">
        <v>87</v>
      </c>
      <c r="AY63" s="4">
        <f t="shared" si="5"/>
        <v>-1</v>
      </c>
      <c r="AZ63" t="b">
        <v>1</v>
      </c>
      <c r="BA63" s="4">
        <f t="shared" si="6"/>
        <v>1</v>
      </c>
      <c r="BB63" t="b">
        <v>1</v>
      </c>
      <c r="BC63" s="4">
        <f t="shared" si="7"/>
        <v>1</v>
      </c>
      <c r="BD63" s="5">
        <v>1</v>
      </c>
      <c r="BE63" s="5">
        <v>1</v>
      </c>
      <c r="BF63" s="5">
        <v>1</v>
      </c>
      <c r="BG63" s="5">
        <v>0</v>
      </c>
      <c r="BH63" s="5" t="str">
        <f t="shared" si="8"/>
        <v>No</v>
      </c>
      <c r="BI63" t="str">
        <f t="shared" si="9"/>
        <v>Yes</v>
      </c>
      <c r="BJ63" s="5">
        <v>1</v>
      </c>
      <c r="BK63" t="s">
        <v>2924</v>
      </c>
    </row>
    <row r="64" spans="1:63" ht="17" x14ac:dyDescent="0.2">
      <c r="A64">
        <v>137</v>
      </c>
      <c r="B64" t="s">
        <v>2393</v>
      </c>
      <c r="C64" t="s">
        <v>2394</v>
      </c>
      <c r="D64" t="s">
        <v>2395</v>
      </c>
      <c r="E64" s="4" t="s">
        <v>2396</v>
      </c>
      <c r="F64" t="s">
        <v>176</v>
      </c>
      <c r="G64" t="s">
        <v>2397</v>
      </c>
      <c r="H64">
        <v>26</v>
      </c>
      <c r="I64" t="s">
        <v>343</v>
      </c>
      <c r="K64" t="s">
        <v>2398</v>
      </c>
      <c r="L64" t="s">
        <v>2399</v>
      </c>
      <c r="M64" t="s">
        <v>1402</v>
      </c>
      <c r="N64" t="s">
        <v>206</v>
      </c>
      <c r="O64" t="s">
        <v>2400</v>
      </c>
      <c r="P64" t="s">
        <v>2401</v>
      </c>
      <c r="Q64" t="s">
        <v>2402</v>
      </c>
      <c r="R64" t="s">
        <v>2403</v>
      </c>
      <c r="S64" t="s">
        <v>2404</v>
      </c>
      <c r="T64" t="s">
        <v>2405</v>
      </c>
      <c r="U64" t="s">
        <v>2406</v>
      </c>
      <c r="Z64" t="s">
        <v>2407</v>
      </c>
      <c r="AA64" t="s">
        <v>2408</v>
      </c>
      <c r="AB64" t="s">
        <v>2409</v>
      </c>
      <c r="AC64" t="s">
        <v>2410</v>
      </c>
      <c r="AE64" t="s">
        <v>424</v>
      </c>
      <c r="AK64" t="s">
        <v>2411</v>
      </c>
      <c r="AO64" t="s">
        <v>80</v>
      </c>
      <c r="AP64" t="s">
        <v>2397</v>
      </c>
      <c r="AQ64" t="s">
        <v>245</v>
      </c>
      <c r="AR64" t="s">
        <v>83</v>
      </c>
      <c r="AS64" t="s">
        <v>1185</v>
      </c>
      <c r="AT64" t="s">
        <v>84</v>
      </c>
      <c r="AU64" t="s">
        <v>2412</v>
      </c>
      <c r="AV64" t="s">
        <v>2313</v>
      </c>
      <c r="AW64" t="s">
        <v>84</v>
      </c>
      <c r="AX64" t="s">
        <v>87</v>
      </c>
      <c r="AY64" s="4">
        <f t="shared" si="5"/>
        <v>-1</v>
      </c>
      <c r="AZ64" t="b">
        <v>1</v>
      </c>
      <c r="BA64" s="4">
        <f t="shared" si="6"/>
        <v>1</v>
      </c>
      <c r="BB64" t="b">
        <v>1</v>
      </c>
      <c r="BC64" s="4">
        <f t="shared" si="7"/>
        <v>1</v>
      </c>
      <c r="BD64" s="5">
        <v>1</v>
      </c>
      <c r="BE64" s="5">
        <v>0</v>
      </c>
      <c r="BF64" s="5">
        <v>0</v>
      </c>
      <c r="BG64" s="5">
        <v>0</v>
      </c>
      <c r="BH64" s="5" t="str">
        <f t="shared" si="8"/>
        <v>No</v>
      </c>
      <c r="BI64" t="str">
        <f t="shared" si="9"/>
        <v>No</v>
      </c>
      <c r="BJ64" s="5">
        <v>0</v>
      </c>
      <c r="BK64" t="s">
        <v>2873</v>
      </c>
    </row>
    <row r="65" spans="1:63" ht="17" x14ac:dyDescent="0.2">
      <c r="A65">
        <v>157</v>
      </c>
      <c r="B65" t="s">
        <v>2680</v>
      </c>
      <c r="C65" t="s">
        <v>2681</v>
      </c>
      <c r="D65" t="s">
        <v>2682</v>
      </c>
      <c r="E65" s="4" t="s">
        <v>2683</v>
      </c>
      <c r="F65" t="s">
        <v>146</v>
      </c>
      <c r="G65" t="s">
        <v>2684</v>
      </c>
      <c r="K65" t="s">
        <v>2685</v>
      </c>
      <c r="L65" t="s">
        <v>2686</v>
      </c>
      <c r="M65" t="s">
        <v>180</v>
      </c>
      <c r="N65" t="s">
        <v>61</v>
      </c>
      <c r="O65" t="s">
        <v>2687</v>
      </c>
      <c r="P65" s="7" t="s">
        <v>2688</v>
      </c>
      <c r="Q65" t="s">
        <v>2689</v>
      </c>
      <c r="R65" t="s">
        <v>2690</v>
      </c>
      <c r="S65" t="s">
        <v>2691</v>
      </c>
      <c r="U65" t="s">
        <v>2692</v>
      </c>
      <c r="Z65" t="s">
        <v>2693</v>
      </c>
      <c r="AA65" t="s">
        <v>2694</v>
      </c>
      <c r="AB65" t="s">
        <v>2695</v>
      </c>
      <c r="AE65" t="s">
        <v>216</v>
      </c>
      <c r="AG65" t="s">
        <v>2696</v>
      </c>
      <c r="AH65" t="s">
        <v>2697</v>
      </c>
      <c r="AI65" t="s">
        <v>2698</v>
      </c>
      <c r="AJ65" t="s">
        <v>2699</v>
      </c>
      <c r="AK65" t="s">
        <v>2700</v>
      </c>
      <c r="AL65" t="s">
        <v>2701</v>
      </c>
      <c r="AM65" t="s">
        <v>2702</v>
      </c>
      <c r="AO65" t="s">
        <v>80</v>
      </c>
      <c r="AP65" t="s">
        <v>2703</v>
      </c>
      <c r="AQ65" t="s">
        <v>82</v>
      </c>
      <c r="AR65" t="s">
        <v>83</v>
      </c>
      <c r="AT65" t="s">
        <v>84</v>
      </c>
      <c r="AU65" t="s">
        <v>2704</v>
      </c>
      <c r="AV65" t="s">
        <v>2635</v>
      </c>
      <c r="AW65" t="s">
        <v>84</v>
      </c>
      <c r="AX65" t="b">
        <v>1</v>
      </c>
      <c r="AY65" s="4">
        <f t="shared" si="5"/>
        <v>1</v>
      </c>
      <c r="AZ65" t="b">
        <v>1</v>
      </c>
      <c r="BA65" s="4">
        <f t="shared" si="6"/>
        <v>1</v>
      </c>
      <c r="BB65" t="b">
        <v>1</v>
      </c>
      <c r="BC65" s="4">
        <f t="shared" si="7"/>
        <v>1</v>
      </c>
      <c r="BD65" s="5">
        <v>1</v>
      </c>
      <c r="BE65" s="5">
        <v>1</v>
      </c>
      <c r="BF65" s="5">
        <v>1</v>
      </c>
      <c r="BG65" s="5">
        <v>1</v>
      </c>
      <c r="BH65" s="8" t="str">
        <f t="shared" si="8"/>
        <v>Yes</v>
      </c>
      <c r="BI65" t="str">
        <f t="shared" si="9"/>
        <v>Yes</v>
      </c>
      <c r="BJ65" s="5">
        <v>1</v>
      </c>
      <c r="BK65" t="s">
        <v>2917</v>
      </c>
    </row>
    <row r="66" spans="1:63" ht="17" x14ac:dyDescent="0.2">
      <c r="A66">
        <v>110</v>
      </c>
      <c r="B66" t="s">
        <v>2005</v>
      </c>
      <c r="C66" t="s">
        <v>2006</v>
      </c>
      <c r="D66" t="s">
        <v>2007</v>
      </c>
      <c r="E66" s="4" t="s">
        <v>2008</v>
      </c>
      <c r="F66" t="s">
        <v>2009</v>
      </c>
      <c r="G66" t="s">
        <v>454</v>
      </c>
      <c r="H66">
        <v>7</v>
      </c>
      <c r="J66">
        <v>8913566</v>
      </c>
      <c r="K66" t="s">
        <v>2010</v>
      </c>
      <c r="L66" t="s">
        <v>2011</v>
      </c>
      <c r="M66" t="s">
        <v>151</v>
      </c>
      <c r="N66" t="s">
        <v>151</v>
      </c>
      <c r="O66" t="s">
        <v>2012</v>
      </c>
      <c r="P66" t="s">
        <v>2013</v>
      </c>
      <c r="Q66" t="s">
        <v>2014</v>
      </c>
      <c r="R66" t="s">
        <v>2015</v>
      </c>
      <c r="S66" t="s">
        <v>2016</v>
      </c>
      <c r="T66" t="s">
        <v>2017</v>
      </c>
      <c r="U66" t="s">
        <v>2018</v>
      </c>
      <c r="Z66" t="s">
        <v>2019</v>
      </c>
      <c r="AA66" t="s">
        <v>2020</v>
      </c>
      <c r="AB66" t="s">
        <v>2021</v>
      </c>
      <c r="AC66" t="s">
        <v>2022</v>
      </c>
      <c r="AE66" t="s">
        <v>216</v>
      </c>
      <c r="AK66">
        <v>21693536</v>
      </c>
      <c r="AO66" t="s">
        <v>80</v>
      </c>
      <c r="AP66" t="s">
        <v>454</v>
      </c>
      <c r="AQ66" t="s">
        <v>245</v>
      </c>
      <c r="AR66" t="s">
        <v>83</v>
      </c>
      <c r="AS66" t="s">
        <v>170</v>
      </c>
      <c r="AT66" t="s">
        <v>84</v>
      </c>
      <c r="AU66" t="s">
        <v>2023</v>
      </c>
      <c r="AV66" t="s">
        <v>86</v>
      </c>
      <c r="AW66" t="s">
        <v>84</v>
      </c>
      <c r="AX66" t="s">
        <v>87</v>
      </c>
      <c r="AY66" s="4">
        <f t="shared" ref="AY66:AY97" si="10">IF(AX66=TRUE,1,IF(AX66=FALSE,0,-1))</f>
        <v>-1</v>
      </c>
      <c r="AZ66" t="b">
        <v>1</v>
      </c>
      <c r="BA66" s="4">
        <f t="shared" ref="BA66:BA97" si="11">IF(AZ66=TRUE,1,IF(AZ66=FALSE,0,-1))</f>
        <v>1</v>
      </c>
      <c r="BB66" t="b">
        <v>1</v>
      </c>
      <c r="BC66" s="4">
        <f t="shared" ref="BC66:BC97" si="12">IF(BB66=TRUE,1,IF(BB66=FALSE,0,-1))</f>
        <v>1</v>
      </c>
      <c r="BD66" s="5">
        <v>1</v>
      </c>
      <c r="BE66" s="5">
        <v>1</v>
      </c>
      <c r="BF66" s="5">
        <v>0</v>
      </c>
      <c r="BG66" s="5">
        <v>0</v>
      </c>
      <c r="BH66" s="5" t="str">
        <f t="shared" ref="BH66:BH97" si="13">IF(BG66=1,"Yes",IF(BG66=-1,"Doubt","No"))</f>
        <v>No</v>
      </c>
      <c r="BI66" t="str">
        <f t="shared" ref="BI66:BI97" si="14">IF(BF66=1,"Yes","No")</f>
        <v>No</v>
      </c>
      <c r="BJ66" s="5">
        <v>0</v>
      </c>
      <c r="BK66" t="s">
        <v>2866</v>
      </c>
    </row>
    <row r="67" spans="1:63" ht="17" x14ac:dyDescent="0.2">
      <c r="A67">
        <v>16</v>
      </c>
      <c r="B67" t="s">
        <v>450</v>
      </c>
      <c r="C67" t="s">
        <v>451</v>
      </c>
      <c r="D67" t="s">
        <v>452</v>
      </c>
      <c r="E67" s="4" t="s">
        <v>453</v>
      </c>
      <c r="F67" t="s">
        <v>146</v>
      </c>
      <c r="G67" t="s">
        <v>454</v>
      </c>
      <c r="H67">
        <v>12</v>
      </c>
      <c r="K67" t="s">
        <v>455</v>
      </c>
      <c r="L67" t="s">
        <v>456</v>
      </c>
      <c r="M67" t="s">
        <v>457</v>
      </c>
      <c r="N67" t="s">
        <v>61</v>
      </c>
      <c r="O67" t="s">
        <v>458</v>
      </c>
      <c r="P67" t="s">
        <v>459</v>
      </c>
      <c r="Q67" t="s">
        <v>460</v>
      </c>
      <c r="R67" t="s">
        <v>461</v>
      </c>
      <c r="S67" t="s">
        <v>462</v>
      </c>
      <c r="T67" t="s">
        <v>463</v>
      </c>
      <c r="U67" t="s">
        <v>464</v>
      </c>
      <c r="AB67" t="s">
        <v>465</v>
      </c>
      <c r="AC67" t="s">
        <v>466</v>
      </c>
      <c r="AE67" t="s">
        <v>216</v>
      </c>
      <c r="AK67">
        <v>21693536</v>
      </c>
      <c r="AO67" t="s">
        <v>80</v>
      </c>
      <c r="AP67" t="s">
        <v>454</v>
      </c>
      <c r="AQ67" t="s">
        <v>245</v>
      </c>
      <c r="AR67" t="s">
        <v>83</v>
      </c>
      <c r="AS67" t="s">
        <v>170</v>
      </c>
      <c r="AT67" t="s">
        <v>84</v>
      </c>
      <c r="AU67" t="s">
        <v>467</v>
      </c>
      <c r="AV67" t="s">
        <v>86</v>
      </c>
      <c r="AW67" t="s">
        <v>84</v>
      </c>
      <c r="AX67" t="s">
        <v>87</v>
      </c>
      <c r="AY67" s="4">
        <f t="shared" si="10"/>
        <v>-1</v>
      </c>
      <c r="AZ67" t="b">
        <v>1</v>
      </c>
      <c r="BA67" s="4">
        <f t="shared" si="11"/>
        <v>1</v>
      </c>
      <c r="BB67" t="b">
        <v>1</v>
      </c>
      <c r="BC67" s="4">
        <f t="shared" si="12"/>
        <v>1</v>
      </c>
      <c r="BD67" s="5">
        <v>1</v>
      </c>
      <c r="BE67" s="5">
        <v>0</v>
      </c>
      <c r="BF67" s="5">
        <v>0</v>
      </c>
      <c r="BG67" s="5">
        <v>0</v>
      </c>
      <c r="BH67" s="5" t="str">
        <f t="shared" si="13"/>
        <v>No</v>
      </c>
      <c r="BI67" t="str">
        <f t="shared" si="14"/>
        <v>No</v>
      </c>
      <c r="BJ67" s="5">
        <v>0</v>
      </c>
      <c r="BK67" t="s">
        <v>2876</v>
      </c>
    </row>
    <row r="68" spans="1:63" ht="17" x14ac:dyDescent="0.2">
      <c r="A68">
        <v>14</v>
      </c>
      <c r="B68" t="s">
        <v>408</v>
      </c>
      <c r="C68" t="s">
        <v>409</v>
      </c>
      <c r="D68" t="s">
        <v>410</v>
      </c>
      <c r="E68" s="4" t="s">
        <v>411</v>
      </c>
      <c r="F68" t="s">
        <v>146</v>
      </c>
      <c r="G68" t="s">
        <v>412</v>
      </c>
      <c r="H68">
        <v>16</v>
      </c>
      <c r="I68" t="s">
        <v>97</v>
      </c>
      <c r="K68" t="s">
        <v>413</v>
      </c>
      <c r="L68" t="s">
        <v>414</v>
      </c>
      <c r="M68" t="s">
        <v>60</v>
      </c>
      <c r="N68" t="s">
        <v>61</v>
      </c>
      <c r="O68" t="s">
        <v>415</v>
      </c>
      <c r="P68" t="s">
        <v>416</v>
      </c>
      <c r="Q68" t="s">
        <v>417</v>
      </c>
      <c r="R68" t="s">
        <v>418</v>
      </c>
      <c r="S68" t="s">
        <v>419</v>
      </c>
      <c r="T68" t="s">
        <v>420</v>
      </c>
      <c r="U68" t="s">
        <v>421</v>
      </c>
      <c r="AB68" t="s">
        <v>422</v>
      </c>
      <c r="AC68" t="s">
        <v>423</v>
      </c>
      <c r="AE68" t="s">
        <v>424</v>
      </c>
      <c r="AK68">
        <v>18669956</v>
      </c>
      <c r="AO68" t="s">
        <v>80</v>
      </c>
      <c r="AP68" t="s">
        <v>425</v>
      </c>
      <c r="AQ68" t="s">
        <v>245</v>
      </c>
      <c r="AR68" t="s">
        <v>83</v>
      </c>
      <c r="AT68" t="s">
        <v>84</v>
      </c>
      <c r="AU68" t="s">
        <v>426</v>
      </c>
      <c r="AV68" t="s">
        <v>86</v>
      </c>
      <c r="AW68" t="s">
        <v>84</v>
      </c>
      <c r="AX68" t="s">
        <v>87</v>
      </c>
      <c r="AY68" s="4">
        <f t="shared" si="10"/>
        <v>-1</v>
      </c>
      <c r="AZ68" t="b">
        <v>1</v>
      </c>
      <c r="BA68" s="4">
        <f t="shared" si="11"/>
        <v>1</v>
      </c>
      <c r="BB68" t="s">
        <v>87</v>
      </c>
      <c r="BC68" s="4">
        <f t="shared" si="12"/>
        <v>-1</v>
      </c>
      <c r="BD68" s="5">
        <v>1</v>
      </c>
      <c r="BE68" s="5">
        <v>1</v>
      </c>
      <c r="BF68" s="5">
        <v>0</v>
      </c>
      <c r="BG68" s="5">
        <v>0</v>
      </c>
      <c r="BH68" s="5" t="str">
        <f t="shared" si="13"/>
        <v>No</v>
      </c>
      <c r="BI68" t="str">
        <f t="shared" si="14"/>
        <v>No</v>
      </c>
      <c r="BJ68" s="5">
        <v>0</v>
      </c>
      <c r="BK68" t="s">
        <v>2856</v>
      </c>
    </row>
    <row r="69" spans="1:63" ht="17" x14ac:dyDescent="0.2">
      <c r="A69">
        <v>51</v>
      </c>
      <c r="B69" t="s">
        <v>1100</v>
      </c>
      <c r="C69" t="s">
        <v>1101</v>
      </c>
      <c r="D69" t="s">
        <v>1102</v>
      </c>
      <c r="E69" s="4" t="s">
        <v>1103</v>
      </c>
      <c r="F69" t="s">
        <v>146</v>
      </c>
      <c r="G69" t="s">
        <v>830</v>
      </c>
      <c r="H69" t="s">
        <v>1104</v>
      </c>
      <c r="K69" t="s">
        <v>1105</v>
      </c>
      <c r="L69" t="s">
        <v>1106</v>
      </c>
      <c r="M69" t="s">
        <v>558</v>
      </c>
      <c r="N69" t="s">
        <v>61</v>
      </c>
      <c r="O69" t="s">
        <v>1107</v>
      </c>
      <c r="P69" t="s">
        <v>1108</v>
      </c>
      <c r="Q69" t="s">
        <v>1109</v>
      </c>
      <c r="R69" t="s">
        <v>1110</v>
      </c>
      <c r="S69" t="s">
        <v>1111</v>
      </c>
      <c r="T69" t="s">
        <v>1112</v>
      </c>
      <c r="U69" t="s">
        <v>1113</v>
      </c>
      <c r="Z69" t="s">
        <v>1114</v>
      </c>
      <c r="AA69" t="s">
        <v>1115</v>
      </c>
      <c r="AB69" t="s">
        <v>1116</v>
      </c>
      <c r="AC69" t="s">
        <v>1117</v>
      </c>
      <c r="AD69" t="s">
        <v>1118</v>
      </c>
      <c r="AE69" t="s">
        <v>74</v>
      </c>
      <c r="AG69" t="s">
        <v>1119</v>
      </c>
      <c r="AH69" t="s">
        <v>1120</v>
      </c>
      <c r="AI69" t="s">
        <v>1121</v>
      </c>
      <c r="AJ69" t="s">
        <v>1122</v>
      </c>
      <c r="AK69">
        <v>3029743</v>
      </c>
      <c r="AL69" t="s">
        <v>1123</v>
      </c>
      <c r="AO69" t="s">
        <v>80</v>
      </c>
      <c r="AP69" t="s">
        <v>81</v>
      </c>
      <c r="AQ69" t="s">
        <v>82</v>
      </c>
      <c r="AR69" t="s">
        <v>83</v>
      </c>
      <c r="AT69" t="s">
        <v>84</v>
      </c>
      <c r="AU69" t="s">
        <v>1124</v>
      </c>
      <c r="AV69" t="s">
        <v>86</v>
      </c>
      <c r="AW69" t="s">
        <v>84</v>
      </c>
      <c r="AX69" t="s">
        <v>87</v>
      </c>
      <c r="AY69" s="4">
        <f t="shared" si="10"/>
        <v>-1</v>
      </c>
      <c r="AZ69" t="b">
        <v>1</v>
      </c>
      <c r="BA69" s="4">
        <f t="shared" si="11"/>
        <v>1</v>
      </c>
      <c r="BB69" t="s">
        <v>87</v>
      </c>
      <c r="BC69" s="4">
        <f t="shared" si="12"/>
        <v>-1</v>
      </c>
      <c r="BD69" s="5">
        <v>1</v>
      </c>
      <c r="BE69" s="5">
        <v>0</v>
      </c>
      <c r="BF69" s="5">
        <v>0</v>
      </c>
      <c r="BG69" s="5">
        <v>0</v>
      </c>
      <c r="BH69" s="5" t="str">
        <f t="shared" si="13"/>
        <v>No</v>
      </c>
      <c r="BI69" t="str">
        <f t="shared" si="14"/>
        <v>No</v>
      </c>
      <c r="BJ69" s="5">
        <v>0</v>
      </c>
      <c r="BK69" t="s">
        <v>2882</v>
      </c>
    </row>
    <row r="70" spans="1:63" ht="17" x14ac:dyDescent="0.2">
      <c r="A70">
        <v>153</v>
      </c>
      <c r="B70" t="s">
        <v>2590</v>
      </c>
      <c r="C70" t="s">
        <v>2591</v>
      </c>
      <c r="D70" t="s">
        <v>2592</v>
      </c>
      <c r="E70" s="4" t="s">
        <v>2593</v>
      </c>
      <c r="F70" t="s">
        <v>2594</v>
      </c>
      <c r="G70" t="s">
        <v>2595</v>
      </c>
      <c r="K70" t="s">
        <v>2596</v>
      </c>
      <c r="L70" t="s">
        <v>2597</v>
      </c>
      <c r="M70" t="s">
        <v>125</v>
      </c>
      <c r="N70" t="s">
        <v>2598</v>
      </c>
      <c r="O70" t="s">
        <v>2599</v>
      </c>
      <c r="P70" s="7" t="s">
        <v>2600</v>
      </c>
      <c r="Q70" t="s">
        <v>2601</v>
      </c>
      <c r="R70" t="s">
        <v>2602</v>
      </c>
      <c r="S70" t="s">
        <v>2603</v>
      </c>
      <c r="U70" t="s">
        <v>2604</v>
      </c>
      <c r="AB70" t="s">
        <v>2605</v>
      </c>
      <c r="AE70" t="s">
        <v>109</v>
      </c>
      <c r="AF70" t="s">
        <v>2606</v>
      </c>
      <c r="AG70" t="s">
        <v>2607</v>
      </c>
      <c r="AH70" t="s">
        <v>2608</v>
      </c>
      <c r="AI70" t="s">
        <v>2609</v>
      </c>
      <c r="AJ70" t="s">
        <v>2610</v>
      </c>
      <c r="AL70" t="s">
        <v>2611</v>
      </c>
      <c r="AO70" t="s">
        <v>80</v>
      </c>
      <c r="AP70" t="s">
        <v>2612</v>
      </c>
      <c r="AQ70" t="s">
        <v>82</v>
      </c>
      <c r="AR70" t="s">
        <v>83</v>
      </c>
      <c r="AS70" t="s">
        <v>115</v>
      </c>
      <c r="AT70" t="s">
        <v>84</v>
      </c>
      <c r="AU70" t="s">
        <v>2613</v>
      </c>
      <c r="AV70" t="s">
        <v>2551</v>
      </c>
      <c r="AW70" t="s">
        <v>84</v>
      </c>
      <c r="AX70" t="b">
        <v>1</v>
      </c>
      <c r="AY70" s="4">
        <f t="shared" si="10"/>
        <v>1</v>
      </c>
      <c r="AZ70" t="b">
        <v>1</v>
      </c>
      <c r="BA70" s="4">
        <f t="shared" si="11"/>
        <v>1</v>
      </c>
      <c r="BB70" t="b">
        <v>1</v>
      </c>
      <c r="BC70" s="4">
        <f t="shared" si="12"/>
        <v>1</v>
      </c>
      <c r="BD70" s="5">
        <v>1</v>
      </c>
      <c r="BE70" s="5">
        <v>1</v>
      </c>
      <c r="BF70" s="5">
        <v>1</v>
      </c>
      <c r="BG70" s="5">
        <v>1</v>
      </c>
      <c r="BH70" s="5" t="str">
        <f t="shared" si="13"/>
        <v>Yes</v>
      </c>
      <c r="BI70" t="str">
        <f t="shared" si="14"/>
        <v>Yes</v>
      </c>
      <c r="BJ70" s="5">
        <v>1</v>
      </c>
      <c r="BK70" t="s">
        <v>2959</v>
      </c>
    </row>
    <row r="71" spans="1:63" ht="17" x14ac:dyDescent="0.2">
      <c r="A71">
        <v>116</v>
      </c>
      <c r="B71" t="s">
        <v>2118</v>
      </c>
      <c r="C71" t="s">
        <v>2119</v>
      </c>
      <c r="D71" t="s">
        <v>2120</v>
      </c>
      <c r="E71" s="4" t="s">
        <v>2121</v>
      </c>
      <c r="F71" t="s">
        <v>1879</v>
      </c>
      <c r="G71" t="s">
        <v>2122</v>
      </c>
      <c r="H71">
        <v>11</v>
      </c>
      <c r="I71" t="s">
        <v>152</v>
      </c>
      <c r="K71" t="s">
        <v>2123</v>
      </c>
      <c r="L71" t="s">
        <v>2124</v>
      </c>
      <c r="M71" t="s">
        <v>60</v>
      </c>
      <c r="N71" t="s">
        <v>558</v>
      </c>
      <c r="O71" t="s">
        <v>2125</v>
      </c>
      <c r="P71" t="s">
        <v>2126</v>
      </c>
      <c r="Q71" t="s">
        <v>2127</v>
      </c>
      <c r="R71" t="s">
        <v>2128</v>
      </c>
      <c r="S71" t="s">
        <v>2129</v>
      </c>
      <c r="T71" t="s">
        <v>2130</v>
      </c>
      <c r="U71" t="s">
        <v>2131</v>
      </c>
      <c r="Z71" t="s">
        <v>2132</v>
      </c>
      <c r="AA71" t="s">
        <v>2133</v>
      </c>
      <c r="AB71" t="s">
        <v>2134</v>
      </c>
      <c r="AC71" t="s">
        <v>2135</v>
      </c>
      <c r="AE71" t="s">
        <v>424</v>
      </c>
      <c r="AK71">
        <v>18688071</v>
      </c>
      <c r="AO71" t="s">
        <v>80</v>
      </c>
      <c r="AP71" t="s">
        <v>2136</v>
      </c>
      <c r="AQ71" t="s">
        <v>245</v>
      </c>
      <c r="AR71" t="s">
        <v>83</v>
      </c>
      <c r="AT71" t="s">
        <v>84</v>
      </c>
      <c r="AU71" t="s">
        <v>2137</v>
      </c>
      <c r="AV71" t="s">
        <v>86</v>
      </c>
      <c r="AW71" t="s">
        <v>84</v>
      </c>
      <c r="AX71" t="s">
        <v>87</v>
      </c>
      <c r="AY71" s="4">
        <f t="shared" si="10"/>
        <v>-1</v>
      </c>
      <c r="AZ71" t="b">
        <v>1</v>
      </c>
      <c r="BA71" s="4">
        <f t="shared" si="11"/>
        <v>1</v>
      </c>
      <c r="BB71" t="s">
        <v>87</v>
      </c>
      <c r="BC71" s="4">
        <f t="shared" si="12"/>
        <v>-1</v>
      </c>
      <c r="BD71" s="5">
        <v>1</v>
      </c>
      <c r="BE71" s="5">
        <v>0</v>
      </c>
      <c r="BF71" s="5">
        <v>0</v>
      </c>
      <c r="BG71" s="5">
        <v>0</v>
      </c>
      <c r="BH71" s="5" t="str">
        <f t="shared" si="13"/>
        <v>No</v>
      </c>
      <c r="BI71" t="str">
        <f t="shared" si="14"/>
        <v>No</v>
      </c>
      <c r="BJ71" s="5">
        <v>0</v>
      </c>
      <c r="BK71" t="s">
        <v>2876</v>
      </c>
    </row>
    <row r="72" spans="1:63" ht="17" x14ac:dyDescent="0.2">
      <c r="A72">
        <v>56</v>
      </c>
      <c r="B72" t="s">
        <v>1187</v>
      </c>
      <c r="C72" t="s">
        <v>1188</v>
      </c>
      <c r="D72" t="s">
        <v>1189</v>
      </c>
      <c r="E72" s="4" t="s">
        <v>1190</v>
      </c>
      <c r="F72" t="s">
        <v>176</v>
      </c>
      <c r="G72" t="s">
        <v>1191</v>
      </c>
      <c r="K72" t="s">
        <v>1106</v>
      </c>
      <c r="L72" t="s">
        <v>1192</v>
      </c>
      <c r="M72" t="s">
        <v>280</v>
      </c>
      <c r="N72" t="s">
        <v>61</v>
      </c>
      <c r="O72" t="s">
        <v>1193</v>
      </c>
      <c r="P72" t="s">
        <v>1194</v>
      </c>
      <c r="Q72" t="s">
        <v>1195</v>
      </c>
      <c r="R72" t="s">
        <v>1196</v>
      </c>
      <c r="S72" t="s">
        <v>1197</v>
      </c>
      <c r="T72" t="s">
        <v>1198</v>
      </c>
      <c r="U72" t="s">
        <v>1199</v>
      </c>
      <c r="Z72" t="s">
        <v>1200</v>
      </c>
      <c r="AA72" t="s">
        <v>1201</v>
      </c>
      <c r="AB72" t="s">
        <v>1202</v>
      </c>
      <c r="AE72" t="s">
        <v>216</v>
      </c>
      <c r="AF72" t="s">
        <v>1203</v>
      </c>
      <c r="AG72" t="s">
        <v>1204</v>
      </c>
      <c r="AH72" t="s">
        <v>1205</v>
      </c>
      <c r="AI72" t="s">
        <v>1206</v>
      </c>
      <c r="AJ72" t="s">
        <v>1207</v>
      </c>
      <c r="AL72" t="s">
        <v>1208</v>
      </c>
      <c r="AO72" t="s">
        <v>80</v>
      </c>
      <c r="AP72" t="s">
        <v>1209</v>
      </c>
      <c r="AQ72" t="s">
        <v>82</v>
      </c>
      <c r="AR72" t="s">
        <v>83</v>
      </c>
      <c r="AT72" t="s">
        <v>84</v>
      </c>
      <c r="AU72" t="s">
        <v>1210</v>
      </c>
      <c r="AV72" t="s">
        <v>86</v>
      </c>
      <c r="AW72" t="s">
        <v>84</v>
      </c>
      <c r="AX72" t="s">
        <v>87</v>
      </c>
      <c r="AY72" s="4">
        <f t="shared" si="10"/>
        <v>-1</v>
      </c>
      <c r="AZ72" t="b">
        <v>1</v>
      </c>
      <c r="BA72" s="4">
        <f t="shared" si="11"/>
        <v>1</v>
      </c>
      <c r="BB72" t="b">
        <v>1</v>
      </c>
      <c r="BC72" s="4">
        <f t="shared" si="12"/>
        <v>1</v>
      </c>
      <c r="BD72" s="5">
        <v>1</v>
      </c>
      <c r="BE72" s="5">
        <v>0</v>
      </c>
      <c r="BF72" s="5">
        <v>0</v>
      </c>
      <c r="BG72" s="5">
        <v>0</v>
      </c>
      <c r="BH72" s="5" t="str">
        <f t="shared" si="13"/>
        <v>No</v>
      </c>
      <c r="BI72" t="str">
        <f t="shared" si="14"/>
        <v>No</v>
      </c>
      <c r="BJ72" s="5">
        <v>0</v>
      </c>
      <c r="BK72" t="s">
        <v>2870</v>
      </c>
    </row>
    <row r="73" spans="1:63" ht="17" x14ac:dyDescent="0.2">
      <c r="A73">
        <v>158</v>
      </c>
      <c r="B73" t="s">
        <v>2705</v>
      </c>
      <c r="C73" t="s">
        <v>2706</v>
      </c>
      <c r="D73" t="s">
        <v>2707</v>
      </c>
      <c r="E73" s="4" t="s">
        <v>2708</v>
      </c>
      <c r="F73" t="s">
        <v>176</v>
      </c>
      <c r="G73" t="s">
        <v>252</v>
      </c>
      <c r="H73">
        <v>1</v>
      </c>
      <c r="K73" t="s">
        <v>2709</v>
      </c>
      <c r="L73" t="s">
        <v>2710</v>
      </c>
      <c r="M73" t="s">
        <v>96</v>
      </c>
      <c r="N73" t="s">
        <v>206</v>
      </c>
      <c r="P73" t="s">
        <v>2711</v>
      </c>
      <c r="Q73" t="s">
        <v>2712</v>
      </c>
      <c r="R73" t="s">
        <v>2713</v>
      </c>
      <c r="S73" t="s">
        <v>2714</v>
      </c>
      <c r="U73" t="s">
        <v>2715</v>
      </c>
      <c r="Z73" t="s">
        <v>2716</v>
      </c>
      <c r="AA73" t="s">
        <v>2717</v>
      </c>
      <c r="AB73" t="s">
        <v>2718</v>
      </c>
      <c r="AE73" t="s">
        <v>109</v>
      </c>
      <c r="AF73" t="s">
        <v>264</v>
      </c>
      <c r="AG73" t="s">
        <v>265</v>
      </c>
      <c r="AH73" t="s">
        <v>266</v>
      </c>
      <c r="AI73" t="s">
        <v>267</v>
      </c>
      <c r="AJ73" t="s">
        <v>268</v>
      </c>
      <c r="AK73" t="s">
        <v>269</v>
      </c>
      <c r="AL73" t="s">
        <v>270</v>
      </c>
      <c r="AO73" t="s">
        <v>80</v>
      </c>
      <c r="AP73" t="s">
        <v>271</v>
      </c>
      <c r="AQ73" t="s">
        <v>82</v>
      </c>
      <c r="AR73" t="s">
        <v>83</v>
      </c>
      <c r="AT73" t="s">
        <v>84</v>
      </c>
      <c r="AU73" t="s">
        <v>2719</v>
      </c>
      <c r="AV73" t="s">
        <v>2635</v>
      </c>
      <c r="AW73" t="s">
        <v>84</v>
      </c>
      <c r="AX73" t="b">
        <v>1</v>
      </c>
      <c r="AY73" s="4">
        <f t="shared" si="10"/>
        <v>1</v>
      </c>
      <c r="AZ73" t="b">
        <v>1</v>
      </c>
      <c r="BA73" s="4">
        <f t="shared" si="11"/>
        <v>1</v>
      </c>
      <c r="BB73" t="b">
        <v>1</v>
      </c>
      <c r="BC73" s="4">
        <f t="shared" si="12"/>
        <v>1</v>
      </c>
      <c r="BD73" s="5">
        <v>1</v>
      </c>
      <c r="BE73" s="5">
        <v>1</v>
      </c>
      <c r="BF73" s="5">
        <v>0</v>
      </c>
      <c r="BG73" s="5">
        <v>0</v>
      </c>
      <c r="BH73" s="5" t="str">
        <f t="shared" si="13"/>
        <v>No</v>
      </c>
      <c r="BI73" t="str">
        <f t="shared" si="14"/>
        <v>No</v>
      </c>
      <c r="BJ73" s="5">
        <v>0</v>
      </c>
      <c r="BK73" t="s">
        <v>2849</v>
      </c>
    </row>
    <row r="74" spans="1:63" ht="17" x14ac:dyDescent="0.2">
      <c r="A74">
        <v>130</v>
      </c>
      <c r="B74" t="s">
        <v>553</v>
      </c>
      <c r="C74" t="s">
        <v>554</v>
      </c>
      <c r="D74" t="s">
        <v>555</v>
      </c>
      <c r="E74" s="4" t="s">
        <v>2261</v>
      </c>
      <c r="F74" t="s">
        <v>146</v>
      </c>
      <c r="G74" t="s">
        <v>229</v>
      </c>
      <c r="H74">
        <v>10</v>
      </c>
      <c r="K74" t="s">
        <v>231</v>
      </c>
      <c r="L74" t="s">
        <v>1881</v>
      </c>
      <c r="M74" t="s">
        <v>1972</v>
      </c>
      <c r="N74" t="s">
        <v>61</v>
      </c>
      <c r="O74" t="s">
        <v>2262</v>
      </c>
      <c r="P74" s="7" t="s">
        <v>2263</v>
      </c>
      <c r="Q74" t="s">
        <v>2264</v>
      </c>
      <c r="R74" t="s">
        <v>2265</v>
      </c>
      <c r="S74" t="s">
        <v>2266</v>
      </c>
      <c r="T74" t="s">
        <v>2267</v>
      </c>
      <c r="U74" t="s">
        <v>2268</v>
      </c>
      <c r="Z74" t="s">
        <v>2269</v>
      </c>
      <c r="AA74" t="s">
        <v>2270</v>
      </c>
      <c r="AB74" t="s">
        <v>2271</v>
      </c>
      <c r="AC74" t="s">
        <v>2272</v>
      </c>
      <c r="AE74" t="s">
        <v>243</v>
      </c>
      <c r="AK74">
        <v>23765992</v>
      </c>
      <c r="AO74" t="s">
        <v>80</v>
      </c>
      <c r="AP74" t="s">
        <v>244</v>
      </c>
      <c r="AQ74" t="s">
        <v>245</v>
      </c>
      <c r="AR74" t="s">
        <v>83</v>
      </c>
      <c r="AS74" t="s">
        <v>246</v>
      </c>
      <c r="AT74" t="s">
        <v>84</v>
      </c>
      <c r="AU74" t="s">
        <v>2273</v>
      </c>
      <c r="AV74" t="s">
        <v>2260</v>
      </c>
      <c r="AW74" t="s">
        <v>84</v>
      </c>
      <c r="AX74" t="s">
        <v>87</v>
      </c>
      <c r="AY74" s="4">
        <f t="shared" si="10"/>
        <v>-1</v>
      </c>
      <c r="AZ74" t="b">
        <v>1</v>
      </c>
      <c r="BA74" s="4">
        <f t="shared" si="11"/>
        <v>1</v>
      </c>
      <c r="BB74" t="b">
        <v>1</v>
      </c>
      <c r="BC74" s="4">
        <f t="shared" si="12"/>
        <v>1</v>
      </c>
      <c r="BD74" s="5">
        <v>1</v>
      </c>
      <c r="BE74" s="5">
        <v>0</v>
      </c>
      <c r="BF74" s="5">
        <v>1</v>
      </c>
      <c r="BG74" s="5">
        <v>1</v>
      </c>
      <c r="BH74" s="6" t="str">
        <f t="shared" si="13"/>
        <v>Yes</v>
      </c>
      <c r="BI74" t="str">
        <f t="shared" si="14"/>
        <v>Yes</v>
      </c>
      <c r="BJ74" s="5">
        <v>1</v>
      </c>
      <c r="BK74" t="s">
        <v>2871</v>
      </c>
    </row>
    <row r="75" spans="1:63" ht="17" x14ac:dyDescent="0.2">
      <c r="A75">
        <v>135</v>
      </c>
      <c r="B75" t="s">
        <v>2355</v>
      </c>
      <c r="C75" t="s">
        <v>2356</v>
      </c>
      <c r="D75" t="s">
        <v>2357</v>
      </c>
      <c r="E75" s="4" t="s">
        <v>2358</v>
      </c>
      <c r="F75" t="s">
        <v>92</v>
      </c>
      <c r="G75" t="s">
        <v>608</v>
      </c>
      <c r="H75">
        <v>256</v>
      </c>
      <c r="J75" t="s">
        <v>2359</v>
      </c>
      <c r="N75" t="s">
        <v>343</v>
      </c>
      <c r="O75" t="s">
        <v>2360</v>
      </c>
      <c r="P75" t="s">
        <v>2361</v>
      </c>
      <c r="Q75" t="s">
        <v>2362</v>
      </c>
      <c r="R75" t="s">
        <v>2363</v>
      </c>
      <c r="S75" t="s">
        <v>2364</v>
      </c>
      <c r="T75" t="s">
        <v>2365</v>
      </c>
      <c r="U75" t="s">
        <v>2366</v>
      </c>
      <c r="Z75" t="s">
        <v>2367</v>
      </c>
      <c r="AA75" t="s">
        <v>2368</v>
      </c>
      <c r="AB75" t="s">
        <v>2369</v>
      </c>
      <c r="AC75" t="s">
        <v>2370</v>
      </c>
      <c r="AE75" t="s">
        <v>620</v>
      </c>
      <c r="AK75">
        <v>9507051</v>
      </c>
      <c r="AM75" t="s">
        <v>621</v>
      </c>
      <c r="AO75" t="s">
        <v>80</v>
      </c>
      <c r="AP75" t="s">
        <v>622</v>
      </c>
      <c r="AQ75" t="s">
        <v>245</v>
      </c>
      <c r="AR75" t="s">
        <v>83</v>
      </c>
      <c r="AT75" t="s">
        <v>84</v>
      </c>
      <c r="AU75" t="s">
        <v>2371</v>
      </c>
      <c r="AV75" t="s">
        <v>2313</v>
      </c>
      <c r="AW75" t="s">
        <v>84</v>
      </c>
      <c r="AX75" t="s">
        <v>87</v>
      </c>
      <c r="AY75" s="4">
        <f t="shared" si="10"/>
        <v>-1</v>
      </c>
      <c r="AZ75" t="b">
        <v>1</v>
      </c>
      <c r="BA75" s="4">
        <f t="shared" si="11"/>
        <v>1</v>
      </c>
      <c r="BB75" t="s">
        <v>87</v>
      </c>
      <c r="BC75" s="4">
        <f t="shared" si="12"/>
        <v>-1</v>
      </c>
      <c r="BD75" s="5">
        <v>1</v>
      </c>
      <c r="BE75" s="5">
        <v>1</v>
      </c>
      <c r="BF75" s="5">
        <v>0</v>
      </c>
      <c r="BG75" s="5">
        <v>0</v>
      </c>
      <c r="BH75" s="5" t="str">
        <f t="shared" si="13"/>
        <v>No</v>
      </c>
      <c r="BI75" t="str">
        <f t="shared" si="14"/>
        <v>No</v>
      </c>
      <c r="BJ75" s="5">
        <v>0</v>
      </c>
      <c r="BK75" t="s">
        <v>2879</v>
      </c>
    </row>
    <row r="76" spans="1:63" ht="17" x14ac:dyDescent="0.2">
      <c r="A76">
        <v>91</v>
      </c>
      <c r="B76" t="s">
        <v>1706</v>
      </c>
      <c r="C76" t="s">
        <v>1707</v>
      </c>
      <c r="D76" t="s">
        <v>1708</v>
      </c>
      <c r="E76" s="4" t="s">
        <v>1709</v>
      </c>
      <c r="F76" t="s">
        <v>92</v>
      </c>
      <c r="G76" t="s">
        <v>1710</v>
      </c>
      <c r="K76" t="s">
        <v>1711</v>
      </c>
      <c r="L76" t="s">
        <v>1712</v>
      </c>
      <c r="M76" t="s">
        <v>125</v>
      </c>
      <c r="N76" t="s">
        <v>1713</v>
      </c>
      <c r="O76" t="s">
        <v>1714</v>
      </c>
      <c r="P76" s="7" t="s">
        <v>1715</v>
      </c>
      <c r="Q76" t="s">
        <v>1716</v>
      </c>
      <c r="R76" t="s">
        <v>1717</v>
      </c>
      <c r="S76" t="s">
        <v>1718</v>
      </c>
      <c r="T76" t="s">
        <v>1719</v>
      </c>
      <c r="U76" t="s">
        <v>1720</v>
      </c>
      <c r="Z76" t="s">
        <v>1721</v>
      </c>
      <c r="AA76" t="s">
        <v>1722</v>
      </c>
      <c r="AB76" t="s">
        <v>1723</v>
      </c>
      <c r="AC76" t="s">
        <v>1724</v>
      </c>
      <c r="AE76" t="s">
        <v>354</v>
      </c>
      <c r="AF76" t="s">
        <v>1725</v>
      </c>
      <c r="AG76" t="s">
        <v>1726</v>
      </c>
      <c r="AH76" t="s">
        <v>1727</v>
      </c>
      <c r="AI76" t="s">
        <v>404</v>
      </c>
      <c r="AJ76" t="s">
        <v>1728</v>
      </c>
      <c r="AL76" t="s">
        <v>1729</v>
      </c>
      <c r="AO76" t="s">
        <v>80</v>
      </c>
      <c r="AP76" t="s">
        <v>1730</v>
      </c>
      <c r="AQ76" t="s">
        <v>82</v>
      </c>
      <c r="AR76" t="s">
        <v>83</v>
      </c>
      <c r="AS76" t="s">
        <v>1185</v>
      </c>
      <c r="AT76" t="s">
        <v>84</v>
      </c>
      <c r="AU76" t="s">
        <v>1731</v>
      </c>
      <c r="AV76" t="s">
        <v>86</v>
      </c>
      <c r="AW76" t="s">
        <v>84</v>
      </c>
      <c r="AX76" t="b">
        <v>1</v>
      </c>
      <c r="AY76" s="4">
        <f t="shared" si="10"/>
        <v>1</v>
      </c>
      <c r="AZ76" t="s">
        <v>87</v>
      </c>
      <c r="BA76" s="4">
        <f t="shared" si="11"/>
        <v>-1</v>
      </c>
      <c r="BB76" t="b">
        <v>1</v>
      </c>
      <c r="BC76" s="4">
        <f t="shared" si="12"/>
        <v>1</v>
      </c>
      <c r="BD76" s="5">
        <v>1</v>
      </c>
      <c r="BE76" s="5">
        <v>1</v>
      </c>
      <c r="BF76" s="5">
        <v>1</v>
      </c>
      <c r="BG76" s="5">
        <v>1</v>
      </c>
      <c r="BH76" s="5" t="str">
        <f t="shared" si="13"/>
        <v>Yes</v>
      </c>
      <c r="BI76" t="str">
        <f t="shared" si="14"/>
        <v>Yes</v>
      </c>
      <c r="BJ76" s="5">
        <v>1</v>
      </c>
      <c r="BK76" t="s">
        <v>2844</v>
      </c>
    </row>
    <row r="77" spans="1:63" ht="17" x14ac:dyDescent="0.2">
      <c r="A77">
        <v>160</v>
      </c>
      <c r="B77" t="s">
        <v>2738</v>
      </c>
      <c r="C77" t="s">
        <v>2739</v>
      </c>
      <c r="D77" t="s">
        <v>2740</v>
      </c>
      <c r="E77" s="4" t="s">
        <v>2741</v>
      </c>
      <c r="F77" t="s">
        <v>2742</v>
      </c>
      <c r="G77" t="s">
        <v>2743</v>
      </c>
      <c r="H77" t="s">
        <v>2744</v>
      </c>
      <c r="K77" t="s">
        <v>2745</v>
      </c>
      <c r="L77" t="s">
        <v>2746</v>
      </c>
      <c r="M77" t="s">
        <v>745</v>
      </c>
      <c r="N77" t="s">
        <v>1402</v>
      </c>
      <c r="P77" s="7" t="s">
        <v>2747</v>
      </c>
      <c r="Q77" t="s">
        <v>2748</v>
      </c>
      <c r="R77" t="s">
        <v>2749</v>
      </c>
      <c r="S77" t="s">
        <v>2750</v>
      </c>
      <c r="U77" t="s">
        <v>2751</v>
      </c>
      <c r="Z77" t="s">
        <v>2752</v>
      </c>
      <c r="AA77" t="s">
        <v>2753</v>
      </c>
      <c r="AB77" t="s">
        <v>2754</v>
      </c>
      <c r="AD77" t="s">
        <v>2755</v>
      </c>
      <c r="AE77" t="s">
        <v>2756</v>
      </c>
      <c r="AG77" t="s">
        <v>2757</v>
      </c>
      <c r="AH77" t="s">
        <v>2758</v>
      </c>
      <c r="AI77" t="s">
        <v>2759</v>
      </c>
      <c r="AJ77" t="s">
        <v>2760</v>
      </c>
      <c r="AK77">
        <v>10495258</v>
      </c>
      <c r="AO77" t="s">
        <v>80</v>
      </c>
      <c r="AP77" t="s">
        <v>2761</v>
      </c>
      <c r="AQ77" t="s">
        <v>82</v>
      </c>
      <c r="AR77" t="s">
        <v>83</v>
      </c>
      <c r="AT77" t="s">
        <v>84</v>
      </c>
      <c r="AU77" t="s">
        <v>2762</v>
      </c>
      <c r="AV77" t="s">
        <v>2635</v>
      </c>
      <c r="AW77" t="s">
        <v>84</v>
      </c>
      <c r="AX77" t="b">
        <v>1</v>
      </c>
      <c r="AY77" s="4">
        <f t="shared" si="10"/>
        <v>1</v>
      </c>
      <c r="AZ77" t="s">
        <v>87</v>
      </c>
      <c r="BA77" s="4">
        <f t="shared" si="11"/>
        <v>-1</v>
      </c>
      <c r="BB77" t="s">
        <v>87</v>
      </c>
      <c r="BC77" s="4">
        <f t="shared" si="12"/>
        <v>-1</v>
      </c>
      <c r="BD77" s="5">
        <v>1</v>
      </c>
      <c r="BE77" s="5">
        <v>1</v>
      </c>
      <c r="BF77" s="5">
        <v>1</v>
      </c>
      <c r="BG77" s="5">
        <v>0</v>
      </c>
      <c r="BH77" s="5" t="str">
        <f t="shared" si="13"/>
        <v>No</v>
      </c>
      <c r="BI77" t="str">
        <f t="shared" si="14"/>
        <v>Yes</v>
      </c>
      <c r="BJ77" s="5">
        <v>1</v>
      </c>
      <c r="BK77" t="s">
        <v>2954</v>
      </c>
    </row>
    <row r="78" spans="1:63" ht="17" x14ac:dyDescent="0.2">
      <c r="A78">
        <v>138</v>
      </c>
      <c r="B78" t="s">
        <v>2413</v>
      </c>
      <c r="C78" t="s">
        <v>2414</v>
      </c>
      <c r="D78" t="s">
        <v>2415</v>
      </c>
      <c r="E78" s="4" t="s">
        <v>2416</v>
      </c>
      <c r="F78" t="s">
        <v>146</v>
      </c>
      <c r="G78" t="s">
        <v>2417</v>
      </c>
      <c r="H78" t="s">
        <v>2418</v>
      </c>
      <c r="K78" t="s">
        <v>2028</v>
      </c>
      <c r="L78" t="s">
        <v>888</v>
      </c>
      <c r="M78" t="s">
        <v>558</v>
      </c>
      <c r="N78" t="s">
        <v>231</v>
      </c>
      <c r="O78" t="s">
        <v>2419</v>
      </c>
      <c r="P78" s="7" t="s">
        <v>2420</v>
      </c>
      <c r="Q78" t="s">
        <v>2421</v>
      </c>
      <c r="R78" t="s">
        <v>2422</v>
      </c>
      <c r="S78" t="s">
        <v>2423</v>
      </c>
      <c r="T78" t="s">
        <v>2424</v>
      </c>
      <c r="U78" t="s">
        <v>2425</v>
      </c>
      <c r="AB78" t="s">
        <v>2426</v>
      </c>
      <c r="AC78" t="s">
        <v>2427</v>
      </c>
      <c r="AD78" t="s">
        <v>2428</v>
      </c>
      <c r="AE78" t="s">
        <v>74</v>
      </c>
      <c r="AG78" t="s">
        <v>2429</v>
      </c>
      <c r="AH78" t="s">
        <v>2430</v>
      </c>
      <c r="AI78" t="s">
        <v>2431</v>
      </c>
      <c r="AJ78" t="s">
        <v>2432</v>
      </c>
      <c r="AK78">
        <v>18651348</v>
      </c>
      <c r="AL78" t="s">
        <v>2433</v>
      </c>
      <c r="AO78" t="s">
        <v>80</v>
      </c>
      <c r="AP78" t="s">
        <v>2434</v>
      </c>
      <c r="AQ78" t="s">
        <v>82</v>
      </c>
      <c r="AR78" t="s">
        <v>83</v>
      </c>
      <c r="AT78" t="s">
        <v>84</v>
      </c>
      <c r="AU78" t="s">
        <v>2435</v>
      </c>
      <c r="AV78" t="s">
        <v>2313</v>
      </c>
      <c r="AW78" t="s">
        <v>84</v>
      </c>
      <c r="AX78" t="s">
        <v>87</v>
      </c>
      <c r="AY78" s="4">
        <f t="shared" si="10"/>
        <v>-1</v>
      </c>
      <c r="AZ78" t="b">
        <v>1</v>
      </c>
      <c r="BA78" s="4">
        <f t="shared" si="11"/>
        <v>1</v>
      </c>
      <c r="BB78" t="s">
        <v>87</v>
      </c>
      <c r="BC78" s="4">
        <f t="shared" si="12"/>
        <v>-1</v>
      </c>
      <c r="BD78" s="5">
        <v>1</v>
      </c>
      <c r="BE78" s="5">
        <v>1</v>
      </c>
      <c r="BF78" s="5">
        <v>1</v>
      </c>
      <c r="BG78" s="5">
        <v>-1</v>
      </c>
      <c r="BH78" s="5" t="str">
        <f t="shared" si="13"/>
        <v>Doubt</v>
      </c>
      <c r="BI78" t="str">
        <f t="shared" si="14"/>
        <v>Yes</v>
      </c>
      <c r="BJ78" s="5">
        <v>1</v>
      </c>
      <c r="BK78" t="s">
        <v>2880</v>
      </c>
    </row>
    <row r="79" spans="1:63" ht="17" x14ac:dyDescent="0.2">
      <c r="A79">
        <v>23</v>
      </c>
      <c r="B79" t="s">
        <v>584</v>
      </c>
      <c r="C79" t="s">
        <v>585</v>
      </c>
      <c r="D79" t="s">
        <v>586</v>
      </c>
      <c r="E79" s="4" t="s">
        <v>587</v>
      </c>
      <c r="F79" t="s">
        <v>146</v>
      </c>
      <c r="G79" t="s">
        <v>588</v>
      </c>
      <c r="H79">
        <v>24</v>
      </c>
      <c r="I79" t="s">
        <v>231</v>
      </c>
      <c r="J79">
        <v>205</v>
      </c>
      <c r="N79" t="s">
        <v>61</v>
      </c>
      <c r="O79" t="s">
        <v>589</v>
      </c>
      <c r="P79" t="s">
        <v>590</v>
      </c>
      <c r="Q79" t="s">
        <v>591</v>
      </c>
      <c r="R79" t="s">
        <v>592</v>
      </c>
      <c r="S79" t="s">
        <v>593</v>
      </c>
      <c r="T79" t="s">
        <v>594</v>
      </c>
      <c r="U79" t="s">
        <v>595</v>
      </c>
      <c r="Z79" t="s">
        <v>596</v>
      </c>
      <c r="AA79" t="s">
        <v>597</v>
      </c>
      <c r="AB79" t="s">
        <v>598</v>
      </c>
      <c r="AC79" t="s">
        <v>599</v>
      </c>
      <c r="AE79" t="s">
        <v>600</v>
      </c>
      <c r="AK79">
        <v>14726947</v>
      </c>
      <c r="AN79" t="s">
        <v>601</v>
      </c>
      <c r="AO79" t="s">
        <v>80</v>
      </c>
      <c r="AP79" t="s">
        <v>602</v>
      </c>
      <c r="AQ79" t="s">
        <v>245</v>
      </c>
      <c r="AR79" t="s">
        <v>83</v>
      </c>
      <c r="AS79" t="s">
        <v>246</v>
      </c>
      <c r="AT79" t="s">
        <v>84</v>
      </c>
      <c r="AU79" t="s">
        <v>603</v>
      </c>
      <c r="AV79" t="s">
        <v>86</v>
      </c>
      <c r="AW79" t="s">
        <v>84</v>
      </c>
      <c r="AX79" t="s">
        <v>87</v>
      </c>
      <c r="AY79" s="4">
        <f t="shared" si="10"/>
        <v>-1</v>
      </c>
      <c r="AZ79" t="s">
        <v>87</v>
      </c>
      <c r="BA79" s="4">
        <f t="shared" si="11"/>
        <v>-1</v>
      </c>
      <c r="BB79" t="s">
        <v>87</v>
      </c>
      <c r="BC79" s="4">
        <f t="shared" si="12"/>
        <v>-1</v>
      </c>
      <c r="BD79" s="5">
        <v>1</v>
      </c>
      <c r="BE79" s="5">
        <v>0</v>
      </c>
      <c r="BF79" s="5">
        <v>0</v>
      </c>
      <c r="BG79" s="5">
        <v>0</v>
      </c>
      <c r="BH79" s="9" t="str">
        <f t="shared" si="13"/>
        <v>No</v>
      </c>
      <c r="BI79" t="str">
        <f t="shared" si="14"/>
        <v>No</v>
      </c>
      <c r="BJ79" s="5">
        <v>0</v>
      </c>
      <c r="BK79" t="s">
        <v>2863</v>
      </c>
    </row>
    <row r="80" spans="1:63" ht="17" x14ac:dyDescent="0.2">
      <c r="A80">
        <v>8</v>
      </c>
      <c r="B80" t="s">
        <v>273</v>
      </c>
      <c r="C80" t="s">
        <v>274</v>
      </c>
      <c r="D80" t="s">
        <v>275</v>
      </c>
      <c r="E80" s="4" t="s">
        <v>276</v>
      </c>
      <c r="F80" t="s">
        <v>146</v>
      </c>
      <c r="G80" t="s">
        <v>277</v>
      </c>
      <c r="K80" t="s">
        <v>278</v>
      </c>
      <c r="L80" t="s">
        <v>279</v>
      </c>
      <c r="M80" t="s">
        <v>280</v>
      </c>
      <c r="N80" t="s">
        <v>61</v>
      </c>
      <c r="O80" t="s">
        <v>281</v>
      </c>
      <c r="P80" s="7" t="s">
        <v>282</v>
      </c>
      <c r="Q80" t="s">
        <v>283</v>
      </c>
      <c r="R80" t="s">
        <v>284</v>
      </c>
      <c r="S80" t="s">
        <v>285</v>
      </c>
      <c r="T80" t="s">
        <v>286</v>
      </c>
      <c r="U80" t="s">
        <v>287</v>
      </c>
      <c r="AB80" t="s">
        <v>288</v>
      </c>
      <c r="AC80" t="s">
        <v>289</v>
      </c>
      <c r="AE80" t="s">
        <v>216</v>
      </c>
      <c r="AF80" t="s">
        <v>217</v>
      </c>
      <c r="AG80" t="s">
        <v>290</v>
      </c>
      <c r="AH80" t="s">
        <v>291</v>
      </c>
      <c r="AI80" t="s">
        <v>292</v>
      </c>
      <c r="AJ80" t="s">
        <v>293</v>
      </c>
      <c r="AL80" t="s">
        <v>294</v>
      </c>
      <c r="AO80" t="s">
        <v>80</v>
      </c>
      <c r="AP80" t="s">
        <v>295</v>
      </c>
      <c r="AQ80" t="s">
        <v>82</v>
      </c>
      <c r="AR80" t="s">
        <v>83</v>
      </c>
      <c r="AT80" t="s">
        <v>84</v>
      </c>
      <c r="AU80" t="s">
        <v>296</v>
      </c>
      <c r="AV80" t="s">
        <v>86</v>
      </c>
      <c r="AW80" t="s">
        <v>84</v>
      </c>
      <c r="AX80" t="b">
        <v>1</v>
      </c>
      <c r="AY80" s="4">
        <f t="shared" si="10"/>
        <v>1</v>
      </c>
      <c r="AZ80" t="b">
        <v>1</v>
      </c>
      <c r="BA80" s="4">
        <f t="shared" si="11"/>
        <v>1</v>
      </c>
      <c r="BB80" t="b">
        <v>1</v>
      </c>
      <c r="BC80" s="4">
        <f t="shared" si="12"/>
        <v>1</v>
      </c>
      <c r="BD80" s="5">
        <v>1</v>
      </c>
      <c r="BE80" s="5">
        <v>1</v>
      </c>
      <c r="BF80" s="5">
        <v>1</v>
      </c>
      <c r="BG80" s="5">
        <v>0</v>
      </c>
      <c r="BH80" s="8" t="str">
        <f t="shared" si="13"/>
        <v>No</v>
      </c>
      <c r="BI80" t="str">
        <f t="shared" si="14"/>
        <v>Yes</v>
      </c>
      <c r="BJ80" s="5">
        <v>1</v>
      </c>
      <c r="BK80" t="s">
        <v>2892</v>
      </c>
    </row>
    <row r="81" spans="1:63" ht="17" x14ac:dyDescent="0.2">
      <c r="A81">
        <v>25</v>
      </c>
      <c r="B81" t="s">
        <v>604</v>
      </c>
      <c r="C81" t="s">
        <v>605</v>
      </c>
      <c r="D81" t="s">
        <v>606</v>
      </c>
      <c r="E81" s="4" t="s">
        <v>607</v>
      </c>
      <c r="F81" t="s">
        <v>92</v>
      </c>
      <c r="G81" t="s">
        <v>608</v>
      </c>
      <c r="H81">
        <v>235</v>
      </c>
      <c r="J81">
        <v>107584</v>
      </c>
      <c r="N81" t="s">
        <v>558</v>
      </c>
      <c r="O81" t="s">
        <v>609</v>
      </c>
      <c r="P81" s="7" t="s">
        <v>610</v>
      </c>
      <c r="Q81" t="s">
        <v>611</v>
      </c>
      <c r="R81" t="s">
        <v>612</v>
      </c>
      <c r="S81" t="s">
        <v>613</v>
      </c>
      <c r="T81" t="s">
        <v>614</v>
      </c>
      <c r="U81" t="s">
        <v>615</v>
      </c>
      <c r="Z81" t="s">
        <v>616</v>
      </c>
      <c r="AA81" t="s">
        <v>617</v>
      </c>
      <c r="AB81" t="s">
        <v>618</v>
      </c>
      <c r="AC81" t="s">
        <v>619</v>
      </c>
      <c r="AE81" t="s">
        <v>620</v>
      </c>
      <c r="AK81">
        <v>9507051</v>
      </c>
      <c r="AM81" t="s">
        <v>621</v>
      </c>
      <c r="AO81" t="s">
        <v>80</v>
      </c>
      <c r="AP81" t="s">
        <v>622</v>
      </c>
      <c r="AQ81" t="s">
        <v>245</v>
      </c>
      <c r="AR81" t="s">
        <v>83</v>
      </c>
      <c r="AT81" t="s">
        <v>84</v>
      </c>
      <c r="AU81" t="s">
        <v>623</v>
      </c>
      <c r="AV81" t="s">
        <v>86</v>
      </c>
      <c r="AW81" t="s">
        <v>84</v>
      </c>
      <c r="AX81" t="s">
        <v>87</v>
      </c>
      <c r="AY81" s="4">
        <f t="shared" si="10"/>
        <v>-1</v>
      </c>
      <c r="AZ81" t="b">
        <v>1</v>
      </c>
      <c r="BA81" s="4">
        <f t="shared" si="11"/>
        <v>1</v>
      </c>
      <c r="BB81" t="s">
        <v>87</v>
      </c>
      <c r="BC81" s="4">
        <f t="shared" si="12"/>
        <v>-1</v>
      </c>
      <c r="BD81" s="5">
        <v>1</v>
      </c>
      <c r="BE81" s="5">
        <v>1</v>
      </c>
      <c r="BF81" s="5">
        <v>1</v>
      </c>
      <c r="BG81" s="5">
        <v>0</v>
      </c>
      <c r="BH81" s="5" t="str">
        <f t="shared" si="13"/>
        <v>No</v>
      </c>
      <c r="BI81" t="str">
        <f t="shared" si="14"/>
        <v>Yes</v>
      </c>
      <c r="BJ81" s="5">
        <v>1</v>
      </c>
      <c r="BK81" t="s">
        <v>2878</v>
      </c>
    </row>
    <row r="82" spans="1:63" ht="17" x14ac:dyDescent="0.2">
      <c r="A82">
        <v>63</v>
      </c>
      <c r="B82" t="s">
        <v>1304</v>
      </c>
      <c r="C82" t="s">
        <v>1305</v>
      </c>
      <c r="D82" t="s">
        <v>1306</v>
      </c>
      <c r="E82" s="4" t="s">
        <v>1307</v>
      </c>
      <c r="F82" t="s">
        <v>146</v>
      </c>
      <c r="G82" t="s">
        <v>1308</v>
      </c>
      <c r="K82" t="s">
        <v>1309</v>
      </c>
      <c r="L82" t="s">
        <v>1310</v>
      </c>
      <c r="M82" t="s">
        <v>151</v>
      </c>
      <c r="N82" t="s">
        <v>280</v>
      </c>
      <c r="P82" s="7" t="s">
        <v>1311</v>
      </c>
      <c r="Q82" t="s">
        <v>1312</v>
      </c>
      <c r="R82" t="s">
        <v>1313</v>
      </c>
      <c r="S82" t="s">
        <v>1314</v>
      </c>
      <c r="U82" t="s">
        <v>1315</v>
      </c>
      <c r="Z82" t="s">
        <v>1316</v>
      </c>
      <c r="AA82" t="s">
        <v>1317</v>
      </c>
      <c r="AB82" t="s">
        <v>1318</v>
      </c>
      <c r="AC82" t="s">
        <v>1319</v>
      </c>
      <c r="AD82" t="s">
        <v>1320</v>
      </c>
      <c r="AE82" t="s">
        <v>1321</v>
      </c>
      <c r="AF82" t="s">
        <v>1322</v>
      </c>
      <c r="AG82" t="s">
        <v>1323</v>
      </c>
      <c r="AH82" t="s">
        <v>1324</v>
      </c>
      <c r="AI82" t="s">
        <v>1325</v>
      </c>
      <c r="AJ82" t="s">
        <v>1326</v>
      </c>
      <c r="AK82">
        <v>10450823</v>
      </c>
      <c r="AL82" t="s">
        <v>1327</v>
      </c>
      <c r="AO82" t="s">
        <v>80</v>
      </c>
      <c r="AP82" t="s">
        <v>1328</v>
      </c>
      <c r="AQ82" t="s">
        <v>82</v>
      </c>
      <c r="AR82" t="s">
        <v>83</v>
      </c>
      <c r="AT82" t="s">
        <v>84</v>
      </c>
      <c r="AU82" t="s">
        <v>1329</v>
      </c>
      <c r="AV82" t="s">
        <v>86</v>
      </c>
      <c r="AW82" t="s">
        <v>84</v>
      </c>
      <c r="AX82" t="b">
        <v>1</v>
      </c>
      <c r="AY82" s="4">
        <f t="shared" si="10"/>
        <v>1</v>
      </c>
      <c r="AZ82" t="s">
        <v>87</v>
      </c>
      <c r="BA82" s="4">
        <f t="shared" si="11"/>
        <v>-1</v>
      </c>
      <c r="BB82" t="b">
        <v>1</v>
      </c>
      <c r="BC82" s="4">
        <f t="shared" si="12"/>
        <v>1</v>
      </c>
      <c r="BD82" s="5">
        <v>1</v>
      </c>
      <c r="BE82" s="5">
        <v>1</v>
      </c>
      <c r="BF82" s="5">
        <v>1</v>
      </c>
      <c r="BG82" s="5">
        <v>1</v>
      </c>
      <c r="BH82" s="8" t="str">
        <f t="shared" si="13"/>
        <v>Yes</v>
      </c>
      <c r="BI82" t="str">
        <f t="shared" si="14"/>
        <v>Yes</v>
      </c>
      <c r="BJ82" s="5">
        <v>1</v>
      </c>
      <c r="BK82" t="s">
        <v>2838</v>
      </c>
    </row>
    <row r="83" spans="1:63" ht="17" x14ac:dyDescent="0.2">
      <c r="A83">
        <v>99</v>
      </c>
      <c r="B83" t="s">
        <v>1842</v>
      </c>
      <c r="C83" t="s">
        <v>1843</v>
      </c>
      <c r="D83" t="s">
        <v>1844</v>
      </c>
      <c r="E83" s="4" t="s">
        <v>1845</v>
      </c>
      <c r="F83" t="s">
        <v>146</v>
      </c>
      <c r="G83" t="s">
        <v>923</v>
      </c>
      <c r="K83" t="s">
        <v>1846</v>
      </c>
      <c r="L83" t="s">
        <v>1847</v>
      </c>
      <c r="M83" t="s">
        <v>558</v>
      </c>
      <c r="N83" t="s">
        <v>152</v>
      </c>
      <c r="P83" s="7" t="s">
        <v>1848</v>
      </c>
      <c r="Q83" t="s">
        <v>1849</v>
      </c>
      <c r="R83" t="s">
        <v>1850</v>
      </c>
      <c r="S83" t="s">
        <v>1851</v>
      </c>
      <c r="T83" t="s">
        <v>1852</v>
      </c>
      <c r="U83" t="s">
        <v>1853</v>
      </c>
      <c r="Z83" t="s">
        <v>1854</v>
      </c>
      <c r="AA83" t="s">
        <v>1855</v>
      </c>
      <c r="AB83" t="s">
        <v>1856</v>
      </c>
      <c r="AD83" t="s">
        <v>937</v>
      </c>
      <c r="AE83" t="s">
        <v>938</v>
      </c>
      <c r="AF83" t="s">
        <v>939</v>
      </c>
      <c r="AG83" t="s">
        <v>940</v>
      </c>
      <c r="AH83" t="s">
        <v>941</v>
      </c>
      <c r="AI83" t="s">
        <v>942</v>
      </c>
      <c r="AJ83" t="s">
        <v>943</v>
      </c>
      <c r="AL83" t="s">
        <v>944</v>
      </c>
      <c r="AO83" t="s">
        <v>80</v>
      </c>
      <c r="AP83" t="s">
        <v>945</v>
      </c>
      <c r="AQ83" t="s">
        <v>82</v>
      </c>
      <c r="AR83" t="s">
        <v>83</v>
      </c>
      <c r="AT83" t="s">
        <v>84</v>
      </c>
      <c r="AU83" t="s">
        <v>1857</v>
      </c>
      <c r="AV83" t="s">
        <v>86</v>
      </c>
      <c r="AW83" t="s">
        <v>84</v>
      </c>
      <c r="AX83" t="s">
        <v>87</v>
      </c>
      <c r="AY83" s="4">
        <f t="shared" si="10"/>
        <v>-1</v>
      </c>
      <c r="AZ83" t="s">
        <v>87</v>
      </c>
      <c r="BA83" s="4">
        <f t="shared" si="11"/>
        <v>-1</v>
      </c>
      <c r="BB83" t="b">
        <v>1</v>
      </c>
      <c r="BC83" s="4">
        <f t="shared" si="12"/>
        <v>1</v>
      </c>
      <c r="BD83" s="5">
        <v>1</v>
      </c>
      <c r="BE83" s="5">
        <v>1</v>
      </c>
      <c r="BF83" s="5">
        <v>1</v>
      </c>
      <c r="BG83" s="5">
        <v>1</v>
      </c>
      <c r="BH83" s="5" t="str">
        <f t="shared" si="13"/>
        <v>Yes</v>
      </c>
      <c r="BI83" t="str">
        <f t="shared" si="14"/>
        <v>Yes</v>
      </c>
      <c r="BJ83" s="5">
        <v>1</v>
      </c>
      <c r="BK83" t="s">
        <v>2931</v>
      </c>
    </row>
    <row r="84" spans="1:63" ht="17" x14ac:dyDescent="0.2">
      <c r="A84">
        <v>42</v>
      </c>
      <c r="B84" t="s">
        <v>919</v>
      </c>
      <c r="C84" t="s">
        <v>920</v>
      </c>
      <c r="D84" t="s">
        <v>921</v>
      </c>
      <c r="E84" s="4" t="s">
        <v>922</v>
      </c>
      <c r="F84" t="s">
        <v>146</v>
      </c>
      <c r="G84" t="s">
        <v>923</v>
      </c>
      <c r="K84" t="s">
        <v>924</v>
      </c>
      <c r="L84" t="s">
        <v>925</v>
      </c>
      <c r="M84" t="s">
        <v>926</v>
      </c>
      <c r="N84" t="s">
        <v>61</v>
      </c>
      <c r="P84" t="s">
        <v>927</v>
      </c>
      <c r="Q84" t="s">
        <v>928</v>
      </c>
      <c r="R84" t="s">
        <v>929</v>
      </c>
      <c r="S84" t="s">
        <v>930</v>
      </c>
      <c r="T84" t="s">
        <v>931</v>
      </c>
      <c r="U84" t="s">
        <v>932</v>
      </c>
      <c r="Z84" t="s">
        <v>933</v>
      </c>
      <c r="AA84" t="s">
        <v>934</v>
      </c>
      <c r="AB84" t="s">
        <v>935</v>
      </c>
      <c r="AC84" t="s">
        <v>936</v>
      </c>
      <c r="AD84" t="s">
        <v>937</v>
      </c>
      <c r="AE84" t="s">
        <v>938</v>
      </c>
      <c r="AF84" t="s">
        <v>939</v>
      </c>
      <c r="AG84" t="s">
        <v>940</v>
      </c>
      <c r="AH84" t="s">
        <v>941</v>
      </c>
      <c r="AI84" t="s">
        <v>942</v>
      </c>
      <c r="AJ84" t="s">
        <v>943</v>
      </c>
      <c r="AL84" t="s">
        <v>944</v>
      </c>
      <c r="AO84" t="s">
        <v>80</v>
      </c>
      <c r="AP84" t="s">
        <v>945</v>
      </c>
      <c r="AQ84" t="s">
        <v>82</v>
      </c>
      <c r="AR84" t="s">
        <v>83</v>
      </c>
      <c r="AT84" t="s">
        <v>84</v>
      </c>
      <c r="AU84" t="s">
        <v>946</v>
      </c>
      <c r="AV84" t="s">
        <v>86</v>
      </c>
      <c r="AW84" t="s">
        <v>84</v>
      </c>
      <c r="AX84" t="s">
        <v>87</v>
      </c>
      <c r="AY84" s="4">
        <f t="shared" si="10"/>
        <v>-1</v>
      </c>
      <c r="AZ84" t="s">
        <v>87</v>
      </c>
      <c r="BA84" s="4">
        <f t="shared" si="11"/>
        <v>-1</v>
      </c>
      <c r="BB84" t="b">
        <v>1</v>
      </c>
      <c r="BC84" s="4">
        <f t="shared" si="12"/>
        <v>1</v>
      </c>
      <c r="BD84" s="5">
        <v>1</v>
      </c>
      <c r="BE84" s="5">
        <v>1</v>
      </c>
      <c r="BF84" s="5">
        <v>0</v>
      </c>
      <c r="BG84" s="5">
        <v>0</v>
      </c>
      <c r="BH84" s="5" t="str">
        <f t="shared" si="13"/>
        <v>No</v>
      </c>
      <c r="BI84" t="str">
        <f t="shared" si="14"/>
        <v>No</v>
      </c>
      <c r="BJ84" s="5">
        <v>0</v>
      </c>
      <c r="BK84" t="s">
        <v>2883</v>
      </c>
    </row>
    <row r="85" spans="1:63" ht="17" x14ac:dyDescent="0.2">
      <c r="A85">
        <v>2</v>
      </c>
      <c r="B85" t="s">
        <v>117</v>
      </c>
      <c r="C85" t="s">
        <v>118</v>
      </c>
      <c r="D85" t="s">
        <v>119</v>
      </c>
      <c r="E85" s="4" t="s">
        <v>120</v>
      </c>
      <c r="F85" t="s">
        <v>121</v>
      </c>
      <c r="G85" t="s">
        <v>122</v>
      </c>
      <c r="K85" t="s">
        <v>123</v>
      </c>
      <c r="L85" t="s">
        <v>124</v>
      </c>
      <c r="M85" t="s">
        <v>125</v>
      </c>
      <c r="N85" t="s">
        <v>126</v>
      </c>
      <c r="O85" t="s">
        <v>127</v>
      </c>
      <c r="P85" s="7" t="s">
        <v>128</v>
      </c>
      <c r="Q85" t="s">
        <v>129</v>
      </c>
      <c r="R85" t="s">
        <v>130</v>
      </c>
      <c r="S85" t="s">
        <v>131</v>
      </c>
      <c r="U85" t="s">
        <v>132</v>
      </c>
      <c r="AB85" t="s">
        <v>133</v>
      </c>
      <c r="AE85" t="s">
        <v>109</v>
      </c>
      <c r="AF85" t="s">
        <v>134</v>
      </c>
      <c r="AG85" t="s">
        <v>135</v>
      </c>
      <c r="AH85" t="s">
        <v>136</v>
      </c>
      <c r="AI85" t="s">
        <v>137</v>
      </c>
      <c r="AJ85" t="s">
        <v>138</v>
      </c>
      <c r="AL85" t="s">
        <v>139</v>
      </c>
      <c r="AO85" t="s">
        <v>80</v>
      </c>
      <c r="AP85" t="s">
        <v>140</v>
      </c>
      <c r="AQ85" t="s">
        <v>82</v>
      </c>
      <c r="AR85" t="s">
        <v>83</v>
      </c>
      <c r="AS85" t="s">
        <v>115</v>
      </c>
      <c r="AT85" t="s">
        <v>84</v>
      </c>
      <c r="AU85" t="s">
        <v>141</v>
      </c>
      <c r="AV85" t="s">
        <v>86</v>
      </c>
      <c r="AW85" t="s">
        <v>84</v>
      </c>
      <c r="AX85" t="b">
        <v>1</v>
      </c>
      <c r="AY85" s="4">
        <f t="shared" si="10"/>
        <v>1</v>
      </c>
      <c r="AZ85" t="b">
        <v>1</v>
      </c>
      <c r="BA85" s="4">
        <f t="shared" si="11"/>
        <v>1</v>
      </c>
      <c r="BB85" t="b">
        <v>1</v>
      </c>
      <c r="BC85" s="4">
        <f t="shared" si="12"/>
        <v>1</v>
      </c>
      <c r="BD85" s="5">
        <v>1</v>
      </c>
      <c r="BE85" s="5">
        <v>1</v>
      </c>
      <c r="BF85" s="5">
        <v>1</v>
      </c>
      <c r="BG85" s="5">
        <v>0</v>
      </c>
      <c r="BH85" s="5" t="str">
        <f t="shared" si="13"/>
        <v>No</v>
      </c>
      <c r="BI85" t="str">
        <f t="shared" si="14"/>
        <v>Yes</v>
      </c>
      <c r="BJ85" s="5">
        <v>1</v>
      </c>
      <c r="BK85" t="s">
        <v>2920</v>
      </c>
    </row>
    <row r="86" spans="1:63" ht="17" x14ac:dyDescent="0.2">
      <c r="A86">
        <v>62</v>
      </c>
      <c r="B86" t="s">
        <v>1285</v>
      </c>
      <c r="C86" t="s">
        <v>1286</v>
      </c>
      <c r="D86" t="s">
        <v>1287</v>
      </c>
      <c r="E86" s="4" t="s">
        <v>1288</v>
      </c>
      <c r="F86" t="s">
        <v>55</v>
      </c>
      <c r="G86" t="s">
        <v>1289</v>
      </c>
      <c r="H86">
        <v>119</v>
      </c>
      <c r="K86" t="s">
        <v>1290</v>
      </c>
      <c r="L86" t="s">
        <v>1291</v>
      </c>
      <c r="M86" t="s">
        <v>96</v>
      </c>
      <c r="N86" t="s">
        <v>61</v>
      </c>
      <c r="O86" t="s">
        <v>1292</v>
      </c>
      <c r="P86" t="s">
        <v>1293</v>
      </c>
      <c r="Q86" t="s">
        <v>1294</v>
      </c>
      <c r="R86" t="s">
        <v>1295</v>
      </c>
      <c r="S86" t="s">
        <v>1296</v>
      </c>
      <c r="T86" t="s">
        <v>1297</v>
      </c>
      <c r="U86" t="s">
        <v>1298</v>
      </c>
      <c r="Z86" t="s">
        <v>1299</v>
      </c>
      <c r="AA86" t="s">
        <v>1300</v>
      </c>
      <c r="AB86" t="s">
        <v>1301</v>
      </c>
      <c r="AC86" t="s">
        <v>1302</v>
      </c>
      <c r="AE86" t="s">
        <v>620</v>
      </c>
      <c r="AK86">
        <v>11100168</v>
      </c>
      <c r="AO86" t="s">
        <v>80</v>
      </c>
      <c r="AP86" t="s">
        <v>1289</v>
      </c>
      <c r="AQ86" t="s">
        <v>245</v>
      </c>
      <c r="AR86" t="s">
        <v>83</v>
      </c>
      <c r="AT86" t="s">
        <v>84</v>
      </c>
      <c r="AU86" t="s">
        <v>1303</v>
      </c>
      <c r="AV86" t="s">
        <v>86</v>
      </c>
      <c r="AW86" t="s">
        <v>84</v>
      </c>
      <c r="AX86" t="s">
        <v>87</v>
      </c>
      <c r="AY86" s="4">
        <f t="shared" si="10"/>
        <v>-1</v>
      </c>
      <c r="AZ86" t="b">
        <v>1</v>
      </c>
      <c r="BA86" s="4">
        <f t="shared" si="11"/>
        <v>1</v>
      </c>
      <c r="BB86" t="s">
        <v>87</v>
      </c>
      <c r="BC86" s="4">
        <f t="shared" si="12"/>
        <v>-1</v>
      </c>
      <c r="BD86" s="5">
        <v>1</v>
      </c>
      <c r="BE86" s="5">
        <v>1</v>
      </c>
      <c r="BF86" s="5">
        <v>0</v>
      </c>
      <c r="BG86" s="5">
        <v>0</v>
      </c>
      <c r="BH86" s="5" t="str">
        <f t="shared" si="13"/>
        <v>No</v>
      </c>
      <c r="BI86" t="str">
        <f t="shared" si="14"/>
        <v>No</v>
      </c>
      <c r="BJ86" s="5">
        <v>0</v>
      </c>
      <c r="BK86" t="s">
        <v>2854</v>
      </c>
    </row>
    <row r="87" spans="1:63" ht="17" x14ac:dyDescent="0.2">
      <c r="A87">
        <v>19</v>
      </c>
      <c r="B87" t="s">
        <v>503</v>
      </c>
      <c r="C87" t="s">
        <v>504</v>
      </c>
      <c r="D87" t="s">
        <v>505</v>
      </c>
      <c r="E87" s="4" t="s">
        <v>506</v>
      </c>
      <c r="F87" t="s">
        <v>176</v>
      </c>
      <c r="G87" t="s">
        <v>507</v>
      </c>
      <c r="K87" t="s">
        <v>508</v>
      </c>
      <c r="L87" t="s">
        <v>509</v>
      </c>
      <c r="M87" t="s">
        <v>343</v>
      </c>
      <c r="N87" t="s">
        <v>231</v>
      </c>
      <c r="O87" t="s">
        <v>510</v>
      </c>
      <c r="P87" s="7" t="s">
        <v>511</v>
      </c>
      <c r="Q87" t="s">
        <v>512</v>
      </c>
      <c r="R87" t="s">
        <v>513</v>
      </c>
      <c r="S87" t="s">
        <v>514</v>
      </c>
      <c r="T87" t="s">
        <v>515</v>
      </c>
      <c r="U87" t="s">
        <v>516</v>
      </c>
      <c r="Z87" t="s">
        <v>517</v>
      </c>
      <c r="AA87" t="s">
        <v>518</v>
      </c>
      <c r="AB87" t="s">
        <v>519</v>
      </c>
      <c r="AC87" t="s">
        <v>520</v>
      </c>
      <c r="AE87" t="s">
        <v>216</v>
      </c>
      <c r="AF87" t="s">
        <v>217</v>
      </c>
      <c r="AG87" t="s">
        <v>521</v>
      </c>
      <c r="AH87" t="s">
        <v>522</v>
      </c>
      <c r="AI87" t="s">
        <v>523</v>
      </c>
      <c r="AJ87" t="s">
        <v>524</v>
      </c>
      <c r="AL87" t="s">
        <v>525</v>
      </c>
      <c r="AO87" t="s">
        <v>80</v>
      </c>
      <c r="AP87" t="s">
        <v>526</v>
      </c>
      <c r="AQ87" t="s">
        <v>82</v>
      </c>
      <c r="AR87" t="s">
        <v>83</v>
      </c>
      <c r="AT87" t="s">
        <v>84</v>
      </c>
      <c r="AU87" t="s">
        <v>527</v>
      </c>
      <c r="AV87" t="s">
        <v>86</v>
      </c>
      <c r="AW87" t="s">
        <v>84</v>
      </c>
      <c r="AX87" t="b">
        <v>1</v>
      </c>
      <c r="AY87" s="4">
        <f t="shared" si="10"/>
        <v>1</v>
      </c>
      <c r="AZ87" t="b">
        <v>1</v>
      </c>
      <c r="BA87" s="4">
        <f t="shared" si="11"/>
        <v>1</v>
      </c>
      <c r="BB87" t="b">
        <v>1</v>
      </c>
      <c r="BC87" s="4">
        <f t="shared" si="12"/>
        <v>1</v>
      </c>
      <c r="BD87" s="5">
        <v>1</v>
      </c>
      <c r="BE87" s="5">
        <v>1</v>
      </c>
      <c r="BF87" s="5">
        <v>1</v>
      </c>
      <c r="BG87" s="5">
        <v>0</v>
      </c>
      <c r="BH87" s="6" t="str">
        <f t="shared" si="13"/>
        <v>No</v>
      </c>
      <c r="BI87" t="str">
        <f t="shared" si="14"/>
        <v>Yes</v>
      </c>
      <c r="BJ87" s="5">
        <v>1</v>
      </c>
      <c r="BK87" t="s">
        <v>2962</v>
      </c>
    </row>
    <row r="88" spans="1:63" ht="17" x14ac:dyDescent="0.2">
      <c r="A88">
        <v>85</v>
      </c>
      <c r="B88" t="s">
        <v>1628</v>
      </c>
      <c r="C88" t="s">
        <v>1629</v>
      </c>
      <c r="D88" t="s">
        <v>1630</v>
      </c>
      <c r="E88" s="4" t="s">
        <v>1631</v>
      </c>
      <c r="F88" t="s">
        <v>176</v>
      </c>
      <c r="G88" t="s">
        <v>1632</v>
      </c>
      <c r="H88">
        <v>56</v>
      </c>
      <c r="I88" t="s">
        <v>745</v>
      </c>
      <c r="K88" t="s">
        <v>1633</v>
      </c>
      <c r="L88" t="s">
        <v>1634</v>
      </c>
      <c r="M88" t="s">
        <v>1335</v>
      </c>
      <c r="N88" t="s">
        <v>60</v>
      </c>
      <c r="O88" t="s">
        <v>1635</v>
      </c>
      <c r="P88" s="7" t="s">
        <v>1636</v>
      </c>
      <c r="Q88" t="s">
        <v>1637</v>
      </c>
      <c r="R88" t="s">
        <v>1638</v>
      </c>
      <c r="S88" t="s">
        <v>1639</v>
      </c>
      <c r="T88" t="s">
        <v>1640</v>
      </c>
      <c r="U88" t="s">
        <v>1641</v>
      </c>
      <c r="Z88" t="s">
        <v>1642</v>
      </c>
      <c r="AA88" t="s">
        <v>1643</v>
      </c>
      <c r="AB88" t="s">
        <v>1644</v>
      </c>
      <c r="AC88" t="s">
        <v>1645</v>
      </c>
      <c r="AE88" t="s">
        <v>1646</v>
      </c>
      <c r="AK88">
        <v>2692821</v>
      </c>
      <c r="AM88" t="s">
        <v>1647</v>
      </c>
      <c r="AO88" t="s">
        <v>80</v>
      </c>
      <c r="AP88" t="s">
        <v>1648</v>
      </c>
      <c r="AQ88" t="s">
        <v>245</v>
      </c>
      <c r="AR88" t="s">
        <v>83</v>
      </c>
      <c r="AS88" t="s">
        <v>362</v>
      </c>
      <c r="AT88" t="s">
        <v>84</v>
      </c>
      <c r="AU88" t="s">
        <v>1649</v>
      </c>
      <c r="AV88" t="s">
        <v>86</v>
      </c>
      <c r="AW88" t="s">
        <v>84</v>
      </c>
      <c r="AX88" t="s">
        <v>87</v>
      </c>
      <c r="AY88" s="4">
        <f t="shared" si="10"/>
        <v>-1</v>
      </c>
      <c r="AZ88" t="b">
        <v>1</v>
      </c>
      <c r="BA88" s="4">
        <f t="shared" si="11"/>
        <v>1</v>
      </c>
      <c r="BB88" t="s">
        <v>87</v>
      </c>
      <c r="BC88" s="4">
        <f t="shared" si="12"/>
        <v>-1</v>
      </c>
      <c r="BD88" s="5">
        <v>1</v>
      </c>
      <c r="BE88" s="5">
        <v>1</v>
      </c>
      <c r="BF88" s="5">
        <v>1</v>
      </c>
      <c r="BG88" s="5">
        <v>1</v>
      </c>
      <c r="BH88" s="18" t="str">
        <f t="shared" si="13"/>
        <v>Yes</v>
      </c>
      <c r="BI88" t="str">
        <f t="shared" si="14"/>
        <v>Yes</v>
      </c>
      <c r="BJ88" s="5">
        <v>1</v>
      </c>
      <c r="BK88" t="s">
        <v>2912</v>
      </c>
    </row>
    <row r="89" spans="1:63" ht="17" x14ac:dyDescent="0.2">
      <c r="A89">
        <v>76</v>
      </c>
      <c r="B89" t="s">
        <v>1510</v>
      </c>
      <c r="C89" t="s">
        <v>1511</v>
      </c>
      <c r="D89" t="s">
        <v>1512</v>
      </c>
      <c r="E89" s="4" t="s">
        <v>1513</v>
      </c>
      <c r="F89" t="s">
        <v>176</v>
      </c>
      <c r="G89" t="s">
        <v>1048</v>
      </c>
      <c r="K89" t="s">
        <v>722</v>
      </c>
      <c r="L89" t="s">
        <v>1514</v>
      </c>
      <c r="M89" t="s">
        <v>180</v>
      </c>
      <c r="N89" t="s">
        <v>61</v>
      </c>
      <c r="O89" t="s">
        <v>1515</v>
      </c>
      <c r="P89" s="7" t="s">
        <v>1516</v>
      </c>
      <c r="Q89" t="s">
        <v>1517</v>
      </c>
      <c r="R89" t="s">
        <v>1518</v>
      </c>
      <c r="S89" t="s">
        <v>1519</v>
      </c>
      <c r="T89" t="s">
        <v>1520</v>
      </c>
      <c r="U89" t="s">
        <v>1521</v>
      </c>
      <c r="Z89" t="s">
        <v>1522</v>
      </c>
      <c r="AA89" t="s">
        <v>1523</v>
      </c>
      <c r="AB89" t="s">
        <v>1524</v>
      </c>
      <c r="AE89" t="s">
        <v>1060</v>
      </c>
      <c r="AG89" t="s">
        <v>1525</v>
      </c>
      <c r="AH89" t="s">
        <v>1526</v>
      </c>
      <c r="AI89" t="s">
        <v>1527</v>
      </c>
      <c r="AJ89" t="s">
        <v>1528</v>
      </c>
      <c r="AL89" t="s">
        <v>1529</v>
      </c>
      <c r="AO89" t="s">
        <v>80</v>
      </c>
      <c r="AP89" t="s">
        <v>1066</v>
      </c>
      <c r="AQ89" t="s">
        <v>82</v>
      </c>
      <c r="AR89" t="s">
        <v>83</v>
      </c>
      <c r="AS89" t="s">
        <v>1185</v>
      </c>
      <c r="AT89" t="s">
        <v>84</v>
      </c>
      <c r="AU89" t="s">
        <v>1530</v>
      </c>
      <c r="AV89" t="s">
        <v>86</v>
      </c>
      <c r="AW89" t="s">
        <v>84</v>
      </c>
      <c r="AX89" t="s">
        <v>87</v>
      </c>
      <c r="AY89" s="4">
        <f t="shared" si="10"/>
        <v>-1</v>
      </c>
      <c r="AZ89" t="s">
        <v>87</v>
      </c>
      <c r="BA89" s="4">
        <f t="shared" si="11"/>
        <v>-1</v>
      </c>
      <c r="BB89" t="b">
        <v>1</v>
      </c>
      <c r="BC89" s="4">
        <f t="shared" si="12"/>
        <v>1</v>
      </c>
      <c r="BD89" s="5">
        <v>1</v>
      </c>
      <c r="BE89" s="5">
        <v>1</v>
      </c>
      <c r="BF89" s="5">
        <v>1</v>
      </c>
      <c r="BG89" s="5">
        <v>0</v>
      </c>
      <c r="BH89" s="6" t="str">
        <f t="shared" si="13"/>
        <v>No</v>
      </c>
      <c r="BI89" t="str">
        <f t="shared" si="14"/>
        <v>Yes</v>
      </c>
      <c r="BJ89" s="5">
        <v>1</v>
      </c>
      <c r="BK89" t="s">
        <v>2940</v>
      </c>
    </row>
    <row r="90" spans="1:63" ht="17" x14ac:dyDescent="0.2">
      <c r="A90">
        <v>78</v>
      </c>
      <c r="B90" t="s">
        <v>1549</v>
      </c>
      <c r="C90" t="s">
        <v>1550</v>
      </c>
      <c r="D90" t="s">
        <v>1551</v>
      </c>
      <c r="E90" s="4" t="s">
        <v>1552</v>
      </c>
      <c r="F90" t="s">
        <v>146</v>
      </c>
      <c r="G90" t="s">
        <v>1553</v>
      </c>
      <c r="K90" t="s">
        <v>1554</v>
      </c>
      <c r="L90" t="s">
        <v>1555</v>
      </c>
      <c r="M90" t="s">
        <v>206</v>
      </c>
      <c r="N90" t="s">
        <v>61</v>
      </c>
      <c r="O90" t="s">
        <v>1556</v>
      </c>
      <c r="P90" t="s">
        <v>1557</v>
      </c>
      <c r="Q90" t="s">
        <v>1558</v>
      </c>
      <c r="R90" t="s">
        <v>1559</v>
      </c>
      <c r="S90" t="s">
        <v>1560</v>
      </c>
      <c r="T90" t="s">
        <v>1561</v>
      </c>
      <c r="U90" t="s">
        <v>1562</v>
      </c>
      <c r="Z90" t="s">
        <v>1563</v>
      </c>
      <c r="AA90" t="s">
        <v>1564</v>
      </c>
      <c r="AB90" t="s">
        <v>1565</v>
      </c>
      <c r="AC90" t="s">
        <v>1566</v>
      </c>
      <c r="AD90" t="s">
        <v>1567</v>
      </c>
      <c r="AE90" t="s">
        <v>216</v>
      </c>
      <c r="AF90" t="s">
        <v>1568</v>
      </c>
      <c r="AG90" t="s">
        <v>1569</v>
      </c>
      <c r="AH90" t="s">
        <v>1570</v>
      </c>
      <c r="AI90" t="s">
        <v>1571</v>
      </c>
      <c r="AJ90" t="s">
        <v>1572</v>
      </c>
      <c r="AL90" t="s">
        <v>1573</v>
      </c>
      <c r="AO90" t="s">
        <v>80</v>
      </c>
      <c r="AP90" t="s">
        <v>1574</v>
      </c>
      <c r="AQ90" t="s">
        <v>82</v>
      </c>
      <c r="AR90" t="s">
        <v>83</v>
      </c>
      <c r="AT90" t="s">
        <v>84</v>
      </c>
      <c r="AU90" t="s">
        <v>1575</v>
      </c>
      <c r="AV90" t="s">
        <v>86</v>
      </c>
      <c r="AW90" t="s">
        <v>84</v>
      </c>
      <c r="AX90" t="b">
        <v>1</v>
      </c>
      <c r="AY90" s="4">
        <f t="shared" si="10"/>
        <v>1</v>
      </c>
      <c r="AZ90" t="b">
        <v>1</v>
      </c>
      <c r="BA90" s="4">
        <f t="shared" si="11"/>
        <v>1</v>
      </c>
      <c r="BB90" t="b">
        <v>1</v>
      </c>
      <c r="BC90" s="4">
        <f t="shared" si="12"/>
        <v>1</v>
      </c>
      <c r="BD90" s="5">
        <v>1</v>
      </c>
      <c r="BE90" s="5">
        <v>0</v>
      </c>
      <c r="BF90" s="5">
        <v>0</v>
      </c>
      <c r="BG90" s="5">
        <v>0</v>
      </c>
      <c r="BH90" s="5" t="str">
        <f t="shared" si="13"/>
        <v>No</v>
      </c>
      <c r="BI90" t="str">
        <f t="shared" si="14"/>
        <v>No</v>
      </c>
      <c r="BJ90" s="5">
        <v>0</v>
      </c>
      <c r="BK90" t="s">
        <v>2843</v>
      </c>
    </row>
    <row r="91" spans="1:63" ht="17" x14ac:dyDescent="0.2">
      <c r="A91">
        <v>66</v>
      </c>
      <c r="B91" t="s">
        <v>1378</v>
      </c>
      <c r="C91" t="s">
        <v>1379</v>
      </c>
      <c r="D91" t="s">
        <v>1380</v>
      </c>
      <c r="E91" s="4" t="s">
        <v>1381</v>
      </c>
      <c r="F91" t="s">
        <v>176</v>
      </c>
      <c r="G91" t="s">
        <v>1382</v>
      </c>
      <c r="H91">
        <v>19</v>
      </c>
      <c r="I91" t="s">
        <v>231</v>
      </c>
      <c r="N91" t="s">
        <v>231</v>
      </c>
      <c r="O91" t="s">
        <v>1383</v>
      </c>
      <c r="P91" t="s">
        <v>1384</v>
      </c>
      <c r="Q91" t="s">
        <v>1385</v>
      </c>
      <c r="R91" t="s">
        <v>1386</v>
      </c>
      <c r="S91" t="s">
        <v>1387</v>
      </c>
      <c r="T91" t="s">
        <v>1388</v>
      </c>
      <c r="U91" t="s">
        <v>1389</v>
      </c>
      <c r="Z91" t="s">
        <v>1390</v>
      </c>
      <c r="AA91" t="s">
        <v>1391</v>
      </c>
      <c r="AB91" t="s">
        <v>1392</v>
      </c>
      <c r="AE91" t="s">
        <v>1393</v>
      </c>
      <c r="AK91">
        <v>15526283</v>
      </c>
      <c r="AO91" t="s">
        <v>80</v>
      </c>
      <c r="AP91" t="s">
        <v>1394</v>
      </c>
      <c r="AQ91" t="s">
        <v>245</v>
      </c>
      <c r="AR91" t="s">
        <v>83</v>
      </c>
      <c r="AS91" t="s">
        <v>801</v>
      </c>
      <c r="AT91" t="s">
        <v>84</v>
      </c>
      <c r="AU91" t="s">
        <v>1395</v>
      </c>
      <c r="AV91" t="s">
        <v>86</v>
      </c>
      <c r="AW91" t="s">
        <v>84</v>
      </c>
      <c r="AX91" t="s">
        <v>87</v>
      </c>
      <c r="AY91" s="4">
        <f t="shared" si="10"/>
        <v>-1</v>
      </c>
      <c r="AZ91" t="s">
        <v>87</v>
      </c>
      <c r="BA91" s="4">
        <f t="shared" si="11"/>
        <v>-1</v>
      </c>
      <c r="BB91" t="s">
        <v>87</v>
      </c>
      <c r="BC91" s="4">
        <f t="shared" si="12"/>
        <v>-1</v>
      </c>
      <c r="BD91" s="5">
        <v>0</v>
      </c>
      <c r="BE91" s="5">
        <v>0</v>
      </c>
      <c r="BF91" s="5">
        <v>0</v>
      </c>
      <c r="BG91" s="5">
        <v>0</v>
      </c>
      <c r="BH91" s="5" t="str">
        <f t="shared" si="13"/>
        <v>No</v>
      </c>
      <c r="BI91" t="str">
        <f t="shared" si="14"/>
        <v>No</v>
      </c>
      <c r="BJ91" s="5">
        <v>0</v>
      </c>
    </row>
    <row r="92" spans="1:63" ht="17" x14ac:dyDescent="0.2">
      <c r="A92">
        <v>146</v>
      </c>
      <c r="B92" t="s">
        <v>2511</v>
      </c>
      <c r="C92" t="s">
        <v>2512</v>
      </c>
      <c r="D92" t="s">
        <v>2513</v>
      </c>
      <c r="E92" s="4" t="s">
        <v>2514</v>
      </c>
      <c r="F92" t="s">
        <v>176</v>
      </c>
      <c r="G92" t="s">
        <v>2515</v>
      </c>
      <c r="H92" t="s">
        <v>2516</v>
      </c>
      <c r="I92" t="s">
        <v>125</v>
      </c>
      <c r="J92" t="s">
        <v>2517</v>
      </c>
      <c r="N92" t="s">
        <v>231</v>
      </c>
      <c r="O92" t="s">
        <v>2518</v>
      </c>
      <c r="P92" t="s">
        <v>2519</v>
      </c>
      <c r="Q92" t="s">
        <v>2520</v>
      </c>
      <c r="R92" t="s">
        <v>2521</v>
      </c>
      <c r="S92" t="s">
        <v>2522</v>
      </c>
      <c r="T92" t="s">
        <v>2523</v>
      </c>
      <c r="U92" t="s">
        <v>2524</v>
      </c>
      <c r="AB92" t="s">
        <v>2525</v>
      </c>
      <c r="AC92" t="s">
        <v>2526</v>
      </c>
      <c r="AE92" t="s">
        <v>2527</v>
      </c>
      <c r="AK92">
        <v>2664720</v>
      </c>
      <c r="AM92" t="s">
        <v>2528</v>
      </c>
      <c r="AO92" t="s">
        <v>80</v>
      </c>
      <c r="AP92" t="s">
        <v>2529</v>
      </c>
      <c r="AQ92" t="s">
        <v>245</v>
      </c>
      <c r="AR92" t="s">
        <v>83</v>
      </c>
      <c r="AT92" t="s">
        <v>84</v>
      </c>
      <c r="AU92" t="s">
        <v>2530</v>
      </c>
      <c r="AV92" t="s">
        <v>2531</v>
      </c>
      <c r="AW92" t="s">
        <v>84</v>
      </c>
      <c r="AX92" t="s">
        <v>87</v>
      </c>
      <c r="AY92" s="4">
        <f t="shared" si="10"/>
        <v>-1</v>
      </c>
      <c r="AZ92" t="s">
        <v>87</v>
      </c>
      <c r="BA92" s="4">
        <f t="shared" si="11"/>
        <v>-1</v>
      </c>
      <c r="BB92" t="s">
        <v>87</v>
      </c>
      <c r="BC92" s="4">
        <f t="shared" si="12"/>
        <v>-1</v>
      </c>
      <c r="BD92" s="5">
        <v>0</v>
      </c>
      <c r="BE92" s="5">
        <v>0</v>
      </c>
      <c r="BF92" s="5">
        <v>0</v>
      </c>
      <c r="BG92" s="5">
        <v>0</v>
      </c>
      <c r="BH92" s="5" t="str">
        <f t="shared" si="13"/>
        <v>No</v>
      </c>
      <c r="BI92" t="str">
        <f t="shared" si="14"/>
        <v>No</v>
      </c>
      <c r="BJ92" s="5">
        <v>0</v>
      </c>
    </row>
    <row r="93" spans="1:63" ht="17" x14ac:dyDescent="0.2">
      <c r="A93">
        <v>132</v>
      </c>
      <c r="B93" t="s">
        <v>2290</v>
      </c>
      <c r="C93" t="s">
        <v>2291</v>
      </c>
      <c r="D93" t="s">
        <v>2292</v>
      </c>
      <c r="E93" s="4" t="s">
        <v>2293</v>
      </c>
      <c r="F93" t="s">
        <v>2009</v>
      </c>
      <c r="G93" t="s">
        <v>2294</v>
      </c>
      <c r="J93">
        <v>8679242</v>
      </c>
      <c r="N93" t="s">
        <v>61</v>
      </c>
      <c r="O93" t="s">
        <v>2295</v>
      </c>
      <c r="P93" t="s">
        <v>2296</v>
      </c>
      <c r="Q93" t="s">
        <v>2297</v>
      </c>
      <c r="R93" t="s">
        <v>2298</v>
      </c>
      <c r="S93" t="s">
        <v>2299</v>
      </c>
      <c r="T93" t="s">
        <v>2300</v>
      </c>
      <c r="U93" t="s">
        <v>2301</v>
      </c>
      <c r="Z93" t="s">
        <v>2302</v>
      </c>
      <c r="AA93" t="s">
        <v>2303</v>
      </c>
      <c r="AB93" t="s">
        <v>2304</v>
      </c>
      <c r="AE93" t="s">
        <v>216</v>
      </c>
      <c r="AF93" t="s">
        <v>2305</v>
      </c>
      <c r="AG93" t="s">
        <v>2306</v>
      </c>
      <c r="AH93" t="s">
        <v>2307</v>
      </c>
      <c r="AI93" t="s">
        <v>2308</v>
      </c>
      <c r="AJ93" t="s">
        <v>2309</v>
      </c>
      <c r="AL93" t="s">
        <v>2310</v>
      </c>
      <c r="AO93" t="s">
        <v>80</v>
      </c>
      <c r="AP93" t="s">
        <v>2311</v>
      </c>
      <c r="AQ93" t="s">
        <v>82</v>
      </c>
      <c r="AR93" t="s">
        <v>83</v>
      </c>
      <c r="AT93" t="s">
        <v>84</v>
      </c>
      <c r="AU93" t="s">
        <v>2312</v>
      </c>
      <c r="AV93" t="s">
        <v>2313</v>
      </c>
      <c r="AW93" t="s">
        <v>84</v>
      </c>
      <c r="AX93" t="s">
        <v>87</v>
      </c>
      <c r="AY93" s="4">
        <f t="shared" si="10"/>
        <v>-1</v>
      </c>
      <c r="AZ93" t="b">
        <v>1</v>
      </c>
      <c r="BA93" s="4">
        <f t="shared" si="11"/>
        <v>1</v>
      </c>
      <c r="BB93" t="b">
        <v>1</v>
      </c>
      <c r="BC93" s="4">
        <f t="shared" si="12"/>
        <v>1</v>
      </c>
      <c r="BD93" s="5">
        <v>1</v>
      </c>
      <c r="BE93" s="5">
        <v>1</v>
      </c>
      <c r="BF93" s="5">
        <v>0</v>
      </c>
      <c r="BG93" s="5">
        <v>0</v>
      </c>
      <c r="BH93" s="5" t="str">
        <f t="shared" si="13"/>
        <v>No</v>
      </c>
      <c r="BI93" t="str">
        <f t="shared" si="14"/>
        <v>No</v>
      </c>
      <c r="BJ93" s="5">
        <v>0</v>
      </c>
      <c r="BK93" t="s">
        <v>2868</v>
      </c>
    </row>
    <row r="94" spans="1:63" ht="17" x14ac:dyDescent="0.2">
      <c r="A94">
        <v>35</v>
      </c>
      <c r="B94" t="s">
        <v>778</v>
      </c>
      <c r="C94" t="s">
        <v>779</v>
      </c>
      <c r="D94" t="s">
        <v>780</v>
      </c>
      <c r="E94" s="4" t="s">
        <v>781</v>
      </c>
      <c r="F94" t="s">
        <v>176</v>
      </c>
      <c r="G94" t="s">
        <v>782</v>
      </c>
      <c r="K94" t="s">
        <v>783</v>
      </c>
      <c r="L94" t="s">
        <v>784</v>
      </c>
      <c r="M94" t="s">
        <v>180</v>
      </c>
      <c r="N94" t="s">
        <v>61</v>
      </c>
      <c r="O94" t="s">
        <v>785</v>
      </c>
      <c r="P94" t="s">
        <v>786</v>
      </c>
      <c r="Q94" t="s">
        <v>787</v>
      </c>
      <c r="R94" t="s">
        <v>788</v>
      </c>
      <c r="S94" t="s">
        <v>789</v>
      </c>
      <c r="U94" t="s">
        <v>790</v>
      </c>
      <c r="AB94" t="s">
        <v>791</v>
      </c>
      <c r="AD94" t="s">
        <v>792</v>
      </c>
      <c r="AE94" t="s">
        <v>793</v>
      </c>
      <c r="AF94" t="s">
        <v>794</v>
      </c>
      <c r="AG94" t="s">
        <v>795</v>
      </c>
      <c r="AH94" t="s">
        <v>796</v>
      </c>
      <c r="AI94" t="s">
        <v>797</v>
      </c>
      <c r="AJ94" t="s">
        <v>798</v>
      </c>
      <c r="AK94">
        <v>13138502</v>
      </c>
      <c r="AL94" t="s">
        <v>799</v>
      </c>
      <c r="AO94" t="s">
        <v>80</v>
      </c>
      <c r="AP94" t="s">
        <v>800</v>
      </c>
      <c r="AQ94" t="s">
        <v>82</v>
      </c>
      <c r="AR94" t="s">
        <v>83</v>
      </c>
      <c r="AS94" t="s">
        <v>801</v>
      </c>
      <c r="AT94" t="s">
        <v>84</v>
      </c>
      <c r="AU94" t="s">
        <v>802</v>
      </c>
      <c r="AV94" t="s">
        <v>86</v>
      </c>
      <c r="AW94" t="s">
        <v>84</v>
      </c>
      <c r="AX94" t="b">
        <v>1</v>
      </c>
      <c r="AY94" s="4">
        <f t="shared" si="10"/>
        <v>1</v>
      </c>
      <c r="AZ94" t="s">
        <v>87</v>
      </c>
      <c r="BA94" s="4">
        <f t="shared" si="11"/>
        <v>-1</v>
      </c>
      <c r="BB94" t="b">
        <v>1</v>
      </c>
      <c r="BC94" s="4">
        <f t="shared" si="12"/>
        <v>1</v>
      </c>
      <c r="BD94" s="5">
        <v>1</v>
      </c>
      <c r="BE94" s="5">
        <v>0</v>
      </c>
      <c r="BF94" s="5">
        <v>0</v>
      </c>
      <c r="BG94" s="5">
        <v>0</v>
      </c>
      <c r="BH94" s="5" t="str">
        <f t="shared" si="13"/>
        <v>No</v>
      </c>
      <c r="BI94" t="str">
        <f t="shared" si="14"/>
        <v>No</v>
      </c>
      <c r="BJ94" s="5">
        <v>0</v>
      </c>
      <c r="BK94" t="s">
        <v>2829</v>
      </c>
    </row>
    <row r="95" spans="1:63" ht="17" x14ac:dyDescent="0.2">
      <c r="A95">
        <v>9</v>
      </c>
      <c r="B95" t="s">
        <v>297</v>
      </c>
      <c r="C95" t="s">
        <v>298</v>
      </c>
      <c r="D95" t="s">
        <v>299</v>
      </c>
      <c r="E95" s="4" t="s">
        <v>300</v>
      </c>
      <c r="F95" t="s">
        <v>176</v>
      </c>
      <c r="G95" t="s">
        <v>301</v>
      </c>
      <c r="K95" t="s">
        <v>302</v>
      </c>
      <c r="L95" t="s">
        <v>303</v>
      </c>
      <c r="M95" t="s">
        <v>151</v>
      </c>
      <c r="N95" t="s">
        <v>231</v>
      </c>
      <c r="P95" s="7" t="s">
        <v>304</v>
      </c>
      <c r="Q95" t="s">
        <v>305</v>
      </c>
      <c r="R95" t="s">
        <v>306</v>
      </c>
      <c r="S95" t="s">
        <v>307</v>
      </c>
      <c r="U95" t="s">
        <v>308</v>
      </c>
      <c r="AB95" t="s">
        <v>309</v>
      </c>
      <c r="AD95" t="s">
        <v>310</v>
      </c>
      <c r="AE95" t="s">
        <v>109</v>
      </c>
      <c r="AF95" t="s">
        <v>311</v>
      </c>
      <c r="AG95" t="s">
        <v>312</v>
      </c>
      <c r="AH95" t="s">
        <v>313</v>
      </c>
      <c r="AI95" t="s">
        <v>314</v>
      </c>
      <c r="AJ95" t="s">
        <v>315</v>
      </c>
      <c r="AL95" t="s">
        <v>316</v>
      </c>
      <c r="AO95" t="s">
        <v>80</v>
      </c>
      <c r="AP95" t="s">
        <v>317</v>
      </c>
      <c r="AQ95" t="s">
        <v>82</v>
      </c>
      <c r="AR95" t="s">
        <v>83</v>
      </c>
      <c r="AT95" t="s">
        <v>84</v>
      </c>
      <c r="AU95" t="s">
        <v>318</v>
      </c>
      <c r="AV95" t="s">
        <v>86</v>
      </c>
      <c r="AW95" t="s">
        <v>84</v>
      </c>
      <c r="AX95" t="b">
        <v>1</v>
      </c>
      <c r="AY95" s="4">
        <f t="shared" si="10"/>
        <v>1</v>
      </c>
      <c r="AZ95" t="b">
        <v>1</v>
      </c>
      <c r="BA95" s="4">
        <f t="shared" si="11"/>
        <v>1</v>
      </c>
      <c r="BB95" t="b">
        <v>1</v>
      </c>
      <c r="BC95" s="4">
        <f t="shared" si="12"/>
        <v>1</v>
      </c>
      <c r="BD95" s="5">
        <v>1</v>
      </c>
      <c r="BE95" s="5">
        <v>1</v>
      </c>
      <c r="BF95" s="5">
        <v>1</v>
      </c>
      <c r="BG95" s="5">
        <v>0</v>
      </c>
      <c r="BH95" s="5" t="str">
        <f t="shared" si="13"/>
        <v>No</v>
      </c>
      <c r="BI95" t="str">
        <f t="shared" si="14"/>
        <v>Yes</v>
      </c>
      <c r="BJ95" s="5">
        <v>1</v>
      </c>
      <c r="BK95" t="s">
        <v>2851</v>
      </c>
    </row>
    <row r="96" spans="1:63" ht="17" x14ac:dyDescent="0.2">
      <c r="A96">
        <v>94</v>
      </c>
      <c r="B96" t="s">
        <v>1577</v>
      </c>
      <c r="C96" t="s">
        <v>1578</v>
      </c>
      <c r="D96" t="s">
        <v>1579</v>
      </c>
      <c r="E96" s="4" t="s">
        <v>1766</v>
      </c>
      <c r="F96" t="s">
        <v>146</v>
      </c>
      <c r="G96" t="s">
        <v>923</v>
      </c>
      <c r="K96" t="s">
        <v>1767</v>
      </c>
      <c r="L96" t="s">
        <v>1768</v>
      </c>
      <c r="M96" t="s">
        <v>457</v>
      </c>
      <c r="N96" t="s">
        <v>61</v>
      </c>
      <c r="P96" s="7" t="s">
        <v>1769</v>
      </c>
      <c r="Q96" t="s">
        <v>1770</v>
      </c>
      <c r="R96" t="s">
        <v>1771</v>
      </c>
      <c r="S96" t="s">
        <v>1772</v>
      </c>
      <c r="T96" t="s">
        <v>1773</v>
      </c>
      <c r="U96" t="s">
        <v>1774</v>
      </c>
      <c r="AB96" t="s">
        <v>1775</v>
      </c>
      <c r="AD96" t="s">
        <v>937</v>
      </c>
      <c r="AE96" t="s">
        <v>938</v>
      </c>
      <c r="AF96" t="s">
        <v>939</v>
      </c>
      <c r="AG96" t="s">
        <v>940</v>
      </c>
      <c r="AH96" t="s">
        <v>941</v>
      </c>
      <c r="AI96" t="s">
        <v>942</v>
      </c>
      <c r="AJ96" t="s">
        <v>943</v>
      </c>
      <c r="AL96" t="s">
        <v>944</v>
      </c>
      <c r="AO96" t="s">
        <v>80</v>
      </c>
      <c r="AP96" t="s">
        <v>945</v>
      </c>
      <c r="AQ96" t="s">
        <v>82</v>
      </c>
      <c r="AR96" t="s">
        <v>83</v>
      </c>
      <c r="AT96" t="s">
        <v>84</v>
      </c>
      <c r="AU96" t="s">
        <v>1776</v>
      </c>
      <c r="AV96" t="s">
        <v>86</v>
      </c>
      <c r="AW96" t="s">
        <v>84</v>
      </c>
      <c r="AX96" t="s">
        <v>87</v>
      </c>
      <c r="AY96" s="4">
        <f t="shared" si="10"/>
        <v>-1</v>
      </c>
      <c r="AZ96" t="s">
        <v>87</v>
      </c>
      <c r="BA96" s="4">
        <f t="shared" si="11"/>
        <v>-1</v>
      </c>
      <c r="BB96" t="b">
        <v>1</v>
      </c>
      <c r="BC96" s="4">
        <f t="shared" si="12"/>
        <v>1</v>
      </c>
      <c r="BD96" s="5">
        <v>1</v>
      </c>
      <c r="BE96" s="5">
        <v>1</v>
      </c>
      <c r="BF96" s="5">
        <v>1</v>
      </c>
      <c r="BG96" s="5">
        <v>1</v>
      </c>
      <c r="BH96" s="5" t="str">
        <f t="shared" si="13"/>
        <v>Yes</v>
      </c>
      <c r="BI96" t="str">
        <f t="shared" si="14"/>
        <v>Yes</v>
      </c>
      <c r="BJ96" s="5">
        <v>1</v>
      </c>
      <c r="BK96" t="s">
        <v>2947</v>
      </c>
    </row>
    <row r="97" spans="1:63" ht="17" x14ac:dyDescent="0.2">
      <c r="A97">
        <v>75</v>
      </c>
      <c r="B97" t="s">
        <v>1484</v>
      </c>
      <c r="C97" t="s">
        <v>1485</v>
      </c>
      <c r="D97" t="s">
        <v>1486</v>
      </c>
      <c r="E97" s="4" t="s">
        <v>1487</v>
      </c>
      <c r="F97" t="s">
        <v>176</v>
      </c>
      <c r="G97" t="s">
        <v>1488</v>
      </c>
      <c r="H97" t="s">
        <v>1489</v>
      </c>
      <c r="N97" t="s">
        <v>152</v>
      </c>
      <c r="O97" t="s">
        <v>1490</v>
      </c>
      <c r="P97" s="7" t="s">
        <v>1491</v>
      </c>
      <c r="Q97" t="s">
        <v>1492</v>
      </c>
      <c r="R97" t="s">
        <v>1493</v>
      </c>
      <c r="S97" t="s">
        <v>1494</v>
      </c>
      <c r="T97" t="s">
        <v>1495</v>
      </c>
      <c r="U97" t="s">
        <v>1496</v>
      </c>
      <c r="Z97" t="s">
        <v>1497</v>
      </c>
      <c r="AA97" t="s">
        <v>1498</v>
      </c>
      <c r="AB97" t="s">
        <v>1499</v>
      </c>
      <c r="AC97" t="s">
        <v>1500</v>
      </c>
      <c r="AE97" t="s">
        <v>216</v>
      </c>
      <c r="AF97" t="s">
        <v>1501</v>
      </c>
      <c r="AG97" t="s">
        <v>1502</v>
      </c>
      <c r="AH97" t="s">
        <v>1503</v>
      </c>
      <c r="AI97" t="s">
        <v>1504</v>
      </c>
      <c r="AJ97" t="s">
        <v>1505</v>
      </c>
      <c r="AL97" t="s">
        <v>1506</v>
      </c>
      <c r="AM97" t="s">
        <v>1507</v>
      </c>
      <c r="AO97" t="s">
        <v>80</v>
      </c>
      <c r="AP97" t="s">
        <v>1508</v>
      </c>
      <c r="AQ97" t="s">
        <v>82</v>
      </c>
      <c r="AR97" t="s">
        <v>83</v>
      </c>
      <c r="AS97" t="s">
        <v>1185</v>
      </c>
      <c r="AT97" t="s">
        <v>84</v>
      </c>
      <c r="AU97" t="s">
        <v>1509</v>
      </c>
      <c r="AV97" t="s">
        <v>86</v>
      </c>
      <c r="AW97" t="s">
        <v>84</v>
      </c>
      <c r="AX97" t="b">
        <v>1</v>
      </c>
      <c r="AY97" s="4">
        <f t="shared" si="10"/>
        <v>1</v>
      </c>
      <c r="AZ97" t="b">
        <v>1</v>
      </c>
      <c r="BA97" s="4">
        <f t="shared" si="11"/>
        <v>1</v>
      </c>
      <c r="BB97" t="b">
        <v>1</v>
      </c>
      <c r="BC97" s="4">
        <f t="shared" si="12"/>
        <v>1</v>
      </c>
      <c r="BD97" s="5">
        <v>1</v>
      </c>
      <c r="BE97" s="5">
        <v>1</v>
      </c>
      <c r="BF97" s="5">
        <v>1</v>
      </c>
      <c r="BG97" s="5">
        <v>1</v>
      </c>
      <c r="BH97" s="16" t="str">
        <f t="shared" si="13"/>
        <v>Yes</v>
      </c>
      <c r="BI97" t="str">
        <f t="shared" si="14"/>
        <v>Yes</v>
      </c>
      <c r="BJ97" s="5">
        <v>1</v>
      </c>
      <c r="BK97" t="s">
        <v>2841</v>
      </c>
    </row>
    <row r="98" spans="1:63" ht="17" x14ac:dyDescent="0.2">
      <c r="A98">
        <v>20</v>
      </c>
      <c r="B98" t="s">
        <v>528</v>
      </c>
      <c r="C98" t="s">
        <v>529</v>
      </c>
      <c r="D98" t="s">
        <v>530</v>
      </c>
      <c r="E98" s="4" t="s">
        <v>531</v>
      </c>
      <c r="F98" t="s">
        <v>92</v>
      </c>
      <c r="G98" t="s">
        <v>532</v>
      </c>
      <c r="K98" t="s">
        <v>533</v>
      </c>
      <c r="L98" t="s">
        <v>534</v>
      </c>
      <c r="M98" t="s">
        <v>457</v>
      </c>
      <c r="N98" t="s">
        <v>61</v>
      </c>
      <c r="O98" t="s">
        <v>535</v>
      </c>
      <c r="P98" s="7" t="s">
        <v>536</v>
      </c>
      <c r="Q98" t="s">
        <v>537</v>
      </c>
      <c r="R98" t="s">
        <v>538</v>
      </c>
      <c r="S98" t="s">
        <v>539</v>
      </c>
      <c r="T98" t="s">
        <v>540</v>
      </c>
      <c r="U98" t="s">
        <v>541</v>
      </c>
      <c r="AB98" t="s">
        <v>542</v>
      </c>
      <c r="AC98" t="s">
        <v>543</v>
      </c>
      <c r="AD98" t="s">
        <v>544</v>
      </c>
      <c r="AE98" t="s">
        <v>216</v>
      </c>
      <c r="AF98" t="s">
        <v>545</v>
      </c>
      <c r="AG98" t="s">
        <v>546</v>
      </c>
      <c r="AH98" t="s">
        <v>547</v>
      </c>
      <c r="AI98" t="s">
        <v>548</v>
      </c>
      <c r="AJ98" t="s">
        <v>549</v>
      </c>
      <c r="AL98" t="s">
        <v>550</v>
      </c>
      <c r="AO98" t="s">
        <v>80</v>
      </c>
      <c r="AP98" t="s">
        <v>551</v>
      </c>
      <c r="AQ98" t="s">
        <v>82</v>
      </c>
      <c r="AR98" t="s">
        <v>83</v>
      </c>
      <c r="AT98" t="s">
        <v>84</v>
      </c>
      <c r="AU98" t="s">
        <v>552</v>
      </c>
      <c r="AV98" t="s">
        <v>86</v>
      </c>
      <c r="AW98" t="s">
        <v>84</v>
      </c>
      <c r="AX98" t="s">
        <v>87</v>
      </c>
      <c r="AY98" s="4">
        <f t="shared" ref="AY98:AY129" si="15">IF(AX98=TRUE,1,IF(AX98=FALSE,0,-1))</f>
        <v>-1</v>
      </c>
      <c r="AZ98" t="b">
        <v>1</v>
      </c>
      <c r="BA98" s="4">
        <f t="shared" ref="BA98:BA129" si="16">IF(AZ98=TRUE,1,IF(AZ98=FALSE,0,-1))</f>
        <v>1</v>
      </c>
      <c r="BB98" t="b">
        <v>1</v>
      </c>
      <c r="BC98" s="4">
        <f t="shared" ref="BC98:BC129" si="17">IF(BB98=TRUE,1,IF(BB98=FALSE,0,-1))</f>
        <v>1</v>
      </c>
      <c r="BD98" s="5">
        <v>1</v>
      </c>
      <c r="BE98" s="5">
        <v>1</v>
      </c>
      <c r="BF98" s="5">
        <v>1</v>
      </c>
      <c r="BG98" s="5">
        <v>-1</v>
      </c>
      <c r="BH98" s="5" t="str">
        <f t="shared" ref="BH98:BH129" si="18">IF(BG98=1,"Yes",IF(BG98=-1,"Doubt","No"))</f>
        <v>Doubt</v>
      </c>
      <c r="BI98" t="str">
        <f t="shared" ref="BI98:BI129" si="19">IF(BF98=1,"Yes","No")</f>
        <v>Yes</v>
      </c>
      <c r="BJ98" s="5">
        <v>1</v>
      </c>
      <c r="BK98" t="s">
        <v>2944</v>
      </c>
    </row>
    <row r="99" spans="1:63" ht="17" x14ac:dyDescent="0.2">
      <c r="A99">
        <v>41</v>
      </c>
      <c r="B99" t="s">
        <v>901</v>
      </c>
      <c r="C99" t="s">
        <v>902</v>
      </c>
      <c r="D99" t="s">
        <v>903</v>
      </c>
      <c r="E99" s="4" t="s">
        <v>904</v>
      </c>
      <c r="F99" t="s">
        <v>146</v>
      </c>
      <c r="G99" t="s">
        <v>905</v>
      </c>
      <c r="H99">
        <v>659</v>
      </c>
      <c r="J99">
        <v>120060</v>
      </c>
      <c r="N99" t="s">
        <v>180</v>
      </c>
      <c r="O99" t="s">
        <v>906</v>
      </c>
      <c r="P99" s="7" t="s">
        <v>907</v>
      </c>
      <c r="Q99" t="s">
        <v>908</v>
      </c>
      <c r="R99" t="s">
        <v>909</v>
      </c>
      <c r="S99" t="s">
        <v>910</v>
      </c>
      <c r="T99" t="s">
        <v>911</v>
      </c>
      <c r="U99" t="s">
        <v>912</v>
      </c>
      <c r="AB99" t="s">
        <v>913</v>
      </c>
      <c r="AC99" t="s">
        <v>914</v>
      </c>
      <c r="AE99" t="s">
        <v>915</v>
      </c>
      <c r="AK99">
        <v>200255</v>
      </c>
      <c r="AM99" t="s">
        <v>916</v>
      </c>
      <c r="AO99" t="s">
        <v>80</v>
      </c>
      <c r="AP99" t="s">
        <v>917</v>
      </c>
      <c r="AQ99" t="s">
        <v>245</v>
      </c>
      <c r="AR99" t="s">
        <v>83</v>
      </c>
      <c r="AT99" t="s">
        <v>84</v>
      </c>
      <c r="AU99" t="s">
        <v>918</v>
      </c>
      <c r="AV99" t="s">
        <v>86</v>
      </c>
      <c r="AW99" t="s">
        <v>84</v>
      </c>
      <c r="AX99" t="s">
        <v>87</v>
      </c>
      <c r="AY99" s="4">
        <f t="shared" si="15"/>
        <v>-1</v>
      </c>
      <c r="AZ99" t="b">
        <v>1</v>
      </c>
      <c r="BA99" s="4">
        <f t="shared" si="16"/>
        <v>1</v>
      </c>
      <c r="BB99" t="s">
        <v>87</v>
      </c>
      <c r="BC99" s="4">
        <f t="shared" si="17"/>
        <v>-1</v>
      </c>
      <c r="BD99" s="5">
        <v>1</v>
      </c>
      <c r="BE99" s="5">
        <v>1</v>
      </c>
      <c r="BF99" s="5">
        <v>1</v>
      </c>
      <c r="BG99" s="5">
        <v>1</v>
      </c>
      <c r="BH99" s="5" t="str">
        <f t="shared" si="18"/>
        <v>Yes</v>
      </c>
      <c r="BI99" t="str">
        <f t="shared" si="19"/>
        <v>Yes</v>
      </c>
      <c r="BJ99" s="5">
        <v>1</v>
      </c>
      <c r="BK99" t="s">
        <v>2874</v>
      </c>
    </row>
    <row r="100" spans="1:63" ht="17" x14ac:dyDescent="0.2">
      <c r="A100">
        <v>141</v>
      </c>
      <c r="B100" t="s">
        <v>2451</v>
      </c>
      <c r="C100" t="s">
        <v>2452</v>
      </c>
      <c r="D100" t="s">
        <v>2453</v>
      </c>
      <c r="E100" s="4" t="s">
        <v>2454</v>
      </c>
      <c r="F100" t="s">
        <v>2455</v>
      </c>
      <c r="G100" t="s">
        <v>2456</v>
      </c>
      <c r="H100">
        <v>4</v>
      </c>
      <c r="K100" t="s">
        <v>2457</v>
      </c>
      <c r="L100" t="s">
        <v>2458</v>
      </c>
      <c r="M100" t="s">
        <v>125</v>
      </c>
      <c r="N100" t="s">
        <v>2459</v>
      </c>
      <c r="O100" t="s">
        <v>2460</v>
      </c>
      <c r="P100" s="7" t="s">
        <v>2461</v>
      </c>
      <c r="Q100" t="s">
        <v>2462</v>
      </c>
      <c r="R100" t="s">
        <v>2463</v>
      </c>
      <c r="S100" t="s">
        <v>2464</v>
      </c>
      <c r="U100" t="s">
        <v>2465</v>
      </c>
      <c r="AB100" t="s">
        <v>2466</v>
      </c>
      <c r="AC100" t="s">
        <v>2467</v>
      </c>
      <c r="AE100" t="s">
        <v>109</v>
      </c>
      <c r="AF100" t="s">
        <v>2468</v>
      </c>
      <c r="AG100" t="s">
        <v>2469</v>
      </c>
      <c r="AH100" t="s">
        <v>2470</v>
      </c>
      <c r="AI100" t="s">
        <v>2471</v>
      </c>
      <c r="AJ100" t="s">
        <v>2472</v>
      </c>
      <c r="AL100" t="s">
        <v>2473</v>
      </c>
      <c r="AO100" t="s">
        <v>80</v>
      </c>
      <c r="AP100" t="s">
        <v>2474</v>
      </c>
      <c r="AQ100" t="s">
        <v>82</v>
      </c>
      <c r="AR100" t="s">
        <v>83</v>
      </c>
      <c r="AS100" t="s">
        <v>115</v>
      </c>
      <c r="AT100" t="s">
        <v>84</v>
      </c>
      <c r="AU100" t="s">
        <v>2475</v>
      </c>
      <c r="AV100" t="s">
        <v>2313</v>
      </c>
      <c r="AW100" t="s">
        <v>84</v>
      </c>
      <c r="AX100" t="b">
        <v>1</v>
      </c>
      <c r="AY100" s="4">
        <f t="shared" si="15"/>
        <v>1</v>
      </c>
      <c r="AZ100" t="b">
        <v>1</v>
      </c>
      <c r="BA100" s="4">
        <f t="shared" si="16"/>
        <v>1</v>
      </c>
      <c r="BB100" t="b">
        <v>1</v>
      </c>
      <c r="BC100" s="4">
        <f t="shared" si="17"/>
        <v>1</v>
      </c>
      <c r="BD100" s="5">
        <v>1</v>
      </c>
      <c r="BE100" s="5">
        <v>0</v>
      </c>
      <c r="BF100" s="5">
        <v>1</v>
      </c>
      <c r="BG100" s="5">
        <v>1</v>
      </c>
      <c r="BH100" s="5" t="str">
        <f t="shared" si="18"/>
        <v>Yes</v>
      </c>
      <c r="BI100" t="str">
        <f t="shared" si="19"/>
        <v>Yes</v>
      </c>
      <c r="BJ100" s="5">
        <v>1</v>
      </c>
      <c r="BK100" t="s">
        <v>2952</v>
      </c>
    </row>
    <row r="101" spans="1:63" ht="17" x14ac:dyDescent="0.2">
      <c r="A101">
        <v>134</v>
      </c>
      <c r="B101" t="s">
        <v>2339</v>
      </c>
      <c r="C101" t="s">
        <v>2340</v>
      </c>
      <c r="D101" t="s">
        <v>2341</v>
      </c>
      <c r="E101" s="4" t="s">
        <v>2342</v>
      </c>
      <c r="F101" t="s">
        <v>176</v>
      </c>
      <c r="G101" t="s">
        <v>672</v>
      </c>
      <c r="K101" t="s">
        <v>2343</v>
      </c>
      <c r="L101" t="s">
        <v>2344</v>
      </c>
      <c r="M101" t="s">
        <v>475</v>
      </c>
      <c r="N101" t="s">
        <v>280</v>
      </c>
      <c r="P101" t="s">
        <v>2345</v>
      </c>
      <c r="Q101" t="s">
        <v>2346</v>
      </c>
      <c r="R101" t="s">
        <v>2347</v>
      </c>
      <c r="S101" t="s">
        <v>2348</v>
      </c>
      <c r="U101" t="s">
        <v>2349</v>
      </c>
      <c r="Z101" t="s">
        <v>2350</v>
      </c>
      <c r="AA101" t="s">
        <v>2351</v>
      </c>
      <c r="AB101" t="s">
        <v>2352</v>
      </c>
      <c r="AC101" t="s">
        <v>2353</v>
      </c>
      <c r="AD101" t="s">
        <v>685</v>
      </c>
      <c r="AE101" t="s">
        <v>109</v>
      </c>
      <c r="AF101" t="s">
        <v>686</v>
      </c>
      <c r="AG101" t="s">
        <v>687</v>
      </c>
      <c r="AH101" t="s">
        <v>382</v>
      </c>
      <c r="AI101" t="s">
        <v>688</v>
      </c>
      <c r="AJ101" t="s">
        <v>689</v>
      </c>
      <c r="AL101" t="s">
        <v>690</v>
      </c>
      <c r="AO101" t="s">
        <v>80</v>
      </c>
      <c r="AP101" t="s">
        <v>140</v>
      </c>
      <c r="AQ101" t="s">
        <v>82</v>
      </c>
      <c r="AR101" t="s">
        <v>83</v>
      </c>
      <c r="AT101" t="s">
        <v>84</v>
      </c>
      <c r="AU101" t="s">
        <v>2354</v>
      </c>
      <c r="AV101" t="s">
        <v>2313</v>
      </c>
      <c r="AW101" t="s">
        <v>84</v>
      </c>
      <c r="AX101" t="b">
        <v>1</v>
      </c>
      <c r="AY101" s="4">
        <f t="shared" si="15"/>
        <v>1</v>
      </c>
      <c r="AZ101" t="b">
        <v>1</v>
      </c>
      <c r="BA101" s="4">
        <f t="shared" si="16"/>
        <v>1</v>
      </c>
      <c r="BB101" t="b">
        <v>1</v>
      </c>
      <c r="BC101" s="4">
        <f t="shared" si="17"/>
        <v>1</v>
      </c>
      <c r="BD101" s="5">
        <v>1</v>
      </c>
      <c r="BE101" s="5">
        <v>1</v>
      </c>
      <c r="BF101" s="5">
        <v>0</v>
      </c>
      <c r="BG101" s="5">
        <v>0</v>
      </c>
      <c r="BH101" s="5" t="str">
        <f t="shared" si="18"/>
        <v>No</v>
      </c>
      <c r="BI101" t="str">
        <f t="shared" si="19"/>
        <v>No</v>
      </c>
      <c r="BJ101" s="5">
        <v>0</v>
      </c>
      <c r="BK101" t="s">
        <v>2847</v>
      </c>
    </row>
    <row r="102" spans="1:63" ht="17" x14ac:dyDescent="0.2">
      <c r="A102">
        <v>72</v>
      </c>
      <c r="B102" t="s">
        <v>1449</v>
      </c>
      <c r="C102" t="s">
        <v>1450</v>
      </c>
      <c r="D102" t="s">
        <v>1451</v>
      </c>
      <c r="E102" s="4" t="s">
        <v>1452</v>
      </c>
      <c r="F102" t="s">
        <v>146</v>
      </c>
      <c r="G102" t="s">
        <v>1453</v>
      </c>
      <c r="K102" t="s">
        <v>1454</v>
      </c>
      <c r="L102" t="s">
        <v>783</v>
      </c>
      <c r="M102" t="s">
        <v>649</v>
      </c>
      <c r="N102" t="s">
        <v>61</v>
      </c>
      <c r="P102" s="7" t="s">
        <v>1455</v>
      </c>
      <c r="Q102" t="s">
        <v>1456</v>
      </c>
      <c r="R102" t="s">
        <v>1457</v>
      </c>
      <c r="S102" t="s">
        <v>1458</v>
      </c>
      <c r="U102" t="s">
        <v>1459</v>
      </c>
      <c r="AB102" t="s">
        <v>1460</v>
      </c>
      <c r="AC102" t="s">
        <v>1461</v>
      </c>
      <c r="AD102" t="s">
        <v>1462</v>
      </c>
      <c r="AE102" t="s">
        <v>109</v>
      </c>
      <c r="AF102" t="s">
        <v>1463</v>
      </c>
      <c r="AG102" t="s">
        <v>1464</v>
      </c>
      <c r="AH102" t="s">
        <v>896</v>
      </c>
      <c r="AI102" t="s">
        <v>1465</v>
      </c>
      <c r="AJ102" t="s">
        <v>1466</v>
      </c>
      <c r="AL102" t="s">
        <v>1467</v>
      </c>
      <c r="AO102" t="s">
        <v>80</v>
      </c>
      <c r="AP102" t="s">
        <v>1468</v>
      </c>
      <c r="AQ102" t="s">
        <v>82</v>
      </c>
      <c r="AR102" t="s">
        <v>83</v>
      </c>
      <c r="AT102" t="s">
        <v>84</v>
      </c>
      <c r="AU102" t="s">
        <v>1469</v>
      </c>
      <c r="AV102" t="s">
        <v>86</v>
      </c>
      <c r="AW102" t="s">
        <v>84</v>
      </c>
      <c r="AX102" t="b">
        <v>1</v>
      </c>
      <c r="AY102" s="4">
        <f t="shared" si="15"/>
        <v>1</v>
      </c>
      <c r="AZ102" t="b">
        <v>1</v>
      </c>
      <c r="BA102" s="4">
        <f t="shared" si="16"/>
        <v>1</v>
      </c>
      <c r="BB102" t="b">
        <v>1</v>
      </c>
      <c r="BC102" s="4">
        <f t="shared" si="17"/>
        <v>1</v>
      </c>
      <c r="BD102" s="5">
        <v>1</v>
      </c>
      <c r="BE102" s="5">
        <v>1</v>
      </c>
      <c r="BF102" s="5">
        <v>1</v>
      </c>
      <c r="BG102" s="5">
        <v>-1</v>
      </c>
      <c r="BH102" s="5" t="str">
        <f t="shared" si="18"/>
        <v>Doubt</v>
      </c>
      <c r="BI102" t="str">
        <f t="shared" si="19"/>
        <v>Yes</v>
      </c>
      <c r="BJ102" s="5">
        <v>1</v>
      </c>
      <c r="BK102" t="s">
        <v>2927</v>
      </c>
    </row>
    <row r="103" spans="1:63" ht="17" x14ac:dyDescent="0.2">
      <c r="A103">
        <v>12</v>
      </c>
      <c r="B103" t="s">
        <v>364</v>
      </c>
      <c r="C103" t="s">
        <v>365</v>
      </c>
      <c r="D103" t="s">
        <v>366</v>
      </c>
      <c r="E103" s="4" t="s">
        <v>367</v>
      </c>
      <c r="F103" t="s">
        <v>176</v>
      </c>
      <c r="G103" t="s">
        <v>368</v>
      </c>
      <c r="K103" t="s">
        <v>369</v>
      </c>
      <c r="L103" t="s">
        <v>370</v>
      </c>
      <c r="M103" t="s">
        <v>125</v>
      </c>
      <c r="N103" t="s">
        <v>61</v>
      </c>
      <c r="P103" s="7" t="s">
        <v>371</v>
      </c>
      <c r="Q103" t="s">
        <v>372</v>
      </c>
      <c r="R103" t="s">
        <v>373</v>
      </c>
      <c r="S103" t="s">
        <v>374</v>
      </c>
      <c r="U103" t="s">
        <v>375</v>
      </c>
      <c r="Z103" t="s">
        <v>376</v>
      </c>
      <c r="AA103" t="s">
        <v>377</v>
      </c>
      <c r="AB103" t="s">
        <v>378</v>
      </c>
      <c r="AC103" t="s">
        <v>379</v>
      </c>
      <c r="AE103" t="s">
        <v>109</v>
      </c>
      <c r="AF103" t="s">
        <v>380</v>
      </c>
      <c r="AG103" t="s">
        <v>381</v>
      </c>
      <c r="AH103" t="s">
        <v>382</v>
      </c>
      <c r="AI103" t="s">
        <v>383</v>
      </c>
      <c r="AJ103" t="s">
        <v>384</v>
      </c>
      <c r="AL103" t="s">
        <v>385</v>
      </c>
      <c r="AO103" t="s">
        <v>80</v>
      </c>
      <c r="AP103" t="s">
        <v>114</v>
      </c>
      <c r="AQ103" t="s">
        <v>82</v>
      </c>
      <c r="AR103" t="s">
        <v>83</v>
      </c>
      <c r="AT103" t="s">
        <v>84</v>
      </c>
      <c r="AU103" t="s">
        <v>386</v>
      </c>
      <c r="AV103" t="s">
        <v>86</v>
      </c>
      <c r="AW103" t="s">
        <v>84</v>
      </c>
      <c r="AX103" t="b">
        <v>1</v>
      </c>
      <c r="AY103" s="4">
        <f t="shared" si="15"/>
        <v>1</v>
      </c>
      <c r="AZ103" t="b">
        <v>1</v>
      </c>
      <c r="BA103" s="4">
        <f t="shared" si="16"/>
        <v>1</v>
      </c>
      <c r="BB103" t="b">
        <v>1</v>
      </c>
      <c r="BC103" s="4">
        <f t="shared" si="17"/>
        <v>1</v>
      </c>
      <c r="BD103" s="5">
        <v>1</v>
      </c>
      <c r="BE103" s="5">
        <v>1</v>
      </c>
      <c r="BF103" s="5">
        <v>1</v>
      </c>
      <c r="BG103" s="5">
        <v>1</v>
      </c>
      <c r="BH103" s="14" t="str">
        <f t="shared" si="18"/>
        <v>Yes</v>
      </c>
      <c r="BI103" t="str">
        <f t="shared" si="19"/>
        <v>Yes</v>
      </c>
      <c r="BJ103" s="5">
        <v>1</v>
      </c>
      <c r="BK103" t="s">
        <v>2916</v>
      </c>
    </row>
    <row r="104" spans="1:63" ht="17" x14ac:dyDescent="0.2">
      <c r="A104">
        <v>161</v>
      </c>
      <c r="B104" t="s">
        <v>2763</v>
      </c>
      <c r="C104" t="s">
        <v>2764</v>
      </c>
      <c r="D104">
        <v>57224354310</v>
      </c>
      <c r="E104" s="4" t="s">
        <v>2765</v>
      </c>
      <c r="F104" t="s">
        <v>121</v>
      </c>
      <c r="G104" t="s">
        <v>2766</v>
      </c>
      <c r="K104" t="s">
        <v>2767</v>
      </c>
      <c r="L104" t="s">
        <v>2768</v>
      </c>
      <c r="M104" t="s">
        <v>180</v>
      </c>
      <c r="N104" t="s">
        <v>61</v>
      </c>
      <c r="O104" t="s">
        <v>2769</v>
      </c>
      <c r="P104" s="7" t="s">
        <v>2770</v>
      </c>
      <c r="Q104" t="s">
        <v>2771</v>
      </c>
      <c r="R104" t="s">
        <v>2772</v>
      </c>
      <c r="S104" t="s">
        <v>2773</v>
      </c>
      <c r="U104" t="s">
        <v>2774</v>
      </c>
      <c r="AB104" t="s">
        <v>2775</v>
      </c>
      <c r="AC104" t="s">
        <v>2776</v>
      </c>
      <c r="AE104" t="s">
        <v>109</v>
      </c>
      <c r="AG104" t="s">
        <v>2777</v>
      </c>
      <c r="AH104" t="s">
        <v>2778</v>
      </c>
      <c r="AI104" t="s">
        <v>404</v>
      </c>
      <c r="AJ104" t="s">
        <v>2779</v>
      </c>
      <c r="AL104" t="s">
        <v>2780</v>
      </c>
      <c r="AO104" t="s">
        <v>80</v>
      </c>
      <c r="AP104" t="s">
        <v>2781</v>
      </c>
      <c r="AQ104" t="s">
        <v>82</v>
      </c>
      <c r="AR104" t="s">
        <v>83</v>
      </c>
      <c r="AS104" t="s">
        <v>362</v>
      </c>
      <c r="AT104" t="s">
        <v>84</v>
      </c>
      <c r="AU104" t="s">
        <v>2782</v>
      </c>
      <c r="AV104" t="s">
        <v>2635</v>
      </c>
      <c r="AW104" t="s">
        <v>84</v>
      </c>
      <c r="AX104" t="s">
        <v>87</v>
      </c>
      <c r="AY104" s="4">
        <f t="shared" si="15"/>
        <v>-1</v>
      </c>
      <c r="AZ104" t="b">
        <v>1</v>
      </c>
      <c r="BA104" s="4">
        <f t="shared" si="16"/>
        <v>1</v>
      </c>
      <c r="BB104" t="s">
        <v>87</v>
      </c>
      <c r="BC104" s="4">
        <f t="shared" si="17"/>
        <v>-1</v>
      </c>
      <c r="BD104" s="5">
        <v>1</v>
      </c>
      <c r="BE104" s="5">
        <v>1</v>
      </c>
      <c r="BF104" s="5">
        <v>1</v>
      </c>
      <c r="BG104" s="5">
        <v>-1</v>
      </c>
      <c r="BH104" s="5" t="str">
        <f t="shared" si="18"/>
        <v>Doubt</v>
      </c>
      <c r="BI104" t="str">
        <f t="shared" si="19"/>
        <v>Yes</v>
      </c>
      <c r="BJ104" s="5">
        <v>1</v>
      </c>
      <c r="BK104" t="s">
        <v>2960</v>
      </c>
    </row>
    <row r="105" spans="1:63" ht="17" x14ac:dyDescent="0.2">
      <c r="A105">
        <v>106</v>
      </c>
      <c r="B105" t="s">
        <v>1919</v>
      </c>
      <c r="C105" t="s">
        <v>1920</v>
      </c>
      <c r="D105" t="s">
        <v>1921</v>
      </c>
      <c r="E105" s="4" t="s">
        <v>1922</v>
      </c>
      <c r="F105" t="s">
        <v>1879</v>
      </c>
      <c r="G105" t="s">
        <v>1923</v>
      </c>
      <c r="K105" t="s">
        <v>231</v>
      </c>
      <c r="L105" t="s">
        <v>60</v>
      </c>
      <c r="M105" t="s">
        <v>745</v>
      </c>
      <c r="N105" t="s">
        <v>1924</v>
      </c>
      <c r="O105" t="s">
        <v>1925</v>
      </c>
      <c r="P105" s="7" t="s">
        <v>1926</v>
      </c>
      <c r="Q105" t="s">
        <v>1927</v>
      </c>
      <c r="R105" t="s">
        <v>1928</v>
      </c>
      <c r="S105" t="s">
        <v>1929</v>
      </c>
      <c r="T105" t="s">
        <v>1930</v>
      </c>
      <c r="U105" t="s">
        <v>1931</v>
      </c>
      <c r="Z105" t="s">
        <v>1932</v>
      </c>
      <c r="AA105" t="s">
        <v>1933</v>
      </c>
      <c r="AB105" t="s">
        <v>1934</v>
      </c>
      <c r="AE105" t="s">
        <v>354</v>
      </c>
      <c r="AF105" t="s">
        <v>1935</v>
      </c>
      <c r="AG105" t="s">
        <v>1936</v>
      </c>
      <c r="AH105" t="s">
        <v>1937</v>
      </c>
      <c r="AI105" t="s">
        <v>358</v>
      </c>
      <c r="AJ105" t="s">
        <v>1938</v>
      </c>
      <c r="AL105" t="s">
        <v>1939</v>
      </c>
      <c r="AO105" t="s">
        <v>80</v>
      </c>
      <c r="AP105" t="s">
        <v>1940</v>
      </c>
      <c r="AQ105" t="s">
        <v>82</v>
      </c>
      <c r="AR105" t="s">
        <v>83</v>
      </c>
      <c r="AS105" t="s">
        <v>1185</v>
      </c>
      <c r="AT105" t="s">
        <v>84</v>
      </c>
      <c r="AU105" t="s">
        <v>1941</v>
      </c>
      <c r="AV105" t="s">
        <v>86</v>
      </c>
      <c r="AW105" t="s">
        <v>84</v>
      </c>
      <c r="AX105" t="b">
        <v>1</v>
      </c>
      <c r="AY105" s="4">
        <f t="shared" si="15"/>
        <v>1</v>
      </c>
      <c r="AZ105" t="s">
        <v>87</v>
      </c>
      <c r="BA105" s="4">
        <f t="shared" si="16"/>
        <v>-1</v>
      </c>
      <c r="BB105" t="b">
        <v>1</v>
      </c>
      <c r="BC105" s="4">
        <f t="shared" si="17"/>
        <v>1</v>
      </c>
      <c r="BD105" s="5">
        <v>1</v>
      </c>
      <c r="BE105" s="5">
        <v>1</v>
      </c>
      <c r="BF105" s="5">
        <v>1</v>
      </c>
      <c r="BG105" s="5">
        <v>1</v>
      </c>
      <c r="BH105" s="6" t="str">
        <f t="shared" si="18"/>
        <v>Yes</v>
      </c>
      <c r="BI105" t="str">
        <f t="shared" si="19"/>
        <v>Yes</v>
      </c>
      <c r="BJ105" s="5">
        <v>1</v>
      </c>
      <c r="BK105" t="s">
        <v>2846</v>
      </c>
    </row>
    <row r="106" spans="1:63" ht="17" x14ac:dyDescent="0.2">
      <c r="A106">
        <v>124</v>
      </c>
      <c r="B106" t="s">
        <v>2218</v>
      </c>
      <c r="C106" t="s">
        <v>2219</v>
      </c>
      <c r="D106" t="s">
        <v>2220</v>
      </c>
      <c r="E106" s="4" t="s">
        <v>2221</v>
      </c>
      <c r="F106" t="s">
        <v>121</v>
      </c>
      <c r="G106" t="s">
        <v>2222</v>
      </c>
      <c r="N106" t="s">
        <v>231</v>
      </c>
      <c r="O106" t="s">
        <v>2223</v>
      </c>
      <c r="P106" s="7" t="s">
        <v>2224</v>
      </c>
      <c r="Q106" t="s">
        <v>2225</v>
      </c>
      <c r="R106" t="s">
        <v>2226</v>
      </c>
      <c r="S106" t="s">
        <v>2227</v>
      </c>
      <c r="T106" t="s">
        <v>2228</v>
      </c>
      <c r="U106" t="s">
        <v>2229</v>
      </c>
      <c r="AB106" t="s">
        <v>2230</v>
      </c>
      <c r="AE106" t="s">
        <v>216</v>
      </c>
      <c r="AG106" t="s">
        <v>2231</v>
      </c>
      <c r="AH106" t="s">
        <v>2232</v>
      </c>
      <c r="AI106" t="s">
        <v>2233</v>
      </c>
      <c r="AJ106" t="s">
        <v>2234</v>
      </c>
      <c r="AL106" t="s">
        <v>2235</v>
      </c>
      <c r="AO106" t="s">
        <v>80</v>
      </c>
      <c r="AP106" t="s">
        <v>2236</v>
      </c>
      <c r="AQ106" t="s">
        <v>82</v>
      </c>
      <c r="AR106" t="s">
        <v>83</v>
      </c>
      <c r="AS106" t="s">
        <v>1185</v>
      </c>
      <c r="AT106" t="s">
        <v>84</v>
      </c>
      <c r="AU106" t="s">
        <v>2237</v>
      </c>
      <c r="AV106" t="s">
        <v>86</v>
      </c>
      <c r="AW106" t="s">
        <v>84</v>
      </c>
      <c r="AX106" t="s">
        <v>87</v>
      </c>
      <c r="AY106" s="4">
        <f t="shared" si="15"/>
        <v>-1</v>
      </c>
      <c r="AZ106" t="b">
        <v>1</v>
      </c>
      <c r="BA106" s="4">
        <f t="shared" si="16"/>
        <v>1</v>
      </c>
      <c r="BB106" t="b">
        <v>1</v>
      </c>
      <c r="BC106" s="4">
        <f t="shared" si="17"/>
        <v>1</v>
      </c>
      <c r="BD106" s="5">
        <v>1</v>
      </c>
      <c r="BE106" s="5">
        <v>1</v>
      </c>
      <c r="BF106" s="5">
        <v>1</v>
      </c>
      <c r="BG106" s="5">
        <v>-1</v>
      </c>
      <c r="BH106" s="17" t="str">
        <f t="shared" si="18"/>
        <v>Doubt</v>
      </c>
      <c r="BI106" t="str">
        <f t="shared" si="19"/>
        <v>Yes</v>
      </c>
      <c r="BJ106" s="5">
        <v>1</v>
      </c>
      <c r="BK106" t="s">
        <v>2869</v>
      </c>
    </row>
    <row r="107" spans="1:63" ht="17" x14ac:dyDescent="0.2">
      <c r="A107">
        <v>155</v>
      </c>
      <c r="B107" t="s">
        <v>2636</v>
      </c>
      <c r="C107" t="s">
        <v>2637</v>
      </c>
      <c r="D107" t="s">
        <v>2638</v>
      </c>
      <c r="E107" s="4" t="s">
        <v>2639</v>
      </c>
      <c r="F107" t="s">
        <v>121</v>
      </c>
      <c r="G107" t="s">
        <v>2640</v>
      </c>
      <c r="K107" t="s">
        <v>2641</v>
      </c>
      <c r="L107" t="s">
        <v>2642</v>
      </c>
      <c r="M107" t="s">
        <v>151</v>
      </c>
      <c r="N107" t="s">
        <v>745</v>
      </c>
      <c r="O107" t="s">
        <v>2643</v>
      </c>
      <c r="P107" s="7" t="s">
        <v>2644</v>
      </c>
      <c r="Q107" t="s">
        <v>2645</v>
      </c>
      <c r="R107" t="s">
        <v>2646</v>
      </c>
      <c r="S107" t="s">
        <v>2647</v>
      </c>
      <c r="T107" t="s">
        <v>2648</v>
      </c>
      <c r="U107" t="s">
        <v>2649</v>
      </c>
      <c r="AB107" t="s">
        <v>2650</v>
      </c>
      <c r="AC107" t="s">
        <v>2651</v>
      </c>
      <c r="AE107" t="s">
        <v>354</v>
      </c>
      <c r="AF107" t="s">
        <v>2652</v>
      </c>
      <c r="AG107" t="s">
        <v>2653</v>
      </c>
      <c r="AH107" t="s">
        <v>2654</v>
      </c>
      <c r="AI107" t="s">
        <v>404</v>
      </c>
      <c r="AJ107" t="s">
        <v>2655</v>
      </c>
      <c r="AL107" t="s">
        <v>2656</v>
      </c>
      <c r="AO107" t="s">
        <v>80</v>
      </c>
      <c r="AP107" t="s">
        <v>2657</v>
      </c>
      <c r="AQ107" t="s">
        <v>82</v>
      </c>
      <c r="AR107" t="s">
        <v>83</v>
      </c>
      <c r="AT107" t="s">
        <v>84</v>
      </c>
      <c r="AU107" t="s">
        <v>2658</v>
      </c>
      <c r="AV107" t="s">
        <v>2635</v>
      </c>
      <c r="AW107" t="s">
        <v>84</v>
      </c>
      <c r="AX107" t="b">
        <v>1</v>
      </c>
      <c r="AY107" s="4">
        <f t="shared" si="15"/>
        <v>1</v>
      </c>
      <c r="AZ107" t="s">
        <v>87</v>
      </c>
      <c r="BA107" s="4">
        <f t="shared" si="16"/>
        <v>-1</v>
      </c>
      <c r="BB107" t="b">
        <v>1</v>
      </c>
      <c r="BC107" s="4">
        <f t="shared" si="17"/>
        <v>1</v>
      </c>
      <c r="BD107" s="5">
        <v>1</v>
      </c>
      <c r="BE107" s="5">
        <v>1</v>
      </c>
      <c r="BF107" s="5">
        <v>1</v>
      </c>
      <c r="BG107" s="5">
        <v>0</v>
      </c>
      <c r="BH107" s="5" t="str">
        <f t="shared" si="18"/>
        <v>No</v>
      </c>
      <c r="BI107" t="str">
        <f t="shared" si="19"/>
        <v>Yes</v>
      </c>
      <c r="BJ107" s="5">
        <v>1</v>
      </c>
      <c r="BK107" t="s">
        <v>2955</v>
      </c>
    </row>
    <row r="108" spans="1:63" ht="17" x14ac:dyDescent="0.2">
      <c r="A108">
        <v>111</v>
      </c>
      <c r="B108" t="s">
        <v>2024</v>
      </c>
      <c r="C108" t="s">
        <v>2025</v>
      </c>
      <c r="D108" t="s">
        <v>2026</v>
      </c>
      <c r="E108" s="4" t="s">
        <v>2027</v>
      </c>
      <c r="F108" t="s">
        <v>92</v>
      </c>
      <c r="G108" t="s">
        <v>252</v>
      </c>
      <c r="K108" t="s">
        <v>1881</v>
      </c>
      <c r="L108" t="s">
        <v>2028</v>
      </c>
      <c r="M108" t="s">
        <v>60</v>
      </c>
      <c r="N108" t="s">
        <v>2029</v>
      </c>
      <c r="P108" s="7" t="s">
        <v>2030</v>
      </c>
      <c r="Q108" t="s">
        <v>2031</v>
      </c>
      <c r="R108" t="s">
        <v>2032</v>
      </c>
      <c r="S108" t="s">
        <v>2033</v>
      </c>
      <c r="U108" t="s">
        <v>2034</v>
      </c>
      <c r="AB108" t="s">
        <v>2035</v>
      </c>
      <c r="AC108" t="s">
        <v>2036</v>
      </c>
      <c r="AD108" t="s">
        <v>2037</v>
      </c>
      <c r="AE108" t="s">
        <v>109</v>
      </c>
      <c r="AF108" t="s">
        <v>2038</v>
      </c>
      <c r="AG108" t="s">
        <v>2039</v>
      </c>
      <c r="AH108" t="s">
        <v>2040</v>
      </c>
      <c r="AI108" t="s">
        <v>1241</v>
      </c>
      <c r="AJ108" t="s">
        <v>2041</v>
      </c>
      <c r="AK108" t="s">
        <v>269</v>
      </c>
      <c r="AL108" t="s">
        <v>2042</v>
      </c>
      <c r="AO108" t="s">
        <v>80</v>
      </c>
      <c r="AP108" t="s">
        <v>271</v>
      </c>
      <c r="AQ108" t="s">
        <v>82</v>
      </c>
      <c r="AR108" t="s">
        <v>83</v>
      </c>
      <c r="AT108" t="s">
        <v>84</v>
      </c>
      <c r="AU108" t="s">
        <v>2043</v>
      </c>
      <c r="AV108" t="s">
        <v>86</v>
      </c>
      <c r="AW108" t="s">
        <v>84</v>
      </c>
      <c r="AX108" t="b">
        <v>1</v>
      </c>
      <c r="AY108" s="4">
        <f t="shared" si="15"/>
        <v>1</v>
      </c>
      <c r="AZ108" t="b">
        <v>1</v>
      </c>
      <c r="BA108" s="4">
        <f t="shared" si="16"/>
        <v>1</v>
      </c>
      <c r="BB108" t="b">
        <v>1</v>
      </c>
      <c r="BC108" s="4">
        <f t="shared" si="17"/>
        <v>1</v>
      </c>
      <c r="BD108" s="5">
        <v>1</v>
      </c>
      <c r="BE108" s="5">
        <v>0</v>
      </c>
      <c r="BF108" s="5">
        <v>1</v>
      </c>
      <c r="BG108" s="5">
        <v>1</v>
      </c>
      <c r="BH108" s="14" t="str">
        <f t="shared" si="18"/>
        <v>Yes</v>
      </c>
      <c r="BI108" t="str">
        <f t="shared" si="19"/>
        <v>Yes</v>
      </c>
      <c r="BJ108" s="5">
        <v>1</v>
      </c>
      <c r="BK108" t="s">
        <v>2911</v>
      </c>
    </row>
    <row r="109" spans="1:63" ht="17" x14ac:dyDescent="0.2">
      <c r="A109">
        <v>3</v>
      </c>
      <c r="B109" t="s">
        <v>142</v>
      </c>
      <c r="C109" t="s">
        <v>143</v>
      </c>
      <c r="D109" t="s">
        <v>144</v>
      </c>
      <c r="E109" s="4" t="s">
        <v>145</v>
      </c>
      <c r="F109" t="s">
        <v>146</v>
      </c>
      <c r="G109" t="s">
        <v>147</v>
      </c>
      <c r="H109">
        <v>38</v>
      </c>
      <c r="I109" t="s">
        <v>148</v>
      </c>
      <c r="K109" t="s">
        <v>149</v>
      </c>
      <c r="L109" t="s">
        <v>150</v>
      </c>
      <c r="M109" t="s">
        <v>151</v>
      </c>
      <c r="N109" t="s">
        <v>152</v>
      </c>
      <c r="O109" t="s">
        <v>153</v>
      </c>
      <c r="P109" s="7" t="s">
        <v>154</v>
      </c>
      <c r="Q109" t="s">
        <v>155</v>
      </c>
      <c r="R109" t="s">
        <v>156</v>
      </c>
      <c r="S109" t="s">
        <v>157</v>
      </c>
      <c r="U109" t="s">
        <v>158</v>
      </c>
      <c r="Z109" t="s">
        <v>159</v>
      </c>
      <c r="AA109" t="s">
        <v>160</v>
      </c>
      <c r="AB109" t="s">
        <v>161</v>
      </c>
      <c r="AC109" t="s">
        <v>162</v>
      </c>
      <c r="AD109" t="s">
        <v>163</v>
      </c>
      <c r="AE109" t="s">
        <v>164</v>
      </c>
      <c r="AF109" t="s">
        <v>164</v>
      </c>
      <c r="AG109" t="s">
        <v>165</v>
      </c>
      <c r="AH109" t="s">
        <v>166</v>
      </c>
      <c r="AI109" t="s">
        <v>167</v>
      </c>
      <c r="AJ109" t="s">
        <v>168</v>
      </c>
      <c r="AK109">
        <v>21595399</v>
      </c>
      <c r="AO109" t="s">
        <v>80</v>
      </c>
      <c r="AP109" t="s">
        <v>169</v>
      </c>
      <c r="AQ109" t="s">
        <v>82</v>
      </c>
      <c r="AR109" t="s">
        <v>83</v>
      </c>
      <c r="AS109" t="s">
        <v>170</v>
      </c>
      <c r="AT109" t="s">
        <v>84</v>
      </c>
      <c r="AU109" t="s">
        <v>171</v>
      </c>
      <c r="AV109" t="s">
        <v>86</v>
      </c>
      <c r="AW109" t="s">
        <v>84</v>
      </c>
      <c r="AX109" t="b">
        <v>1</v>
      </c>
      <c r="AY109" s="4">
        <f t="shared" si="15"/>
        <v>1</v>
      </c>
      <c r="AZ109" t="s">
        <v>87</v>
      </c>
      <c r="BA109" s="4">
        <f t="shared" si="16"/>
        <v>-1</v>
      </c>
      <c r="BB109" t="b">
        <v>1</v>
      </c>
      <c r="BC109" s="4">
        <f t="shared" si="17"/>
        <v>1</v>
      </c>
      <c r="BD109" s="5">
        <v>1</v>
      </c>
      <c r="BE109" s="5">
        <v>1</v>
      </c>
      <c r="BF109" s="5">
        <v>1</v>
      </c>
      <c r="BG109" s="5">
        <v>1</v>
      </c>
      <c r="BH109" s="8" t="str">
        <f t="shared" si="18"/>
        <v>Yes</v>
      </c>
      <c r="BI109" t="str">
        <f t="shared" si="19"/>
        <v>Yes</v>
      </c>
      <c r="BJ109" s="5">
        <v>1</v>
      </c>
      <c r="BK109" t="s">
        <v>2823</v>
      </c>
    </row>
    <row r="110" spans="1:63" ht="17" x14ac:dyDescent="0.2">
      <c r="A110">
        <v>121</v>
      </c>
      <c r="B110" t="s">
        <v>2176</v>
      </c>
      <c r="C110" t="s">
        <v>2177</v>
      </c>
      <c r="D110" t="s">
        <v>2178</v>
      </c>
      <c r="E110" s="4" t="s">
        <v>2179</v>
      </c>
      <c r="F110" t="s">
        <v>1879</v>
      </c>
      <c r="G110" t="s">
        <v>2180</v>
      </c>
      <c r="J110">
        <v>9122301</v>
      </c>
      <c r="K110" t="s">
        <v>2181</v>
      </c>
      <c r="L110" t="s">
        <v>2182</v>
      </c>
      <c r="M110" t="s">
        <v>97</v>
      </c>
      <c r="N110" t="s">
        <v>280</v>
      </c>
      <c r="O110" t="s">
        <v>2183</v>
      </c>
      <c r="P110" t="s">
        <v>2184</v>
      </c>
      <c r="Q110" t="s">
        <v>2185</v>
      </c>
      <c r="R110" t="s">
        <v>2186</v>
      </c>
      <c r="S110" t="s">
        <v>2187</v>
      </c>
      <c r="T110" t="s">
        <v>2188</v>
      </c>
      <c r="U110" t="s">
        <v>2189</v>
      </c>
      <c r="AB110" t="s">
        <v>2190</v>
      </c>
      <c r="AC110" t="s">
        <v>2191</v>
      </c>
      <c r="AE110" t="s">
        <v>216</v>
      </c>
      <c r="AG110" t="s">
        <v>2192</v>
      </c>
      <c r="AH110" t="s">
        <v>2193</v>
      </c>
      <c r="AI110" t="s">
        <v>2194</v>
      </c>
      <c r="AJ110" t="s">
        <v>2195</v>
      </c>
      <c r="AL110" t="s">
        <v>2196</v>
      </c>
      <c r="AO110" t="s">
        <v>80</v>
      </c>
      <c r="AP110" t="s">
        <v>2197</v>
      </c>
      <c r="AQ110" t="s">
        <v>82</v>
      </c>
      <c r="AR110" t="s">
        <v>83</v>
      </c>
      <c r="AT110" t="s">
        <v>84</v>
      </c>
      <c r="AU110" t="s">
        <v>2198</v>
      </c>
      <c r="AV110" t="s">
        <v>86</v>
      </c>
      <c r="AW110" t="s">
        <v>84</v>
      </c>
      <c r="AX110" t="s">
        <v>87</v>
      </c>
      <c r="AY110" s="4">
        <f t="shared" si="15"/>
        <v>-1</v>
      </c>
      <c r="AZ110" t="b">
        <v>1</v>
      </c>
      <c r="BA110" s="4">
        <f t="shared" si="16"/>
        <v>1</v>
      </c>
      <c r="BB110" t="s">
        <v>87</v>
      </c>
      <c r="BC110" s="4">
        <f t="shared" si="17"/>
        <v>-1</v>
      </c>
      <c r="BD110" s="5">
        <v>1</v>
      </c>
      <c r="BE110" s="5">
        <v>1</v>
      </c>
      <c r="BF110" s="5">
        <v>0</v>
      </c>
      <c r="BG110" s="5">
        <v>0</v>
      </c>
      <c r="BH110" s="5" t="str">
        <f t="shared" si="18"/>
        <v>No</v>
      </c>
      <c r="BI110" t="str">
        <f t="shared" si="19"/>
        <v>No</v>
      </c>
      <c r="BJ110" s="5">
        <v>0</v>
      </c>
      <c r="BK110" t="s">
        <v>2875</v>
      </c>
    </row>
    <row r="111" spans="1:63" ht="17" x14ac:dyDescent="0.2">
      <c r="A111">
        <v>36</v>
      </c>
      <c r="B111" t="s">
        <v>803</v>
      </c>
      <c r="C111" t="s">
        <v>804</v>
      </c>
      <c r="D111" t="s">
        <v>805</v>
      </c>
      <c r="E111" s="4" t="s">
        <v>806</v>
      </c>
      <c r="F111" t="s">
        <v>146</v>
      </c>
      <c r="G111" t="s">
        <v>807</v>
      </c>
      <c r="N111" t="s">
        <v>61</v>
      </c>
      <c r="O111" t="s">
        <v>808</v>
      </c>
      <c r="P111" s="7" t="s">
        <v>809</v>
      </c>
      <c r="Q111" t="s">
        <v>810</v>
      </c>
      <c r="R111" t="s">
        <v>811</v>
      </c>
      <c r="S111" t="s">
        <v>812</v>
      </c>
      <c r="T111" t="s">
        <v>813</v>
      </c>
      <c r="U111" t="s">
        <v>814</v>
      </c>
      <c r="Z111" t="s">
        <v>815</v>
      </c>
      <c r="AA111" t="s">
        <v>816</v>
      </c>
      <c r="AB111" t="s">
        <v>817</v>
      </c>
      <c r="AE111" t="s">
        <v>216</v>
      </c>
      <c r="AF111" t="s">
        <v>818</v>
      </c>
      <c r="AG111" t="s">
        <v>819</v>
      </c>
      <c r="AH111" t="s">
        <v>820</v>
      </c>
      <c r="AI111" t="s">
        <v>821</v>
      </c>
      <c r="AJ111" t="s">
        <v>822</v>
      </c>
      <c r="AL111" t="s">
        <v>823</v>
      </c>
      <c r="AO111" t="s">
        <v>80</v>
      </c>
      <c r="AP111" t="s">
        <v>824</v>
      </c>
      <c r="AQ111" t="s">
        <v>82</v>
      </c>
      <c r="AR111" t="s">
        <v>83</v>
      </c>
      <c r="AT111" t="s">
        <v>84</v>
      </c>
      <c r="AU111" t="s">
        <v>825</v>
      </c>
      <c r="AV111" t="s">
        <v>86</v>
      </c>
      <c r="AW111" t="s">
        <v>84</v>
      </c>
      <c r="AX111" t="b">
        <v>1</v>
      </c>
      <c r="AY111" s="4">
        <f t="shared" si="15"/>
        <v>1</v>
      </c>
      <c r="AZ111" t="b">
        <v>1</v>
      </c>
      <c r="BA111" s="4">
        <f t="shared" si="16"/>
        <v>1</v>
      </c>
      <c r="BB111" t="b">
        <v>1</v>
      </c>
      <c r="BC111" s="4">
        <f t="shared" si="17"/>
        <v>1</v>
      </c>
      <c r="BD111" s="5">
        <v>1</v>
      </c>
      <c r="BE111" s="5">
        <v>1</v>
      </c>
      <c r="BF111" s="5">
        <v>1</v>
      </c>
      <c r="BG111" s="5">
        <v>-1</v>
      </c>
      <c r="BH111" s="5" t="str">
        <f t="shared" si="18"/>
        <v>Doubt</v>
      </c>
      <c r="BI111" t="str">
        <f t="shared" si="19"/>
        <v>Yes</v>
      </c>
      <c r="BJ111" s="5">
        <v>1</v>
      </c>
      <c r="BK111" t="s">
        <v>2953</v>
      </c>
    </row>
    <row r="112" spans="1:63" ht="17" x14ac:dyDescent="0.2">
      <c r="A112">
        <v>53</v>
      </c>
      <c r="B112" t="s">
        <v>1144</v>
      </c>
      <c r="C112" t="s">
        <v>1145</v>
      </c>
      <c r="D112" t="s">
        <v>1146</v>
      </c>
      <c r="E112" s="4" t="s">
        <v>1147</v>
      </c>
      <c r="F112" t="s">
        <v>176</v>
      </c>
      <c r="G112" t="s">
        <v>252</v>
      </c>
      <c r="H112">
        <v>1</v>
      </c>
      <c r="K112" t="s">
        <v>1148</v>
      </c>
      <c r="L112" t="s">
        <v>1149</v>
      </c>
      <c r="M112" t="s">
        <v>96</v>
      </c>
      <c r="N112" t="s">
        <v>96</v>
      </c>
      <c r="P112" t="s">
        <v>1150</v>
      </c>
      <c r="Q112" t="s">
        <v>1151</v>
      </c>
      <c r="R112" t="s">
        <v>1152</v>
      </c>
      <c r="S112" t="s">
        <v>1153</v>
      </c>
      <c r="U112" t="s">
        <v>1154</v>
      </c>
      <c r="Z112" t="s">
        <v>1155</v>
      </c>
      <c r="AA112" t="s">
        <v>1156</v>
      </c>
      <c r="AB112" t="s">
        <v>1157</v>
      </c>
      <c r="AC112" t="s">
        <v>1158</v>
      </c>
      <c r="AE112" t="s">
        <v>109</v>
      </c>
      <c r="AF112" t="s">
        <v>264</v>
      </c>
      <c r="AG112" t="s">
        <v>265</v>
      </c>
      <c r="AH112" t="s">
        <v>266</v>
      </c>
      <c r="AI112" t="s">
        <v>267</v>
      </c>
      <c r="AJ112" t="s">
        <v>268</v>
      </c>
      <c r="AK112" t="s">
        <v>269</v>
      </c>
      <c r="AL112" t="s">
        <v>270</v>
      </c>
      <c r="AO112" t="s">
        <v>80</v>
      </c>
      <c r="AP112" t="s">
        <v>271</v>
      </c>
      <c r="AQ112" t="s">
        <v>82</v>
      </c>
      <c r="AR112" t="s">
        <v>83</v>
      </c>
      <c r="AT112" t="s">
        <v>84</v>
      </c>
      <c r="AU112" t="s">
        <v>1159</v>
      </c>
      <c r="AV112" t="s">
        <v>86</v>
      </c>
      <c r="AW112" t="s">
        <v>84</v>
      </c>
      <c r="AX112" t="b">
        <v>1</v>
      </c>
      <c r="AY112" s="4">
        <f t="shared" si="15"/>
        <v>1</v>
      </c>
      <c r="AZ112" t="b">
        <v>1</v>
      </c>
      <c r="BA112" s="4">
        <f t="shared" si="16"/>
        <v>1</v>
      </c>
      <c r="BB112" t="b">
        <v>1</v>
      </c>
      <c r="BC112" s="4">
        <f t="shared" si="17"/>
        <v>1</v>
      </c>
      <c r="BD112" s="5">
        <v>1</v>
      </c>
      <c r="BE112" s="5">
        <v>0</v>
      </c>
      <c r="BF112" s="5">
        <v>0</v>
      </c>
      <c r="BG112" s="5">
        <v>0</v>
      </c>
      <c r="BH112" s="5" t="str">
        <f t="shared" si="18"/>
        <v>No</v>
      </c>
      <c r="BI112" t="str">
        <f t="shared" si="19"/>
        <v>No</v>
      </c>
      <c r="BJ112" s="5">
        <v>0</v>
      </c>
      <c r="BK112" t="s">
        <v>2853</v>
      </c>
    </row>
    <row r="113" spans="1:63" ht="17" x14ac:dyDescent="0.2">
      <c r="A113">
        <v>58</v>
      </c>
      <c r="B113" t="s">
        <v>1211</v>
      </c>
      <c r="C113" t="s">
        <v>1212</v>
      </c>
      <c r="D113" t="s">
        <v>1213</v>
      </c>
      <c r="E113" s="4" t="s">
        <v>1214</v>
      </c>
      <c r="F113" t="s">
        <v>176</v>
      </c>
      <c r="G113" t="s">
        <v>368</v>
      </c>
      <c r="K113" t="s">
        <v>1215</v>
      </c>
      <c r="L113" t="s">
        <v>1216</v>
      </c>
      <c r="M113" t="s">
        <v>148</v>
      </c>
      <c r="N113" t="s">
        <v>343</v>
      </c>
      <c r="P113" s="7" t="s">
        <v>1217</v>
      </c>
      <c r="Q113" t="s">
        <v>1218</v>
      </c>
      <c r="R113" t="s">
        <v>1219</v>
      </c>
      <c r="S113" t="s">
        <v>1220</v>
      </c>
      <c r="U113" t="s">
        <v>1221</v>
      </c>
      <c r="Z113" t="s">
        <v>1222</v>
      </c>
      <c r="AA113" t="s">
        <v>1223</v>
      </c>
      <c r="AB113" t="s">
        <v>1224</v>
      </c>
      <c r="AC113" t="s">
        <v>1225</v>
      </c>
      <c r="AE113" t="s">
        <v>109</v>
      </c>
      <c r="AF113" t="s">
        <v>380</v>
      </c>
      <c r="AG113" t="s">
        <v>381</v>
      </c>
      <c r="AH113" t="s">
        <v>382</v>
      </c>
      <c r="AI113" t="s">
        <v>383</v>
      </c>
      <c r="AJ113" t="s">
        <v>384</v>
      </c>
      <c r="AL113" t="s">
        <v>385</v>
      </c>
      <c r="AO113" t="s">
        <v>80</v>
      </c>
      <c r="AP113" t="s">
        <v>114</v>
      </c>
      <c r="AQ113" t="s">
        <v>82</v>
      </c>
      <c r="AR113" t="s">
        <v>83</v>
      </c>
      <c r="AT113" t="s">
        <v>84</v>
      </c>
      <c r="AU113" t="s">
        <v>1226</v>
      </c>
      <c r="AV113" t="s">
        <v>86</v>
      </c>
      <c r="AW113" t="s">
        <v>84</v>
      </c>
      <c r="AX113" t="b">
        <v>1</v>
      </c>
      <c r="AY113" s="4">
        <f t="shared" si="15"/>
        <v>1</v>
      </c>
      <c r="AZ113" t="b">
        <v>1</v>
      </c>
      <c r="BA113" s="4">
        <f t="shared" si="16"/>
        <v>1</v>
      </c>
      <c r="BB113" t="b">
        <v>1</v>
      </c>
      <c r="BC113" s="4">
        <f t="shared" si="17"/>
        <v>1</v>
      </c>
      <c r="BD113" s="5">
        <v>1</v>
      </c>
      <c r="BE113" s="5">
        <v>1</v>
      </c>
      <c r="BF113" s="5">
        <v>1</v>
      </c>
      <c r="BG113" s="5">
        <v>1</v>
      </c>
      <c r="BH113" s="18" t="str">
        <f t="shared" si="18"/>
        <v>Yes</v>
      </c>
      <c r="BI113" t="str">
        <f t="shared" si="19"/>
        <v>Yes</v>
      </c>
      <c r="BJ113" s="5">
        <v>1</v>
      </c>
      <c r="BK113" t="s">
        <v>2834</v>
      </c>
    </row>
    <row r="114" spans="1:63" ht="17" x14ac:dyDescent="0.2">
      <c r="A114">
        <v>17</v>
      </c>
      <c r="B114" t="s">
        <v>468</v>
      </c>
      <c r="C114" t="s">
        <v>469</v>
      </c>
      <c r="D114" t="s">
        <v>470</v>
      </c>
      <c r="E114" s="4" t="s">
        <v>471</v>
      </c>
      <c r="F114" t="s">
        <v>176</v>
      </c>
      <c r="G114" t="s">
        <v>252</v>
      </c>
      <c r="H114">
        <v>1</v>
      </c>
      <c r="K114" t="s">
        <v>472</v>
      </c>
      <c r="L114" t="s">
        <v>473</v>
      </c>
      <c r="M114" t="s">
        <v>474</v>
      </c>
      <c r="N114" t="s">
        <v>475</v>
      </c>
      <c r="P114" s="7" t="s">
        <v>476</v>
      </c>
      <c r="Q114" t="s">
        <v>477</v>
      </c>
      <c r="R114" t="s">
        <v>478</v>
      </c>
      <c r="S114" t="s">
        <v>479</v>
      </c>
      <c r="U114" t="s">
        <v>480</v>
      </c>
      <c r="Z114" t="s">
        <v>481</v>
      </c>
      <c r="AA114" t="s">
        <v>482</v>
      </c>
      <c r="AB114" t="s">
        <v>483</v>
      </c>
      <c r="AC114" t="s">
        <v>484</v>
      </c>
      <c r="AE114" t="s">
        <v>109</v>
      </c>
      <c r="AF114" t="s">
        <v>264</v>
      </c>
      <c r="AG114" t="s">
        <v>265</v>
      </c>
      <c r="AH114" t="s">
        <v>266</v>
      </c>
      <c r="AI114" t="s">
        <v>267</v>
      </c>
      <c r="AJ114" t="s">
        <v>268</v>
      </c>
      <c r="AK114" t="s">
        <v>269</v>
      </c>
      <c r="AL114" t="s">
        <v>270</v>
      </c>
      <c r="AO114" t="s">
        <v>80</v>
      </c>
      <c r="AP114" t="s">
        <v>271</v>
      </c>
      <c r="AQ114" t="s">
        <v>82</v>
      </c>
      <c r="AR114" t="s">
        <v>83</v>
      </c>
      <c r="AT114" t="s">
        <v>84</v>
      </c>
      <c r="AU114" t="s">
        <v>485</v>
      </c>
      <c r="AV114" t="s">
        <v>86</v>
      </c>
      <c r="AW114" t="s">
        <v>84</v>
      </c>
      <c r="AX114" t="b">
        <v>1</v>
      </c>
      <c r="AY114" s="4">
        <f t="shared" si="15"/>
        <v>1</v>
      </c>
      <c r="AZ114" t="b">
        <v>1</v>
      </c>
      <c r="BA114" s="4">
        <f t="shared" si="16"/>
        <v>1</v>
      </c>
      <c r="BB114" t="b">
        <v>1</v>
      </c>
      <c r="BC114" s="4">
        <f t="shared" si="17"/>
        <v>1</v>
      </c>
      <c r="BD114" s="5">
        <v>1</v>
      </c>
      <c r="BE114" s="5">
        <v>1</v>
      </c>
      <c r="BF114" s="5">
        <v>1</v>
      </c>
      <c r="BG114" s="5">
        <v>1</v>
      </c>
      <c r="BH114" s="5" t="str">
        <f t="shared" si="18"/>
        <v>Yes</v>
      </c>
      <c r="BI114" t="str">
        <f t="shared" si="19"/>
        <v>Yes</v>
      </c>
      <c r="BJ114" s="5">
        <v>1</v>
      </c>
      <c r="BK114" t="s">
        <v>2825</v>
      </c>
    </row>
    <row r="115" spans="1:63" ht="17" x14ac:dyDescent="0.2">
      <c r="A115">
        <v>37</v>
      </c>
      <c r="B115" t="s">
        <v>826</v>
      </c>
      <c r="C115" t="s">
        <v>827</v>
      </c>
      <c r="D115" t="s">
        <v>828</v>
      </c>
      <c r="E115" s="4" t="s">
        <v>829</v>
      </c>
      <c r="F115" t="s">
        <v>176</v>
      </c>
      <c r="G115" t="s">
        <v>830</v>
      </c>
      <c r="H115" t="s">
        <v>831</v>
      </c>
      <c r="K115" t="s">
        <v>58</v>
      </c>
      <c r="L115" t="s">
        <v>832</v>
      </c>
      <c r="M115" t="s">
        <v>558</v>
      </c>
      <c r="N115" t="s">
        <v>231</v>
      </c>
      <c r="O115" t="s">
        <v>833</v>
      </c>
      <c r="P115" s="7" t="s">
        <v>834</v>
      </c>
      <c r="Q115" t="s">
        <v>835</v>
      </c>
      <c r="R115" t="s">
        <v>836</v>
      </c>
      <c r="S115" t="s">
        <v>837</v>
      </c>
      <c r="T115" t="s">
        <v>838</v>
      </c>
      <c r="U115" t="s">
        <v>839</v>
      </c>
      <c r="AB115" t="s">
        <v>840</v>
      </c>
      <c r="AC115" t="s">
        <v>841</v>
      </c>
      <c r="AD115" t="s">
        <v>842</v>
      </c>
      <c r="AE115" t="s">
        <v>74</v>
      </c>
      <c r="AG115" t="s">
        <v>843</v>
      </c>
      <c r="AH115" t="s">
        <v>844</v>
      </c>
      <c r="AI115" t="s">
        <v>845</v>
      </c>
      <c r="AJ115" t="s">
        <v>846</v>
      </c>
      <c r="AK115">
        <v>3029743</v>
      </c>
      <c r="AL115" t="s">
        <v>847</v>
      </c>
      <c r="AO115" t="s">
        <v>80</v>
      </c>
      <c r="AP115" t="s">
        <v>81</v>
      </c>
      <c r="AQ115" t="s">
        <v>82</v>
      </c>
      <c r="AR115" t="s">
        <v>83</v>
      </c>
      <c r="AT115" t="s">
        <v>84</v>
      </c>
      <c r="AU115" t="s">
        <v>848</v>
      </c>
      <c r="AV115" t="s">
        <v>86</v>
      </c>
      <c r="AW115" t="s">
        <v>84</v>
      </c>
      <c r="AX115" t="b">
        <v>1</v>
      </c>
      <c r="AY115" s="4">
        <f t="shared" si="15"/>
        <v>1</v>
      </c>
      <c r="AZ115" t="b">
        <v>1</v>
      </c>
      <c r="BA115" s="4">
        <f t="shared" si="16"/>
        <v>1</v>
      </c>
      <c r="BB115" t="s">
        <v>87</v>
      </c>
      <c r="BC115" s="4">
        <f t="shared" si="17"/>
        <v>-1</v>
      </c>
      <c r="BD115" s="5">
        <v>1</v>
      </c>
      <c r="BE115" s="5">
        <v>1</v>
      </c>
      <c r="BF115" s="5">
        <v>1</v>
      </c>
      <c r="BG115" s="5">
        <v>1</v>
      </c>
      <c r="BH115" s="5" t="str">
        <f t="shared" si="18"/>
        <v>Yes</v>
      </c>
      <c r="BI115" t="str">
        <f t="shared" si="19"/>
        <v>Yes</v>
      </c>
      <c r="BJ115" s="5">
        <v>1</v>
      </c>
      <c r="BK115" t="s">
        <v>2956</v>
      </c>
    </row>
    <row r="116" spans="1:63" ht="17" x14ac:dyDescent="0.2">
      <c r="A116">
        <v>6</v>
      </c>
      <c r="B116" t="s">
        <v>225</v>
      </c>
      <c r="C116" t="s">
        <v>226</v>
      </c>
      <c r="D116" t="s">
        <v>227</v>
      </c>
      <c r="E116" s="4" t="s">
        <v>228</v>
      </c>
      <c r="F116" t="s">
        <v>146</v>
      </c>
      <c r="G116" t="s">
        <v>229</v>
      </c>
      <c r="H116">
        <v>10</v>
      </c>
      <c r="J116" t="s">
        <v>230</v>
      </c>
      <c r="N116" t="s">
        <v>231</v>
      </c>
      <c r="O116" t="s">
        <v>232</v>
      </c>
      <c r="P116" s="7" t="s">
        <v>233</v>
      </c>
      <c r="Q116" t="s">
        <v>234</v>
      </c>
      <c r="R116" t="s">
        <v>235</v>
      </c>
      <c r="S116" t="s">
        <v>236</v>
      </c>
      <c r="T116" t="s">
        <v>237</v>
      </c>
      <c r="U116" t="s">
        <v>238</v>
      </c>
      <c r="Z116" t="s">
        <v>239</v>
      </c>
      <c r="AA116" t="s">
        <v>240</v>
      </c>
      <c r="AB116" t="s">
        <v>241</v>
      </c>
      <c r="AC116" t="s">
        <v>242</v>
      </c>
      <c r="AE116" t="s">
        <v>243</v>
      </c>
      <c r="AK116">
        <v>23765992</v>
      </c>
      <c r="AO116" t="s">
        <v>80</v>
      </c>
      <c r="AP116" t="s">
        <v>244</v>
      </c>
      <c r="AQ116" t="s">
        <v>245</v>
      </c>
      <c r="AR116" t="s">
        <v>83</v>
      </c>
      <c r="AS116" t="s">
        <v>246</v>
      </c>
      <c r="AT116" t="s">
        <v>84</v>
      </c>
      <c r="AU116" t="s">
        <v>247</v>
      </c>
      <c r="AV116" t="s">
        <v>86</v>
      </c>
      <c r="AW116" t="s">
        <v>84</v>
      </c>
      <c r="AX116" t="s">
        <v>87</v>
      </c>
      <c r="AY116" s="4">
        <f t="shared" si="15"/>
        <v>-1</v>
      </c>
      <c r="AZ116" t="b">
        <v>1</v>
      </c>
      <c r="BA116" s="4">
        <f t="shared" si="16"/>
        <v>1</v>
      </c>
      <c r="BB116" t="b">
        <v>1</v>
      </c>
      <c r="BC116" s="4">
        <f t="shared" si="17"/>
        <v>1</v>
      </c>
      <c r="BD116" s="5">
        <v>1</v>
      </c>
      <c r="BE116" s="5">
        <v>1</v>
      </c>
      <c r="BF116" s="5">
        <v>1</v>
      </c>
      <c r="BG116" s="5">
        <v>0</v>
      </c>
      <c r="BH116" s="5" t="str">
        <f t="shared" si="18"/>
        <v>No</v>
      </c>
      <c r="BI116" t="str">
        <f t="shared" si="19"/>
        <v>Yes</v>
      </c>
      <c r="BJ116" s="5">
        <v>1</v>
      </c>
      <c r="BK116" t="s">
        <v>2957</v>
      </c>
    </row>
    <row r="117" spans="1:63" ht="17" x14ac:dyDescent="0.2">
      <c r="A117">
        <v>11</v>
      </c>
      <c r="B117" t="s">
        <v>336</v>
      </c>
      <c r="C117" t="s">
        <v>337</v>
      </c>
      <c r="D117" t="s">
        <v>338</v>
      </c>
      <c r="E117" s="4" t="s">
        <v>339</v>
      </c>
      <c r="F117" t="s">
        <v>176</v>
      </c>
      <c r="G117" t="s">
        <v>340</v>
      </c>
      <c r="K117" t="s">
        <v>341</v>
      </c>
      <c r="L117" t="s">
        <v>342</v>
      </c>
      <c r="M117" t="s">
        <v>280</v>
      </c>
      <c r="N117" t="s">
        <v>343</v>
      </c>
      <c r="O117" t="s">
        <v>344</v>
      </c>
      <c r="P117" s="7" t="s">
        <v>345</v>
      </c>
      <c r="Q117" t="s">
        <v>346</v>
      </c>
      <c r="R117" t="s">
        <v>347</v>
      </c>
      <c r="S117" t="s">
        <v>348</v>
      </c>
      <c r="T117" t="s">
        <v>349</v>
      </c>
      <c r="U117" t="s">
        <v>350</v>
      </c>
      <c r="Z117" t="s">
        <v>351</v>
      </c>
      <c r="AA117" t="s">
        <v>352</v>
      </c>
      <c r="AB117" t="s">
        <v>353</v>
      </c>
      <c r="AE117" t="s">
        <v>354</v>
      </c>
      <c r="AF117" t="s">
        <v>355</v>
      </c>
      <c r="AG117" t="s">
        <v>356</v>
      </c>
      <c r="AH117" t="s">
        <v>357</v>
      </c>
      <c r="AI117" t="s">
        <v>358</v>
      </c>
      <c r="AJ117" t="s">
        <v>359</v>
      </c>
      <c r="AL117" t="s">
        <v>360</v>
      </c>
      <c r="AO117" t="s">
        <v>80</v>
      </c>
      <c r="AP117" t="s">
        <v>361</v>
      </c>
      <c r="AQ117" t="s">
        <v>82</v>
      </c>
      <c r="AR117" t="s">
        <v>83</v>
      </c>
      <c r="AS117" t="s">
        <v>362</v>
      </c>
      <c r="AT117" t="s">
        <v>84</v>
      </c>
      <c r="AU117" t="s">
        <v>363</v>
      </c>
      <c r="AV117" t="s">
        <v>86</v>
      </c>
      <c r="AW117" t="s">
        <v>84</v>
      </c>
      <c r="AX117" t="b">
        <v>1</v>
      </c>
      <c r="AY117" s="4">
        <f t="shared" si="15"/>
        <v>1</v>
      </c>
      <c r="AZ117" t="s">
        <v>87</v>
      </c>
      <c r="BA117" s="4">
        <f t="shared" si="16"/>
        <v>-1</v>
      </c>
      <c r="BB117" t="b">
        <v>1</v>
      </c>
      <c r="BC117" s="4">
        <f t="shared" si="17"/>
        <v>1</v>
      </c>
      <c r="BD117" s="5">
        <v>1</v>
      </c>
      <c r="BE117" s="5">
        <v>1</v>
      </c>
      <c r="BF117" s="5">
        <v>1</v>
      </c>
      <c r="BG117" s="5">
        <v>1</v>
      </c>
      <c r="BH117" s="5" t="str">
        <f t="shared" si="18"/>
        <v>Yes</v>
      </c>
      <c r="BI117" t="str">
        <f t="shared" si="19"/>
        <v>Yes</v>
      </c>
      <c r="BJ117" s="5">
        <v>1</v>
      </c>
      <c r="BK117" t="s">
        <v>2922</v>
      </c>
    </row>
    <row r="118" spans="1:63" ht="17" x14ac:dyDescent="0.2">
      <c r="A118">
        <v>46</v>
      </c>
      <c r="B118" t="s">
        <v>1003</v>
      </c>
      <c r="C118" t="s">
        <v>1004</v>
      </c>
      <c r="D118" t="s">
        <v>1005</v>
      </c>
      <c r="E118" s="4" t="s">
        <v>1006</v>
      </c>
      <c r="F118" t="s">
        <v>176</v>
      </c>
      <c r="G118" t="s">
        <v>391</v>
      </c>
      <c r="H118">
        <v>3441</v>
      </c>
      <c r="K118" t="s">
        <v>1007</v>
      </c>
      <c r="L118" t="s">
        <v>1008</v>
      </c>
      <c r="M118" t="s">
        <v>745</v>
      </c>
      <c r="N118" t="s">
        <v>61</v>
      </c>
      <c r="P118" s="7" t="s">
        <v>1009</v>
      </c>
      <c r="Q118" t="s">
        <v>1010</v>
      </c>
      <c r="R118" t="s">
        <v>1011</v>
      </c>
      <c r="S118" t="s">
        <v>1012</v>
      </c>
      <c r="T118" t="s">
        <v>1013</v>
      </c>
      <c r="U118" t="s">
        <v>1014</v>
      </c>
      <c r="Z118" t="s">
        <v>1015</v>
      </c>
      <c r="AA118" t="s">
        <v>1016</v>
      </c>
      <c r="AB118" t="s">
        <v>1017</v>
      </c>
      <c r="AC118" t="s">
        <v>1018</v>
      </c>
      <c r="AD118" t="s">
        <v>1019</v>
      </c>
      <c r="AE118" t="s">
        <v>401</v>
      </c>
      <c r="AG118" t="s">
        <v>1020</v>
      </c>
      <c r="AH118" s="1">
        <v>45192</v>
      </c>
      <c r="AI118" t="s">
        <v>1021</v>
      </c>
      <c r="AJ118" t="s">
        <v>1022</v>
      </c>
      <c r="AK118">
        <v>16130073</v>
      </c>
      <c r="AO118" t="s">
        <v>80</v>
      </c>
      <c r="AP118" t="s">
        <v>406</v>
      </c>
      <c r="AQ118" t="s">
        <v>82</v>
      </c>
      <c r="AR118" t="s">
        <v>83</v>
      </c>
      <c r="AT118" t="s">
        <v>84</v>
      </c>
      <c r="AU118" t="s">
        <v>1023</v>
      </c>
      <c r="AV118" t="s">
        <v>86</v>
      </c>
      <c r="AW118" t="s">
        <v>84</v>
      </c>
      <c r="AX118" t="s">
        <v>87</v>
      </c>
      <c r="AY118" s="4">
        <f t="shared" si="15"/>
        <v>-1</v>
      </c>
      <c r="AZ118" t="b">
        <v>1</v>
      </c>
      <c r="BA118" s="4">
        <f t="shared" si="16"/>
        <v>1</v>
      </c>
      <c r="BB118" t="b">
        <v>1</v>
      </c>
      <c r="BC118" s="4">
        <f t="shared" si="17"/>
        <v>1</v>
      </c>
      <c r="BD118" s="5">
        <v>1</v>
      </c>
      <c r="BE118" s="5">
        <v>1</v>
      </c>
      <c r="BF118" s="5">
        <v>1</v>
      </c>
      <c r="BG118" s="5">
        <v>-1</v>
      </c>
      <c r="BH118" s="6" t="str">
        <f t="shared" si="18"/>
        <v>Doubt</v>
      </c>
      <c r="BI118" t="str">
        <f t="shared" si="19"/>
        <v>Yes</v>
      </c>
      <c r="BJ118" s="5">
        <v>1</v>
      </c>
      <c r="BK118" t="s">
        <v>2939</v>
      </c>
    </row>
    <row r="119" spans="1:63" ht="17" x14ac:dyDescent="0.2">
      <c r="A119">
        <v>103</v>
      </c>
      <c r="B119" t="s">
        <v>1875</v>
      </c>
      <c r="C119" t="s">
        <v>1876</v>
      </c>
      <c r="D119" t="s">
        <v>1877</v>
      </c>
      <c r="E119" s="4" t="s">
        <v>1878</v>
      </c>
      <c r="F119" t="s">
        <v>1879</v>
      </c>
      <c r="G119" t="s">
        <v>1880</v>
      </c>
      <c r="H119">
        <v>13</v>
      </c>
      <c r="I119" t="s">
        <v>206</v>
      </c>
      <c r="K119" t="s">
        <v>126</v>
      </c>
      <c r="L119" t="s">
        <v>1881</v>
      </c>
      <c r="M119" t="s">
        <v>60</v>
      </c>
      <c r="N119" t="s">
        <v>152</v>
      </c>
      <c r="O119" t="s">
        <v>1882</v>
      </c>
      <c r="P119" t="s">
        <v>1883</v>
      </c>
      <c r="Q119" t="s">
        <v>1884</v>
      </c>
      <c r="R119" t="s">
        <v>1885</v>
      </c>
      <c r="S119" t="s">
        <v>1886</v>
      </c>
      <c r="T119" t="s">
        <v>1887</v>
      </c>
      <c r="Z119" t="s">
        <v>1888</v>
      </c>
      <c r="AA119" t="s">
        <v>1889</v>
      </c>
      <c r="AB119" t="s">
        <v>1890</v>
      </c>
      <c r="AC119" t="s">
        <v>1891</v>
      </c>
      <c r="AE119" t="s">
        <v>1892</v>
      </c>
      <c r="AK119" t="s">
        <v>1893</v>
      </c>
      <c r="AO119" t="s">
        <v>80</v>
      </c>
      <c r="AP119" t="s">
        <v>1894</v>
      </c>
      <c r="AQ119" t="s">
        <v>245</v>
      </c>
      <c r="AR119" t="s">
        <v>83</v>
      </c>
      <c r="AS119" t="s">
        <v>801</v>
      </c>
      <c r="AT119" t="s">
        <v>84</v>
      </c>
      <c r="AU119" t="s">
        <v>1895</v>
      </c>
      <c r="AV119" t="s">
        <v>86</v>
      </c>
      <c r="AW119" t="s">
        <v>84</v>
      </c>
      <c r="AX119" t="s">
        <v>87</v>
      </c>
      <c r="AY119" s="4">
        <f t="shared" si="15"/>
        <v>-1</v>
      </c>
      <c r="AZ119" t="s">
        <v>87</v>
      </c>
      <c r="BA119" s="4">
        <f t="shared" si="16"/>
        <v>-1</v>
      </c>
      <c r="BB119" t="s">
        <v>87</v>
      </c>
      <c r="BC119" s="4">
        <f t="shared" si="17"/>
        <v>-1</v>
      </c>
      <c r="BD119" s="5">
        <v>0</v>
      </c>
      <c r="BE119" s="5">
        <v>0</v>
      </c>
      <c r="BF119" s="5">
        <v>0</v>
      </c>
      <c r="BG119" s="5">
        <v>0</v>
      </c>
      <c r="BH119" s="5" t="str">
        <f t="shared" si="18"/>
        <v>No</v>
      </c>
      <c r="BI119" t="str">
        <f t="shared" si="19"/>
        <v>No</v>
      </c>
      <c r="BJ119" s="5">
        <v>0</v>
      </c>
    </row>
    <row r="120" spans="1:63" ht="17" x14ac:dyDescent="0.2">
      <c r="A120">
        <v>15</v>
      </c>
      <c r="B120" t="s">
        <v>427</v>
      </c>
      <c r="C120" t="s">
        <v>428</v>
      </c>
      <c r="D120" t="s">
        <v>429</v>
      </c>
      <c r="E120" s="4" t="s">
        <v>430</v>
      </c>
      <c r="F120" t="s">
        <v>92</v>
      </c>
      <c r="G120" t="s">
        <v>431</v>
      </c>
      <c r="H120">
        <v>29</v>
      </c>
      <c r="I120" t="s">
        <v>231</v>
      </c>
      <c r="K120" t="s">
        <v>432</v>
      </c>
      <c r="L120" t="s">
        <v>433</v>
      </c>
      <c r="M120" t="s">
        <v>125</v>
      </c>
      <c r="N120" t="s">
        <v>97</v>
      </c>
      <c r="P120" s="7" t="s">
        <v>434</v>
      </c>
      <c r="Q120" t="s">
        <v>435</v>
      </c>
      <c r="R120" t="s">
        <v>436</v>
      </c>
      <c r="S120" t="s">
        <v>437</v>
      </c>
      <c r="U120" t="s">
        <v>438</v>
      </c>
      <c r="Z120" t="s">
        <v>439</v>
      </c>
      <c r="AA120" t="s">
        <v>440</v>
      </c>
      <c r="AB120" t="s">
        <v>441</v>
      </c>
      <c r="AD120" t="s">
        <v>442</v>
      </c>
      <c r="AE120" t="s">
        <v>109</v>
      </c>
      <c r="AF120" t="s">
        <v>443</v>
      </c>
      <c r="AG120" t="s">
        <v>444</v>
      </c>
      <c r="AH120" t="s">
        <v>445</v>
      </c>
      <c r="AI120" t="s">
        <v>446</v>
      </c>
      <c r="AJ120" t="s">
        <v>447</v>
      </c>
      <c r="AK120">
        <v>29512093</v>
      </c>
      <c r="AO120" t="s">
        <v>80</v>
      </c>
      <c r="AP120" t="s">
        <v>448</v>
      </c>
      <c r="AQ120" t="s">
        <v>82</v>
      </c>
      <c r="AR120" t="s">
        <v>83</v>
      </c>
      <c r="AT120" t="s">
        <v>84</v>
      </c>
      <c r="AU120" t="s">
        <v>449</v>
      </c>
      <c r="AV120" t="s">
        <v>86</v>
      </c>
      <c r="AW120" t="s">
        <v>84</v>
      </c>
      <c r="AX120" t="b">
        <v>1</v>
      </c>
      <c r="AY120" s="4">
        <f t="shared" si="15"/>
        <v>1</v>
      </c>
      <c r="AZ120" t="b">
        <v>1</v>
      </c>
      <c r="BA120" s="4">
        <f t="shared" si="16"/>
        <v>1</v>
      </c>
      <c r="BB120" t="b">
        <v>1</v>
      </c>
      <c r="BC120" s="4">
        <f t="shared" si="17"/>
        <v>1</v>
      </c>
      <c r="BD120" s="5">
        <v>1</v>
      </c>
      <c r="BE120" s="5">
        <v>1</v>
      </c>
      <c r="BF120" s="5">
        <v>1</v>
      </c>
      <c r="BG120" s="5">
        <v>0</v>
      </c>
      <c r="BH120" s="5" t="str">
        <f t="shared" si="18"/>
        <v>No</v>
      </c>
      <c r="BI120" t="str">
        <f t="shared" si="19"/>
        <v>Yes</v>
      </c>
      <c r="BJ120" s="5">
        <v>1</v>
      </c>
      <c r="BK120" t="s">
        <v>2946</v>
      </c>
    </row>
    <row r="121" spans="1:63" ht="17" x14ac:dyDescent="0.2">
      <c r="A121">
        <v>44</v>
      </c>
      <c r="B121" t="s">
        <v>971</v>
      </c>
      <c r="C121" t="s">
        <v>972</v>
      </c>
      <c r="D121" t="s">
        <v>973</v>
      </c>
      <c r="E121" s="4" t="s">
        <v>974</v>
      </c>
      <c r="F121" t="s">
        <v>146</v>
      </c>
      <c r="G121" t="s">
        <v>147</v>
      </c>
      <c r="H121">
        <v>38</v>
      </c>
      <c r="I121" t="s">
        <v>148</v>
      </c>
      <c r="K121" t="s">
        <v>975</v>
      </c>
      <c r="L121" t="s">
        <v>976</v>
      </c>
      <c r="M121" t="s">
        <v>151</v>
      </c>
      <c r="N121" t="s">
        <v>180</v>
      </c>
      <c r="O121" t="s">
        <v>977</v>
      </c>
      <c r="P121" s="7" t="s">
        <v>978</v>
      </c>
      <c r="Q121" t="s">
        <v>979</v>
      </c>
      <c r="R121" t="s">
        <v>980</v>
      </c>
      <c r="S121" t="s">
        <v>981</v>
      </c>
      <c r="U121" t="s">
        <v>982</v>
      </c>
      <c r="Z121" t="s">
        <v>983</v>
      </c>
      <c r="AA121" t="s">
        <v>984</v>
      </c>
      <c r="AB121" t="s">
        <v>985</v>
      </c>
      <c r="AD121" t="s">
        <v>163</v>
      </c>
      <c r="AE121" t="s">
        <v>164</v>
      </c>
      <c r="AF121" t="s">
        <v>164</v>
      </c>
      <c r="AG121" t="s">
        <v>165</v>
      </c>
      <c r="AH121" t="s">
        <v>166</v>
      </c>
      <c r="AI121" t="s">
        <v>167</v>
      </c>
      <c r="AJ121" t="s">
        <v>168</v>
      </c>
      <c r="AK121">
        <v>21595399</v>
      </c>
      <c r="AO121" t="s">
        <v>80</v>
      </c>
      <c r="AP121" t="s">
        <v>169</v>
      </c>
      <c r="AQ121" t="s">
        <v>82</v>
      </c>
      <c r="AR121" t="s">
        <v>83</v>
      </c>
      <c r="AS121" t="s">
        <v>246</v>
      </c>
      <c r="AT121" t="s">
        <v>84</v>
      </c>
      <c r="AU121" t="s">
        <v>986</v>
      </c>
      <c r="AV121" t="s">
        <v>86</v>
      </c>
      <c r="AW121" t="s">
        <v>84</v>
      </c>
      <c r="AX121" t="b">
        <v>1</v>
      </c>
      <c r="AY121" s="4">
        <f t="shared" si="15"/>
        <v>1</v>
      </c>
      <c r="AZ121" t="s">
        <v>87</v>
      </c>
      <c r="BA121" s="4">
        <f t="shared" si="16"/>
        <v>-1</v>
      </c>
      <c r="BB121" t="b">
        <v>1</v>
      </c>
      <c r="BC121" s="4">
        <f t="shared" si="17"/>
        <v>1</v>
      </c>
      <c r="BD121" s="5">
        <v>1</v>
      </c>
      <c r="BE121" s="5">
        <v>1</v>
      </c>
      <c r="BF121" s="5">
        <v>1</v>
      </c>
      <c r="BG121" s="5">
        <v>0</v>
      </c>
      <c r="BH121" s="6" t="str">
        <f t="shared" si="18"/>
        <v>No</v>
      </c>
      <c r="BI121" t="str">
        <f t="shared" si="19"/>
        <v>Yes</v>
      </c>
      <c r="BJ121" s="5">
        <v>1</v>
      </c>
      <c r="BK121" t="s">
        <v>2932</v>
      </c>
    </row>
    <row r="122" spans="1:63" ht="17" x14ac:dyDescent="0.2">
      <c r="A122">
        <v>93</v>
      </c>
      <c r="B122" t="s">
        <v>1748</v>
      </c>
      <c r="C122" t="s">
        <v>1749</v>
      </c>
      <c r="D122" t="s">
        <v>1750</v>
      </c>
      <c r="E122" s="4" t="s">
        <v>1751</v>
      </c>
      <c r="F122" t="s">
        <v>146</v>
      </c>
      <c r="G122" t="s">
        <v>1752</v>
      </c>
      <c r="H122">
        <v>7</v>
      </c>
      <c r="J122">
        <v>1361483</v>
      </c>
      <c r="N122" t="s">
        <v>231</v>
      </c>
      <c r="O122" t="s">
        <v>1753</v>
      </c>
      <c r="P122" t="s">
        <v>1754</v>
      </c>
      <c r="Q122" t="s">
        <v>1755</v>
      </c>
      <c r="R122" t="s">
        <v>1756</v>
      </c>
      <c r="S122" t="s">
        <v>1757</v>
      </c>
      <c r="T122" t="s">
        <v>1758</v>
      </c>
      <c r="Z122" t="s">
        <v>1759</v>
      </c>
      <c r="AA122" t="s">
        <v>1760</v>
      </c>
      <c r="AB122" t="s">
        <v>1761</v>
      </c>
      <c r="AC122" t="s">
        <v>1762</v>
      </c>
      <c r="AE122" t="s">
        <v>1763</v>
      </c>
      <c r="AK122">
        <v>26248212</v>
      </c>
      <c r="AO122" t="s">
        <v>80</v>
      </c>
      <c r="AP122" t="s">
        <v>1764</v>
      </c>
      <c r="AQ122" t="s">
        <v>245</v>
      </c>
      <c r="AR122" t="s">
        <v>83</v>
      </c>
      <c r="AT122" t="s">
        <v>84</v>
      </c>
      <c r="AU122" t="s">
        <v>1765</v>
      </c>
      <c r="AV122" t="s">
        <v>86</v>
      </c>
      <c r="AW122" t="s">
        <v>84</v>
      </c>
      <c r="AX122" t="s">
        <v>87</v>
      </c>
      <c r="AY122" s="4">
        <f t="shared" si="15"/>
        <v>-1</v>
      </c>
      <c r="AZ122" t="s">
        <v>87</v>
      </c>
      <c r="BA122" s="4">
        <f t="shared" si="16"/>
        <v>-1</v>
      </c>
      <c r="BB122" t="s">
        <v>87</v>
      </c>
      <c r="BC122" s="4">
        <f t="shared" si="17"/>
        <v>-1</v>
      </c>
      <c r="BD122" s="5">
        <v>0</v>
      </c>
      <c r="BE122" s="5">
        <v>0</v>
      </c>
      <c r="BF122" s="5">
        <v>0</v>
      </c>
      <c r="BG122" s="5">
        <v>0</v>
      </c>
      <c r="BH122" s="5" t="str">
        <f t="shared" si="18"/>
        <v>No</v>
      </c>
      <c r="BI122" t="str">
        <f t="shared" si="19"/>
        <v>No</v>
      </c>
      <c r="BJ122" s="5">
        <v>0</v>
      </c>
    </row>
    <row r="123" spans="1:63" ht="17" x14ac:dyDescent="0.2">
      <c r="A123">
        <v>123</v>
      </c>
      <c r="B123" t="s">
        <v>2199</v>
      </c>
      <c r="C123" t="s">
        <v>2200</v>
      </c>
      <c r="D123" t="s">
        <v>2201</v>
      </c>
      <c r="E123" s="4" t="s">
        <v>2202</v>
      </c>
      <c r="F123" t="s">
        <v>121</v>
      </c>
      <c r="G123" t="s">
        <v>2203</v>
      </c>
      <c r="N123" t="s">
        <v>2204</v>
      </c>
      <c r="P123" t="s">
        <v>2205</v>
      </c>
      <c r="Q123" t="s">
        <v>2206</v>
      </c>
      <c r="R123" t="s">
        <v>2207</v>
      </c>
      <c r="S123" t="s">
        <v>2208</v>
      </c>
      <c r="U123" t="s">
        <v>2209</v>
      </c>
      <c r="AB123" t="s">
        <v>2210</v>
      </c>
      <c r="AE123" t="s">
        <v>2211</v>
      </c>
      <c r="AF123" t="s">
        <v>2212</v>
      </c>
      <c r="AG123" t="s">
        <v>2213</v>
      </c>
      <c r="AH123" t="s">
        <v>2214</v>
      </c>
      <c r="AI123" t="s">
        <v>404</v>
      </c>
      <c r="AJ123" t="s">
        <v>2215</v>
      </c>
      <c r="AO123" t="s">
        <v>80</v>
      </c>
      <c r="AP123" t="s">
        <v>2216</v>
      </c>
      <c r="AQ123" t="s">
        <v>82</v>
      </c>
      <c r="AR123" t="s">
        <v>83</v>
      </c>
      <c r="AT123" t="s">
        <v>84</v>
      </c>
      <c r="AU123" t="s">
        <v>2217</v>
      </c>
      <c r="AV123" t="s">
        <v>86</v>
      </c>
      <c r="AW123" t="s">
        <v>84</v>
      </c>
      <c r="AX123" t="s">
        <v>87</v>
      </c>
      <c r="AY123" s="4">
        <f t="shared" si="15"/>
        <v>-1</v>
      </c>
      <c r="AZ123" t="s">
        <v>87</v>
      </c>
      <c r="BA123" s="4">
        <f t="shared" si="16"/>
        <v>-1</v>
      </c>
      <c r="BB123" t="s">
        <v>87</v>
      </c>
      <c r="BC123" s="4">
        <f t="shared" si="17"/>
        <v>-1</v>
      </c>
      <c r="BD123" s="5">
        <v>0</v>
      </c>
      <c r="BE123" s="5">
        <v>0</v>
      </c>
      <c r="BF123" s="5">
        <v>0</v>
      </c>
      <c r="BG123" s="5">
        <v>0</v>
      </c>
      <c r="BH123" s="5" t="str">
        <f t="shared" si="18"/>
        <v>No</v>
      </c>
      <c r="BI123" t="str">
        <f t="shared" si="19"/>
        <v>No</v>
      </c>
      <c r="BJ123" s="5">
        <v>0</v>
      </c>
    </row>
    <row r="124" spans="1:63" ht="17" x14ac:dyDescent="0.2">
      <c r="A124">
        <v>67</v>
      </c>
      <c r="B124" t="s">
        <v>1396</v>
      </c>
      <c r="C124" t="s">
        <v>1397</v>
      </c>
      <c r="D124" t="s">
        <v>1398</v>
      </c>
      <c r="E124" s="4" t="s">
        <v>1399</v>
      </c>
      <c r="F124" t="s">
        <v>92</v>
      </c>
      <c r="G124" t="s">
        <v>93</v>
      </c>
      <c r="K124" t="s">
        <v>1400</v>
      </c>
      <c r="L124" t="s">
        <v>1401</v>
      </c>
      <c r="M124" t="s">
        <v>1402</v>
      </c>
      <c r="N124" t="s">
        <v>1403</v>
      </c>
      <c r="P124" s="7" t="s">
        <v>1404</v>
      </c>
      <c r="Q124" t="s">
        <v>1405</v>
      </c>
      <c r="R124" t="s">
        <v>1406</v>
      </c>
      <c r="S124" t="s">
        <v>1407</v>
      </c>
      <c r="U124" t="s">
        <v>1408</v>
      </c>
      <c r="AB124" t="s">
        <v>1409</v>
      </c>
      <c r="AD124" t="s">
        <v>108</v>
      </c>
      <c r="AE124" t="s">
        <v>109</v>
      </c>
      <c r="AG124" t="s">
        <v>110</v>
      </c>
      <c r="AH124" t="s">
        <v>111</v>
      </c>
      <c r="AI124" t="s">
        <v>112</v>
      </c>
      <c r="AJ124" t="s">
        <v>113</v>
      </c>
      <c r="AO124" t="s">
        <v>80</v>
      </c>
      <c r="AP124" t="s">
        <v>114</v>
      </c>
      <c r="AQ124" t="s">
        <v>82</v>
      </c>
      <c r="AR124" t="s">
        <v>83</v>
      </c>
      <c r="AT124" t="s">
        <v>84</v>
      </c>
      <c r="AU124" t="s">
        <v>1410</v>
      </c>
      <c r="AV124" t="s">
        <v>86</v>
      </c>
      <c r="AW124" t="s">
        <v>84</v>
      </c>
      <c r="AX124" t="b">
        <v>1</v>
      </c>
      <c r="AY124" s="4">
        <f t="shared" si="15"/>
        <v>1</v>
      </c>
      <c r="AZ124" t="b">
        <v>1</v>
      </c>
      <c r="BA124" s="4">
        <f t="shared" si="16"/>
        <v>1</v>
      </c>
      <c r="BB124" t="b">
        <v>1</v>
      </c>
      <c r="BC124" s="4">
        <f t="shared" si="17"/>
        <v>1</v>
      </c>
      <c r="BD124" s="5">
        <v>1</v>
      </c>
      <c r="BE124" s="5">
        <v>1</v>
      </c>
      <c r="BF124" s="5">
        <v>1</v>
      </c>
      <c r="BG124" s="5">
        <v>1</v>
      </c>
      <c r="BH124" s="6" t="str">
        <f t="shared" si="18"/>
        <v>Yes</v>
      </c>
      <c r="BI124" t="str">
        <f t="shared" si="19"/>
        <v>Yes</v>
      </c>
      <c r="BJ124" s="5">
        <v>1</v>
      </c>
      <c r="BK124" t="s">
        <v>2839</v>
      </c>
    </row>
    <row r="125" spans="1:63" ht="17" x14ac:dyDescent="0.2">
      <c r="A125">
        <v>43</v>
      </c>
      <c r="B125" t="s">
        <v>947</v>
      </c>
      <c r="C125" t="s">
        <v>948</v>
      </c>
      <c r="D125" t="s">
        <v>949</v>
      </c>
      <c r="E125" s="4" t="s">
        <v>950</v>
      </c>
      <c r="F125" t="s">
        <v>176</v>
      </c>
      <c r="G125" t="s">
        <v>951</v>
      </c>
      <c r="H125">
        <v>1</v>
      </c>
      <c r="K125" t="s">
        <v>952</v>
      </c>
      <c r="L125" t="s">
        <v>953</v>
      </c>
      <c r="M125" t="s">
        <v>745</v>
      </c>
      <c r="N125" t="s">
        <v>61</v>
      </c>
      <c r="O125" t="s">
        <v>1576</v>
      </c>
      <c r="P125" s="7" t="s">
        <v>954</v>
      </c>
      <c r="Q125" t="s">
        <v>955</v>
      </c>
      <c r="R125" t="s">
        <v>956</v>
      </c>
      <c r="S125" t="s">
        <v>957</v>
      </c>
      <c r="U125" t="s">
        <v>958</v>
      </c>
      <c r="Z125" t="s">
        <v>959</v>
      </c>
      <c r="AA125" t="s">
        <v>960</v>
      </c>
      <c r="AB125" t="s">
        <v>961</v>
      </c>
      <c r="AC125" t="s">
        <v>962</v>
      </c>
      <c r="AD125" t="s">
        <v>963</v>
      </c>
      <c r="AE125" t="s">
        <v>109</v>
      </c>
      <c r="AG125" t="s">
        <v>964</v>
      </c>
      <c r="AH125" t="s">
        <v>965</v>
      </c>
      <c r="AI125" t="s">
        <v>966</v>
      </c>
      <c r="AJ125" t="s">
        <v>967</v>
      </c>
      <c r="AL125" t="s">
        <v>968</v>
      </c>
      <c r="AO125" t="s">
        <v>80</v>
      </c>
      <c r="AP125" t="s">
        <v>969</v>
      </c>
      <c r="AQ125" t="s">
        <v>82</v>
      </c>
      <c r="AR125" t="s">
        <v>83</v>
      </c>
      <c r="AT125" t="s">
        <v>84</v>
      </c>
      <c r="AU125" t="s">
        <v>970</v>
      </c>
      <c r="AV125" t="s">
        <v>86</v>
      </c>
      <c r="AW125" t="s">
        <v>84</v>
      </c>
      <c r="AX125" t="b">
        <v>1</v>
      </c>
      <c r="AY125" s="4">
        <f t="shared" si="15"/>
        <v>1</v>
      </c>
      <c r="AZ125" t="b">
        <v>1</v>
      </c>
      <c r="BA125" s="4">
        <f t="shared" si="16"/>
        <v>1</v>
      </c>
      <c r="BB125" t="b">
        <v>1</v>
      </c>
      <c r="BC125" s="4">
        <f t="shared" si="17"/>
        <v>1</v>
      </c>
      <c r="BD125" s="5">
        <v>1</v>
      </c>
      <c r="BE125" s="5">
        <v>1</v>
      </c>
      <c r="BF125" s="5">
        <v>1</v>
      </c>
      <c r="BG125" s="5">
        <v>-1</v>
      </c>
      <c r="BH125" s="6" t="str">
        <f t="shared" si="18"/>
        <v>Doubt</v>
      </c>
      <c r="BI125" t="str">
        <f t="shared" si="19"/>
        <v>Yes</v>
      </c>
      <c r="BJ125" s="5">
        <v>1</v>
      </c>
      <c r="BK125" t="s">
        <v>2905</v>
      </c>
    </row>
    <row r="126" spans="1:63" ht="17" x14ac:dyDescent="0.2">
      <c r="A126">
        <v>65</v>
      </c>
      <c r="B126" t="s">
        <v>1354</v>
      </c>
      <c r="C126" t="s">
        <v>1355</v>
      </c>
      <c r="D126" t="s">
        <v>1356</v>
      </c>
      <c r="E126" s="4" t="s">
        <v>1357</v>
      </c>
      <c r="F126" t="s">
        <v>176</v>
      </c>
      <c r="G126" t="s">
        <v>1358</v>
      </c>
      <c r="K126" t="s">
        <v>1105</v>
      </c>
      <c r="L126" t="s">
        <v>1359</v>
      </c>
      <c r="M126" t="s">
        <v>180</v>
      </c>
      <c r="N126" t="s">
        <v>61</v>
      </c>
      <c r="P126" t="s">
        <v>1360</v>
      </c>
      <c r="Q126" t="s">
        <v>1361</v>
      </c>
      <c r="R126" t="s">
        <v>1362</v>
      </c>
      <c r="S126" t="s">
        <v>1363</v>
      </c>
      <c r="U126" t="s">
        <v>1364</v>
      </c>
      <c r="Z126" t="s">
        <v>1365</v>
      </c>
      <c r="AA126" t="s">
        <v>1366</v>
      </c>
      <c r="AB126" t="s">
        <v>1367</v>
      </c>
      <c r="AD126" t="s">
        <v>1368</v>
      </c>
      <c r="AE126" t="s">
        <v>1369</v>
      </c>
      <c r="AF126" t="s">
        <v>1370</v>
      </c>
      <c r="AG126" t="s">
        <v>1371</v>
      </c>
      <c r="AH126" t="s">
        <v>1372</v>
      </c>
      <c r="AI126" t="s">
        <v>1373</v>
      </c>
      <c r="AJ126" t="s">
        <v>1374</v>
      </c>
      <c r="AL126" t="s">
        <v>1375</v>
      </c>
      <c r="AO126" t="s">
        <v>80</v>
      </c>
      <c r="AP126" t="s">
        <v>1376</v>
      </c>
      <c r="AQ126" t="s">
        <v>82</v>
      </c>
      <c r="AR126" t="s">
        <v>83</v>
      </c>
      <c r="AT126" t="s">
        <v>84</v>
      </c>
      <c r="AU126" t="s">
        <v>1377</v>
      </c>
      <c r="AV126" t="s">
        <v>86</v>
      </c>
      <c r="AW126" t="s">
        <v>84</v>
      </c>
      <c r="AX126" t="s">
        <v>87</v>
      </c>
      <c r="AY126" s="4">
        <f t="shared" si="15"/>
        <v>-1</v>
      </c>
      <c r="AZ126" t="s">
        <v>87</v>
      </c>
      <c r="BA126" s="4">
        <f t="shared" si="16"/>
        <v>-1</v>
      </c>
      <c r="BB126" t="s">
        <v>87</v>
      </c>
      <c r="BC126" s="4">
        <f t="shared" si="17"/>
        <v>-1</v>
      </c>
      <c r="BD126" s="5">
        <v>0</v>
      </c>
      <c r="BE126" s="5">
        <v>0</v>
      </c>
      <c r="BF126" s="5">
        <v>0</v>
      </c>
      <c r="BG126" s="5">
        <v>0</v>
      </c>
      <c r="BH126" s="5" t="str">
        <f t="shared" si="18"/>
        <v>No</v>
      </c>
      <c r="BI126" t="str">
        <f t="shared" si="19"/>
        <v>No</v>
      </c>
      <c r="BJ126" s="5">
        <v>0</v>
      </c>
    </row>
    <row r="127" spans="1:63" ht="17" x14ac:dyDescent="0.2">
      <c r="A127">
        <v>47</v>
      </c>
      <c r="B127" t="s">
        <v>1024</v>
      </c>
      <c r="C127" t="s">
        <v>1025</v>
      </c>
      <c r="D127" t="s">
        <v>1026</v>
      </c>
      <c r="E127" s="4" t="s">
        <v>1027</v>
      </c>
      <c r="F127" t="s">
        <v>55</v>
      </c>
      <c r="G127" t="s">
        <v>1028</v>
      </c>
      <c r="H127">
        <v>62</v>
      </c>
      <c r="I127" t="s">
        <v>231</v>
      </c>
      <c r="J127">
        <v>103875</v>
      </c>
      <c r="N127" t="s">
        <v>61</v>
      </c>
      <c r="O127" t="s">
        <v>1029</v>
      </c>
      <c r="P127" t="s">
        <v>1030</v>
      </c>
      <c r="Q127" t="s">
        <v>1031</v>
      </c>
      <c r="R127" t="s">
        <v>1032</v>
      </c>
      <c r="S127" t="s">
        <v>1033</v>
      </c>
      <c r="T127" t="s">
        <v>1034</v>
      </c>
      <c r="U127" t="s">
        <v>1035</v>
      </c>
      <c r="Z127" t="s">
        <v>1036</v>
      </c>
      <c r="AA127" t="s">
        <v>1037</v>
      </c>
      <c r="AB127" t="s">
        <v>1038</v>
      </c>
      <c r="AC127" t="s">
        <v>1039</v>
      </c>
      <c r="AE127" t="s">
        <v>1040</v>
      </c>
      <c r="AK127">
        <v>3064573</v>
      </c>
      <c r="AM127" t="s">
        <v>1041</v>
      </c>
      <c r="AO127" t="s">
        <v>80</v>
      </c>
      <c r="AP127" t="s">
        <v>1042</v>
      </c>
      <c r="AQ127" t="s">
        <v>245</v>
      </c>
      <c r="AR127" t="s">
        <v>83</v>
      </c>
      <c r="AT127" t="s">
        <v>84</v>
      </c>
      <c r="AU127" t="s">
        <v>1043</v>
      </c>
      <c r="AV127" t="s">
        <v>86</v>
      </c>
      <c r="AW127" t="s">
        <v>84</v>
      </c>
      <c r="AX127" t="s">
        <v>87</v>
      </c>
      <c r="AY127" s="4">
        <f t="shared" si="15"/>
        <v>-1</v>
      </c>
      <c r="AZ127" t="b">
        <v>1</v>
      </c>
      <c r="BA127" s="4">
        <f t="shared" si="16"/>
        <v>1</v>
      </c>
      <c r="BB127" t="s">
        <v>87</v>
      </c>
      <c r="BC127" s="4">
        <f t="shared" si="17"/>
        <v>-1</v>
      </c>
      <c r="BD127" s="5">
        <v>1</v>
      </c>
      <c r="BE127" s="5">
        <v>0</v>
      </c>
      <c r="BF127" s="5">
        <v>0</v>
      </c>
      <c r="BG127" s="5">
        <v>0</v>
      </c>
      <c r="BH127" s="5" t="str">
        <f t="shared" si="18"/>
        <v>No</v>
      </c>
      <c r="BI127" t="str">
        <f t="shared" si="19"/>
        <v>No</v>
      </c>
      <c r="BJ127" s="5">
        <v>0</v>
      </c>
      <c r="BK127" t="s">
        <v>2853</v>
      </c>
    </row>
    <row r="128" spans="1:63" ht="17" x14ac:dyDescent="0.2">
      <c r="A128">
        <v>86</v>
      </c>
      <c r="B128" t="s">
        <v>1650</v>
      </c>
      <c r="C128" t="s">
        <v>1651</v>
      </c>
      <c r="D128" t="s">
        <v>1652</v>
      </c>
      <c r="E128" s="4" t="s">
        <v>1653</v>
      </c>
      <c r="F128" t="s">
        <v>146</v>
      </c>
      <c r="G128" t="s">
        <v>1654</v>
      </c>
      <c r="K128" t="s">
        <v>1655</v>
      </c>
      <c r="L128" t="s">
        <v>1656</v>
      </c>
      <c r="M128" t="s">
        <v>151</v>
      </c>
      <c r="N128" t="s">
        <v>61</v>
      </c>
      <c r="O128" t="s">
        <v>1657</v>
      </c>
      <c r="P128" s="7" t="s">
        <v>1658</v>
      </c>
      <c r="Q128" t="s">
        <v>1659</v>
      </c>
      <c r="R128" t="s">
        <v>1660</v>
      </c>
      <c r="S128" t="s">
        <v>1661</v>
      </c>
      <c r="T128" t="s">
        <v>1662</v>
      </c>
      <c r="U128" t="s">
        <v>1663</v>
      </c>
      <c r="AB128" t="s">
        <v>1664</v>
      </c>
      <c r="AC128" t="s">
        <v>1665</v>
      </c>
      <c r="AD128" t="s">
        <v>1666</v>
      </c>
      <c r="AE128" t="s">
        <v>216</v>
      </c>
      <c r="AF128" t="s">
        <v>1667</v>
      </c>
      <c r="AG128" t="s">
        <v>1668</v>
      </c>
      <c r="AH128" t="s">
        <v>1669</v>
      </c>
      <c r="AI128" t="s">
        <v>1670</v>
      </c>
      <c r="AJ128" t="s">
        <v>1671</v>
      </c>
      <c r="AL128" t="s">
        <v>1672</v>
      </c>
      <c r="AO128" t="s">
        <v>80</v>
      </c>
      <c r="AP128" t="s">
        <v>1673</v>
      </c>
      <c r="AQ128" t="s">
        <v>82</v>
      </c>
      <c r="AR128" t="s">
        <v>83</v>
      </c>
      <c r="AT128" t="s">
        <v>84</v>
      </c>
      <c r="AU128" t="s">
        <v>1674</v>
      </c>
      <c r="AV128" t="s">
        <v>86</v>
      </c>
      <c r="AW128" t="s">
        <v>84</v>
      </c>
      <c r="AX128" t="b">
        <v>1</v>
      </c>
      <c r="AY128" s="4">
        <f t="shared" si="15"/>
        <v>1</v>
      </c>
      <c r="AZ128" t="b">
        <v>1</v>
      </c>
      <c r="BA128" s="4">
        <f t="shared" si="16"/>
        <v>1</v>
      </c>
      <c r="BB128" t="b">
        <v>1</v>
      </c>
      <c r="BC128" s="4">
        <f t="shared" si="17"/>
        <v>1</v>
      </c>
      <c r="BD128" s="5">
        <v>1</v>
      </c>
      <c r="BE128" s="5">
        <v>1</v>
      </c>
      <c r="BF128" s="5">
        <v>1</v>
      </c>
      <c r="BG128" s="5">
        <v>-1</v>
      </c>
      <c r="BH128" s="17" t="str">
        <f t="shared" si="18"/>
        <v>Doubt</v>
      </c>
      <c r="BI128" t="str">
        <f t="shared" si="19"/>
        <v>Yes</v>
      </c>
      <c r="BJ128" s="5">
        <v>1</v>
      </c>
      <c r="BK128" t="s">
        <v>2909</v>
      </c>
    </row>
    <row r="129" spans="1:63" ht="17" x14ac:dyDescent="0.2">
      <c r="A129">
        <v>115</v>
      </c>
      <c r="B129" t="s">
        <v>2096</v>
      </c>
      <c r="C129" t="s">
        <v>2097</v>
      </c>
      <c r="D129" t="s">
        <v>2098</v>
      </c>
      <c r="E129" s="4" t="s">
        <v>2099</v>
      </c>
      <c r="F129" t="s">
        <v>121</v>
      </c>
      <c r="G129" t="s">
        <v>2100</v>
      </c>
      <c r="H129">
        <v>39</v>
      </c>
      <c r="I129" t="s">
        <v>206</v>
      </c>
      <c r="K129" t="s">
        <v>2101</v>
      </c>
      <c r="L129" t="s">
        <v>2102</v>
      </c>
      <c r="M129" t="s">
        <v>926</v>
      </c>
      <c r="N129" t="s">
        <v>152</v>
      </c>
      <c r="O129" t="s">
        <v>2103</v>
      </c>
      <c r="P129" t="s">
        <v>2104</v>
      </c>
      <c r="Q129" t="s">
        <v>2105</v>
      </c>
      <c r="R129" t="s">
        <v>2106</v>
      </c>
      <c r="S129" t="s">
        <v>2107</v>
      </c>
      <c r="T129" t="s">
        <v>2108</v>
      </c>
      <c r="U129" t="s">
        <v>2109</v>
      </c>
      <c r="Z129" t="s">
        <v>2110</v>
      </c>
      <c r="AA129" t="s">
        <v>2111</v>
      </c>
      <c r="AB129" t="s">
        <v>2112</v>
      </c>
      <c r="AC129" t="s">
        <v>2113</v>
      </c>
      <c r="AE129" t="s">
        <v>2114</v>
      </c>
      <c r="AK129">
        <v>2640473</v>
      </c>
      <c r="AM129" t="s">
        <v>2115</v>
      </c>
      <c r="AO129" t="s">
        <v>80</v>
      </c>
      <c r="AP129" t="s">
        <v>2116</v>
      </c>
      <c r="AQ129" t="s">
        <v>245</v>
      </c>
      <c r="AR129" t="s">
        <v>83</v>
      </c>
      <c r="AT129" t="s">
        <v>84</v>
      </c>
      <c r="AU129" t="s">
        <v>2117</v>
      </c>
      <c r="AV129" t="s">
        <v>86</v>
      </c>
      <c r="AW129" t="s">
        <v>84</v>
      </c>
      <c r="AX129" t="s">
        <v>87</v>
      </c>
      <c r="AY129" s="4">
        <f t="shared" si="15"/>
        <v>-1</v>
      </c>
      <c r="AZ129" t="s">
        <v>87</v>
      </c>
      <c r="BA129" s="4">
        <f t="shared" si="16"/>
        <v>-1</v>
      </c>
      <c r="BB129" t="s">
        <v>87</v>
      </c>
      <c r="BC129" s="4">
        <f t="shared" si="17"/>
        <v>-1</v>
      </c>
      <c r="BD129" s="5">
        <v>1</v>
      </c>
      <c r="BE129" s="5">
        <v>0</v>
      </c>
      <c r="BF129" s="5">
        <v>0</v>
      </c>
      <c r="BG129" s="5">
        <v>0</v>
      </c>
      <c r="BH129" s="9" t="str">
        <f t="shared" si="18"/>
        <v>No</v>
      </c>
      <c r="BI129" t="str">
        <f t="shared" si="19"/>
        <v>No</v>
      </c>
      <c r="BJ129" s="5">
        <v>0</v>
      </c>
      <c r="BK129" t="s">
        <v>2865</v>
      </c>
    </row>
    <row r="130" spans="1:63" ht="17" x14ac:dyDescent="0.2">
      <c r="A130">
        <v>1</v>
      </c>
      <c r="B130" t="s">
        <v>88</v>
      </c>
      <c r="C130" t="s">
        <v>89</v>
      </c>
      <c r="D130" t="s">
        <v>90</v>
      </c>
      <c r="E130" s="4" t="s">
        <v>91</v>
      </c>
      <c r="F130" t="s">
        <v>92</v>
      </c>
      <c r="G130" t="s">
        <v>93</v>
      </c>
      <c r="K130" t="s">
        <v>94</v>
      </c>
      <c r="L130" t="s">
        <v>95</v>
      </c>
      <c r="M130" t="s">
        <v>96</v>
      </c>
      <c r="N130" t="s">
        <v>97</v>
      </c>
      <c r="O130" t="s">
        <v>98</v>
      </c>
      <c r="P130" s="7" t="s">
        <v>99</v>
      </c>
      <c r="Q130" t="s">
        <v>100</v>
      </c>
      <c r="R130" t="s">
        <v>101</v>
      </c>
      <c r="S130" t="s">
        <v>102</v>
      </c>
      <c r="U130" t="s">
        <v>103</v>
      </c>
      <c r="Z130" t="s">
        <v>104</v>
      </c>
      <c r="AA130" t="s">
        <v>105</v>
      </c>
      <c r="AB130" t="s">
        <v>106</v>
      </c>
      <c r="AC130" t="s">
        <v>107</v>
      </c>
      <c r="AD130" t="s">
        <v>108</v>
      </c>
      <c r="AE130" t="s">
        <v>109</v>
      </c>
      <c r="AG130" t="s">
        <v>110</v>
      </c>
      <c r="AH130" t="s">
        <v>111</v>
      </c>
      <c r="AI130" t="s">
        <v>112</v>
      </c>
      <c r="AJ130" t="s">
        <v>113</v>
      </c>
      <c r="AO130" t="s">
        <v>80</v>
      </c>
      <c r="AP130" t="s">
        <v>114</v>
      </c>
      <c r="AQ130" t="s">
        <v>82</v>
      </c>
      <c r="AR130" t="s">
        <v>83</v>
      </c>
      <c r="AS130" t="s">
        <v>115</v>
      </c>
      <c r="AT130" t="s">
        <v>84</v>
      </c>
      <c r="AU130" t="s">
        <v>116</v>
      </c>
      <c r="AV130" t="s">
        <v>86</v>
      </c>
      <c r="AW130" t="s">
        <v>84</v>
      </c>
      <c r="AX130" t="b">
        <v>1</v>
      </c>
      <c r="AY130" s="4">
        <f t="shared" ref="AY130:AY135" si="20">IF(AX130=TRUE,1,IF(AX130=FALSE,0,-1))</f>
        <v>1</v>
      </c>
      <c r="AZ130" t="b">
        <v>1</v>
      </c>
      <c r="BA130" s="4">
        <f t="shared" ref="BA130:BA135" si="21">IF(AZ130=TRUE,1,IF(AZ130=FALSE,0,-1))</f>
        <v>1</v>
      </c>
      <c r="BB130" t="b">
        <v>1</v>
      </c>
      <c r="BC130" s="4">
        <f t="shared" ref="BC130:BC135" si="22">IF(BB130=TRUE,1,IF(BB130=FALSE,0,-1))</f>
        <v>1</v>
      </c>
      <c r="BD130" s="5">
        <v>1</v>
      </c>
      <c r="BE130" s="5">
        <v>1</v>
      </c>
      <c r="BF130" s="5">
        <v>1</v>
      </c>
      <c r="BG130" s="5">
        <v>1</v>
      </c>
      <c r="BH130" s="15" t="str">
        <f t="shared" ref="BH130:BH135" si="23">IF(BG130=1,"Yes",IF(BG130=-1,"Doubt","No"))</f>
        <v>Yes</v>
      </c>
      <c r="BI130" t="str">
        <f t="shared" ref="BI130:BI135" si="24">IF(BF130=1,"Yes","No")</f>
        <v>Yes</v>
      </c>
      <c r="BJ130" s="5">
        <v>1</v>
      </c>
      <c r="BK130" t="s">
        <v>2913</v>
      </c>
    </row>
    <row r="131" spans="1:63" ht="17" x14ac:dyDescent="0.2">
      <c r="A131">
        <v>89</v>
      </c>
      <c r="B131" t="s">
        <v>1675</v>
      </c>
      <c r="C131" t="s">
        <v>1676</v>
      </c>
      <c r="D131" t="s">
        <v>1677</v>
      </c>
      <c r="E131" s="4" t="s">
        <v>1678</v>
      </c>
      <c r="F131" t="s">
        <v>176</v>
      </c>
      <c r="G131" t="s">
        <v>1679</v>
      </c>
      <c r="H131">
        <v>22</v>
      </c>
      <c r="I131" t="s">
        <v>152</v>
      </c>
      <c r="J131">
        <v>50</v>
      </c>
      <c r="N131" t="s">
        <v>280</v>
      </c>
      <c r="O131" t="s">
        <v>1680</v>
      </c>
      <c r="P131" t="s">
        <v>1681</v>
      </c>
      <c r="Q131" t="s">
        <v>1682</v>
      </c>
      <c r="R131" t="s">
        <v>1683</v>
      </c>
      <c r="S131" t="s">
        <v>1684</v>
      </c>
      <c r="T131" t="s">
        <v>1685</v>
      </c>
      <c r="U131" t="s">
        <v>1686</v>
      </c>
      <c r="AB131" t="s">
        <v>1687</v>
      </c>
      <c r="AE131" t="s">
        <v>1060</v>
      </c>
      <c r="AK131">
        <v>23754699</v>
      </c>
      <c r="AO131" t="s">
        <v>80</v>
      </c>
      <c r="AP131" t="s">
        <v>1688</v>
      </c>
      <c r="AQ131" t="s">
        <v>82</v>
      </c>
      <c r="AR131" t="s">
        <v>83</v>
      </c>
      <c r="AT131" t="s">
        <v>84</v>
      </c>
      <c r="AU131" t="s">
        <v>1689</v>
      </c>
      <c r="AV131" t="s">
        <v>86</v>
      </c>
      <c r="AW131" t="s">
        <v>84</v>
      </c>
      <c r="AX131" t="s">
        <v>87</v>
      </c>
      <c r="AY131" s="4">
        <f t="shared" si="20"/>
        <v>-1</v>
      </c>
      <c r="AZ131" t="s">
        <v>87</v>
      </c>
      <c r="BA131" s="4">
        <f t="shared" si="21"/>
        <v>-1</v>
      </c>
      <c r="BB131" t="b">
        <v>1</v>
      </c>
      <c r="BC131" s="4">
        <f t="shared" si="22"/>
        <v>1</v>
      </c>
      <c r="BD131" s="5">
        <v>1</v>
      </c>
      <c r="BE131" s="5">
        <v>1</v>
      </c>
      <c r="BF131" s="5">
        <v>0</v>
      </c>
      <c r="BG131" s="5">
        <v>0</v>
      </c>
      <c r="BH131" s="5" t="str">
        <f t="shared" si="23"/>
        <v>No</v>
      </c>
      <c r="BI131" t="str">
        <f t="shared" si="24"/>
        <v>No</v>
      </c>
      <c r="BJ131" s="5">
        <v>0</v>
      </c>
      <c r="BK131" t="s">
        <v>2887</v>
      </c>
    </row>
    <row r="132" spans="1:63" ht="17" x14ac:dyDescent="0.2">
      <c r="A132">
        <v>61</v>
      </c>
      <c r="B132" t="s">
        <v>1270</v>
      </c>
      <c r="C132" t="s">
        <v>1271</v>
      </c>
      <c r="D132" t="s">
        <v>1272</v>
      </c>
      <c r="E132" s="4" t="s">
        <v>1273</v>
      </c>
      <c r="F132" t="s">
        <v>176</v>
      </c>
      <c r="G132" t="s">
        <v>252</v>
      </c>
      <c r="H132">
        <v>1</v>
      </c>
      <c r="K132" t="s">
        <v>1274</v>
      </c>
      <c r="L132" t="s">
        <v>1275</v>
      </c>
      <c r="M132" t="s">
        <v>1276</v>
      </c>
      <c r="N132" t="s">
        <v>180</v>
      </c>
      <c r="P132" t="s">
        <v>1277</v>
      </c>
      <c r="Q132" t="s">
        <v>1278</v>
      </c>
      <c r="R132" t="s">
        <v>1279</v>
      </c>
      <c r="S132" t="s">
        <v>1280</v>
      </c>
      <c r="U132" t="s">
        <v>1281</v>
      </c>
      <c r="AB132" t="s">
        <v>1282</v>
      </c>
      <c r="AC132" t="s">
        <v>1283</v>
      </c>
      <c r="AE132" t="s">
        <v>109</v>
      </c>
      <c r="AF132" t="s">
        <v>264</v>
      </c>
      <c r="AG132" t="s">
        <v>265</v>
      </c>
      <c r="AH132" t="s">
        <v>266</v>
      </c>
      <c r="AI132" t="s">
        <v>267</v>
      </c>
      <c r="AJ132" t="s">
        <v>268</v>
      </c>
      <c r="AK132" t="s">
        <v>269</v>
      </c>
      <c r="AL132" t="s">
        <v>270</v>
      </c>
      <c r="AO132" t="s">
        <v>80</v>
      </c>
      <c r="AP132" t="s">
        <v>271</v>
      </c>
      <c r="AQ132" t="s">
        <v>82</v>
      </c>
      <c r="AR132" t="s">
        <v>83</v>
      </c>
      <c r="AT132" t="s">
        <v>84</v>
      </c>
      <c r="AU132" t="s">
        <v>1284</v>
      </c>
      <c r="AV132" t="s">
        <v>86</v>
      </c>
      <c r="AW132" t="s">
        <v>84</v>
      </c>
      <c r="AX132" t="b">
        <v>1</v>
      </c>
      <c r="AY132" s="4">
        <f t="shared" si="20"/>
        <v>1</v>
      </c>
      <c r="AZ132" t="b">
        <v>1</v>
      </c>
      <c r="BA132" s="4">
        <f t="shared" si="21"/>
        <v>1</v>
      </c>
      <c r="BB132" t="b">
        <v>1</v>
      </c>
      <c r="BC132" s="4">
        <f t="shared" si="22"/>
        <v>1</v>
      </c>
      <c r="BD132" s="5">
        <v>1</v>
      </c>
      <c r="BE132" s="5">
        <v>1</v>
      </c>
      <c r="BF132" s="5">
        <v>0</v>
      </c>
      <c r="BG132" s="5">
        <v>0</v>
      </c>
      <c r="BH132" s="5" t="str">
        <f t="shared" si="23"/>
        <v>No</v>
      </c>
      <c r="BI132" t="str">
        <f t="shared" si="24"/>
        <v>No</v>
      </c>
      <c r="BJ132" s="5">
        <v>0</v>
      </c>
      <c r="BK132" t="s">
        <v>2837</v>
      </c>
    </row>
    <row r="133" spans="1:63" ht="17" x14ac:dyDescent="0.2">
      <c r="A133">
        <v>82</v>
      </c>
      <c r="B133" t="s">
        <v>1594</v>
      </c>
      <c r="C133" t="s">
        <v>1595</v>
      </c>
      <c r="D133" t="s">
        <v>1596</v>
      </c>
      <c r="E133" s="4" t="s">
        <v>1597</v>
      </c>
      <c r="F133" t="s">
        <v>176</v>
      </c>
      <c r="G133" t="s">
        <v>672</v>
      </c>
      <c r="K133" t="s">
        <v>1598</v>
      </c>
      <c r="L133" t="s">
        <v>1599</v>
      </c>
      <c r="M133" t="s">
        <v>60</v>
      </c>
      <c r="N133" t="s">
        <v>231</v>
      </c>
      <c r="O133" t="s">
        <v>1600</v>
      </c>
      <c r="P133" s="7" t="s">
        <v>1601</v>
      </c>
      <c r="Q133" t="s">
        <v>1602</v>
      </c>
      <c r="R133" t="s">
        <v>1603</v>
      </c>
      <c r="S133" t="s">
        <v>1604</v>
      </c>
      <c r="U133" t="s">
        <v>1605</v>
      </c>
      <c r="Z133" t="s">
        <v>1606</v>
      </c>
      <c r="AA133" t="s">
        <v>1607</v>
      </c>
      <c r="AB133" t="s">
        <v>1608</v>
      </c>
      <c r="AD133" t="s">
        <v>685</v>
      </c>
      <c r="AE133" t="s">
        <v>109</v>
      </c>
      <c r="AF133" t="s">
        <v>686</v>
      </c>
      <c r="AG133" t="s">
        <v>687</v>
      </c>
      <c r="AH133" t="s">
        <v>382</v>
      </c>
      <c r="AI133" t="s">
        <v>688</v>
      </c>
      <c r="AJ133" t="s">
        <v>689</v>
      </c>
      <c r="AL133" t="s">
        <v>690</v>
      </c>
      <c r="AO133" t="s">
        <v>80</v>
      </c>
      <c r="AP133" t="s">
        <v>140</v>
      </c>
      <c r="AQ133" t="s">
        <v>82</v>
      </c>
      <c r="AR133" t="s">
        <v>83</v>
      </c>
      <c r="AS133" t="s">
        <v>115</v>
      </c>
      <c r="AT133" t="s">
        <v>84</v>
      </c>
      <c r="AU133" t="s">
        <v>1609</v>
      </c>
      <c r="AV133" t="s">
        <v>86</v>
      </c>
      <c r="AW133" t="s">
        <v>84</v>
      </c>
      <c r="AX133" t="b">
        <v>1</v>
      </c>
      <c r="AY133" s="4">
        <f t="shared" si="20"/>
        <v>1</v>
      </c>
      <c r="AZ133" t="b">
        <v>1</v>
      </c>
      <c r="BA133" s="4">
        <f t="shared" si="21"/>
        <v>1</v>
      </c>
      <c r="BB133" t="b">
        <v>1</v>
      </c>
      <c r="BC133" s="4">
        <f t="shared" si="22"/>
        <v>1</v>
      </c>
      <c r="BD133" s="5">
        <v>1</v>
      </c>
      <c r="BE133" s="5">
        <v>1</v>
      </c>
      <c r="BF133" s="5">
        <v>1</v>
      </c>
      <c r="BG133" s="5">
        <v>-1</v>
      </c>
      <c r="BH133" s="5" t="str">
        <f t="shared" si="23"/>
        <v>Doubt</v>
      </c>
      <c r="BI133" t="str">
        <f t="shared" si="24"/>
        <v>Yes</v>
      </c>
      <c r="BJ133" s="5">
        <v>1</v>
      </c>
      <c r="BK133" t="s">
        <v>2919</v>
      </c>
    </row>
    <row r="134" spans="1:63" ht="17" x14ac:dyDescent="0.2">
      <c r="A134">
        <v>139</v>
      </c>
      <c r="B134" t="s">
        <v>2436</v>
      </c>
      <c r="C134" t="s">
        <v>2437</v>
      </c>
      <c r="D134" t="s">
        <v>2438</v>
      </c>
      <c r="E134" s="4" t="s">
        <v>2439</v>
      </c>
      <c r="F134" t="s">
        <v>176</v>
      </c>
      <c r="G134" t="s">
        <v>628</v>
      </c>
      <c r="H134">
        <v>13</v>
      </c>
      <c r="I134" t="s">
        <v>2440</v>
      </c>
      <c r="J134" t="s">
        <v>2441</v>
      </c>
      <c r="N134" t="s">
        <v>280</v>
      </c>
      <c r="O134" t="s">
        <v>2442</v>
      </c>
      <c r="P134" t="s">
        <v>2443</v>
      </c>
      <c r="Q134" t="s">
        <v>2444</v>
      </c>
      <c r="R134" t="s">
        <v>2445</v>
      </c>
      <c r="S134" t="s">
        <v>2446</v>
      </c>
      <c r="T134" t="s">
        <v>2447</v>
      </c>
      <c r="AB134" t="s">
        <v>2448</v>
      </c>
      <c r="AC134" t="s">
        <v>2449</v>
      </c>
      <c r="AE134" t="s">
        <v>334</v>
      </c>
      <c r="AK134">
        <v>20763417</v>
      </c>
      <c r="AO134" t="s">
        <v>80</v>
      </c>
      <c r="AP134" t="s">
        <v>640</v>
      </c>
      <c r="AQ134" t="s">
        <v>245</v>
      </c>
      <c r="AR134" t="s">
        <v>83</v>
      </c>
      <c r="AS134" t="s">
        <v>170</v>
      </c>
      <c r="AT134" t="s">
        <v>84</v>
      </c>
      <c r="AU134" t="s">
        <v>2450</v>
      </c>
      <c r="AV134" t="s">
        <v>2313</v>
      </c>
      <c r="AW134" t="s">
        <v>84</v>
      </c>
      <c r="AX134" t="s">
        <v>87</v>
      </c>
      <c r="AY134" s="4">
        <f t="shared" si="20"/>
        <v>-1</v>
      </c>
      <c r="AZ134" t="b">
        <v>1</v>
      </c>
      <c r="BA134" s="4">
        <f t="shared" si="21"/>
        <v>1</v>
      </c>
      <c r="BB134" t="s">
        <v>87</v>
      </c>
      <c r="BC134" s="4">
        <f t="shared" si="22"/>
        <v>-1</v>
      </c>
      <c r="BD134" s="5">
        <v>1</v>
      </c>
      <c r="BE134" s="5">
        <v>0</v>
      </c>
      <c r="BF134" s="5">
        <v>0</v>
      </c>
      <c r="BG134" s="5">
        <v>0</v>
      </c>
      <c r="BH134" s="5" t="str">
        <f t="shared" si="23"/>
        <v>No</v>
      </c>
      <c r="BI134" t="str">
        <f t="shared" si="24"/>
        <v>No</v>
      </c>
      <c r="BJ134" s="5">
        <v>0</v>
      </c>
      <c r="BK134" t="s">
        <v>2853</v>
      </c>
    </row>
    <row r="135" spans="1:63" ht="17" x14ac:dyDescent="0.2">
      <c r="A135">
        <v>26</v>
      </c>
      <c r="B135" t="s">
        <v>624</v>
      </c>
      <c r="C135" t="s">
        <v>625</v>
      </c>
      <c r="D135" t="s">
        <v>626</v>
      </c>
      <c r="E135" s="4" t="s">
        <v>627</v>
      </c>
      <c r="F135" t="s">
        <v>176</v>
      </c>
      <c r="G135" t="s">
        <v>628</v>
      </c>
      <c r="H135">
        <v>13</v>
      </c>
      <c r="I135" t="s">
        <v>180</v>
      </c>
      <c r="J135">
        <v>4636</v>
      </c>
      <c r="N135" t="s">
        <v>206</v>
      </c>
      <c r="O135" t="s">
        <v>629</v>
      </c>
      <c r="P135" s="7" t="s">
        <v>630</v>
      </c>
      <c r="Q135" t="s">
        <v>631</v>
      </c>
      <c r="R135" t="s">
        <v>632</v>
      </c>
      <c r="S135" t="s">
        <v>633</v>
      </c>
      <c r="T135" t="s">
        <v>634</v>
      </c>
      <c r="Z135" t="s">
        <v>635</v>
      </c>
      <c r="AA135" t="s">
        <v>636</v>
      </c>
      <c r="AB135" t="s">
        <v>637</v>
      </c>
      <c r="AC135" t="s">
        <v>638</v>
      </c>
      <c r="AE135" t="s">
        <v>639</v>
      </c>
      <c r="AK135">
        <v>20763417</v>
      </c>
      <c r="AO135" t="s">
        <v>80</v>
      </c>
      <c r="AP135" t="s">
        <v>640</v>
      </c>
      <c r="AQ135" t="s">
        <v>245</v>
      </c>
      <c r="AR135" t="s">
        <v>83</v>
      </c>
      <c r="AS135" t="s">
        <v>170</v>
      </c>
      <c r="AT135" t="s">
        <v>84</v>
      </c>
      <c r="AU135" t="s">
        <v>641</v>
      </c>
      <c r="AV135" t="s">
        <v>86</v>
      </c>
      <c r="AW135" t="s">
        <v>84</v>
      </c>
      <c r="AX135" t="s">
        <v>87</v>
      </c>
      <c r="AY135" s="4">
        <f t="shared" si="20"/>
        <v>-1</v>
      </c>
      <c r="AZ135" t="b">
        <v>1</v>
      </c>
      <c r="BA135" s="4">
        <f t="shared" si="21"/>
        <v>1</v>
      </c>
      <c r="BB135" t="s">
        <v>87</v>
      </c>
      <c r="BC135" s="4">
        <f t="shared" si="22"/>
        <v>-1</v>
      </c>
      <c r="BD135" s="5">
        <v>1</v>
      </c>
      <c r="BE135" s="5">
        <v>0</v>
      </c>
      <c r="BF135" s="5">
        <v>1</v>
      </c>
      <c r="BG135" s="5">
        <v>1</v>
      </c>
      <c r="BH135" s="6" t="str">
        <f t="shared" si="23"/>
        <v>Yes</v>
      </c>
      <c r="BI135" t="str">
        <f t="shared" si="24"/>
        <v>Yes</v>
      </c>
      <c r="BJ135" s="5">
        <v>1</v>
      </c>
      <c r="BK135" t="s">
        <v>2852</v>
      </c>
    </row>
    <row r="136" spans="1:63" x14ac:dyDescent="0.2">
      <c r="BI136">
        <f>COUNTIF($BI$2:$BI$135, "yes")</f>
        <v>83</v>
      </c>
      <c r="BJ136">
        <f>SUM(BJ2:BJ135)</f>
        <v>83</v>
      </c>
    </row>
    <row r="137" spans="1:63" x14ac:dyDescent="0.2">
      <c r="BI137">
        <f>COUNTIF($BI$2:$BI$135, "no")</f>
        <v>51</v>
      </c>
    </row>
    <row r="139" spans="1:63" x14ac:dyDescent="0.2">
      <c r="BJ139">
        <f>BI136-BJ136</f>
        <v>0</v>
      </c>
    </row>
  </sheetData>
  <sortState xmlns:xlrd2="http://schemas.microsoft.com/office/spreadsheetml/2017/richdata2" ref="A2:BK139">
    <sortCondition ref="E1:E139"/>
  </sortState>
  <conditionalFormatting sqref="AY1:AY135">
    <cfRule type="colorScale" priority="10">
      <colorScale>
        <cfvo type="min"/>
        <cfvo type="percentile" val="50"/>
        <cfvo type="max"/>
        <color rgb="FFFEF4B4"/>
        <color rgb="FFFF7A7A"/>
        <color theme="9" tint="0.59999389629810485"/>
      </colorScale>
    </cfRule>
  </conditionalFormatting>
  <conditionalFormatting sqref="BA1:BA135">
    <cfRule type="colorScale" priority="12">
      <colorScale>
        <cfvo type="min"/>
        <cfvo type="percentile" val="50"/>
        <cfvo type="max"/>
        <color rgb="FFFEF4B4"/>
        <color rgb="FFFF7A7A"/>
        <color theme="9" tint="0.59999389629810485"/>
      </colorScale>
    </cfRule>
  </conditionalFormatting>
  <conditionalFormatting sqref="BC1:BC135">
    <cfRule type="colorScale" priority="14">
      <colorScale>
        <cfvo type="min"/>
        <cfvo type="percentile" val="50"/>
        <cfvo type="max"/>
        <color rgb="FFFEF4B4"/>
        <color rgb="FFFF7A7A"/>
        <color theme="9" tint="0.59999389629810485"/>
      </colorScale>
    </cfRule>
  </conditionalFormatting>
  <conditionalFormatting sqref="BD1:BD135">
    <cfRule type="colorScale" priority="16">
      <colorScale>
        <cfvo type="min"/>
        <cfvo type="max"/>
        <color rgb="FFFFA09E"/>
        <color theme="9" tint="0.59999389629810485"/>
      </colorScale>
    </cfRule>
  </conditionalFormatting>
  <conditionalFormatting sqref="BE1:BE135">
    <cfRule type="colorScale" priority="18">
      <colorScale>
        <cfvo type="min"/>
        <cfvo type="max"/>
        <color rgb="FFFFA09E"/>
        <color theme="9" tint="0.59999389629810485"/>
      </colorScale>
    </cfRule>
  </conditionalFormatting>
  <conditionalFormatting sqref="BF1:BF135">
    <cfRule type="colorScale" priority="20">
      <colorScale>
        <cfvo type="min"/>
        <cfvo type="max"/>
        <color rgb="FFFFA09E"/>
        <color theme="9" tint="0.59999389629810485"/>
      </colorScale>
    </cfRule>
  </conditionalFormatting>
  <conditionalFormatting sqref="BG1:BG135">
    <cfRule type="colorScale" priority="22">
      <colorScale>
        <cfvo type="min"/>
        <cfvo type="percentile" val="50"/>
        <cfvo type="max"/>
        <color rgb="FFFDF3B2"/>
        <color rgb="FFFFA09E"/>
        <color theme="9" tint="0.59999389629810485"/>
      </colorScale>
    </cfRule>
  </conditionalFormatting>
  <conditionalFormatting sqref="BH1:BK1">
    <cfRule type="colorScale" priority="2">
      <colorScale>
        <cfvo type="min"/>
        <cfvo type="percentile" val="50"/>
        <cfvo type="max"/>
        <color rgb="FFFDF3B2"/>
        <color rgb="FFFFA09E"/>
        <color theme="9" tint="0.59999389629810485"/>
      </colorScale>
    </cfRule>
  </conditionalFormatting>
  <conditionalFormatting sqref="BJ2:BJ135">
    <cfRule type="colorScale" priority="24">
      <colorScale>
        <cfvo type="min"/>
        <cfvo type="max"/>
        <color rgb="FFFFA09E"/>
        <color theme="9" tint="0.59999389629810485"/>
      </colorScale>
    </cfRule>
  </conditionalFormatting>
  <hyperlinks>
    <hyperlink ref="P65" r:id="rId1" xr:uid="{5657DE20-4339-0A46-8274-508006740374}"/>
    <hyperlink ref="P124" r:id="rId2" xr:uid="{66E28CEB-1BA5-D34D-AAFC-643007BAD70B}"/>
    <hyperlink ref="P87" r:id="rId3" xr:uid="{E128D154-43A4-8649-A9A5-E0FE53B973F8}"/>
    <hyperlink ref="P55" r:id="rId4" xr:uid="{0222D6FE-EEBB-134E-A526-3675F6534A06}"/>
    <hyperlink ref="P125" r:id="rId5" xr:uid="{767B42FA-4C53-9D4A-91F4-8CDE9B1DC085}"/>
    <hyperlink ref="P74" r:id="rId6" xr:uid="{F0C06E73-EA3F-0B43-9009-4E3E72B2A5C7}"/>
    <hyperlink ref="P105" r:id="rId7" xr:uid="{9D694A82-1B2A-0D44-91CF-0E5154AF8B8B}"/>
    <hyperlink ref="P3" r:id="rId8" xr:uid="{4D822546-40D5-6049-B6A6-D0194A7DC6CC}"/>
    <hyperlink ref="P29" r:id="rId9" xr:uid="{188AD66C-ADA0-0843-A6DE-BB1DD1CB8629}"/>
    <hyperlink ref="P135" r:id="rId10" xr:uid="{89B8BBB2-F31A-4A43-A664-A87640F7F92C}"/>
    <hyperlink ref="P15" r:id="rId11" xr:uid="{F207B9AB-8C8E-CA4D-9E08-48AC9C9B211A}"/>
    <hyperlink ref="P16" r:id="rId12" xr:uid="{72921C63-ED5B-9040-AFCB-117D021FA4C3}"/>
    <hyperlink ref="P23" r:id="rId13" xr:uid="{995DD84B-2F78-2A48-8BA5-91CD0B968F3C}"/>
    <hyperlink ref="P80" r:id="rId14" xr:uid="{89671CFA-BFC8-4744-B9F5-28199B4A7017}"/>
    <hyperlink ref="P82" r:id="rId15" xr:uid="{009BF88B-07D3-0046-AAA0-8EFA82C6395A}"/>
    <hyperlink ref="P109" r:id="rId16" xr:uid="{251855AF-6C23-2342-8001-EF92133EE74D}"/>
    <hyperlink ref="P11" r:id="rId17" xr:uid="{AC9EFFDF-2210-044A-811E-43AF0D92D840}"/>
    <hyperlink ref="P104" r:id="rId18" xr:uid="{653EE8BC-BB26-EF45-9EF1-754D795AFC2F}"/>
    <hyperlink ref="P25" r:id="rId19" xr:uid="{18EA1FA0-3E68-A349-8521-5E26158F2688}"/>
    <hyperlink ref="P35" r:id="rId20" xr:uid="{DA446C64-C4FD-8444-8EE8-EA01A53D0BCE}"/>
    <hyperlink ref="P103" r:id="rId21" xr:uid="{CA7B2659-B62D-784F-AFEC-25049E829446}"/>
    <hyperlink ref="P108" r:id="rId22" xr:uid="{1AC98367-BAF9-874C-8F2C-837E9EF61623}"/>
    <hyperlink ref="P130" r:id="rId23" xr:uid="{66A23932-EB38-D543-B9BC-487F2F30AD7F}"/>
    <hyperlink ref="P7" r:id="rId24" xr:uid="{E0D26A57-0B38-0246-96DA-90BA8548E3C3}"/>
    <hyperlink ref="P97" r:id="rId25" xr:uid="{28A78E11-7191-0943-86C2-D96213091678}"/>
    <hyperlink ref="P21" r:id="rId26" xr:uid="{35E49137-9292-B342-980F-6B619F8F8D25}"/>
    <hyperlink ref="P106" r:id="rId27" xr:uid="{01AAE337-FCC1-664E-A645-EC9ECED819DA}"/>
    <hyperlink ref="P128" r:id="rId28" xr:uid="{C0ACC5FA-1079-FF40-A249-5981089E58DE}"/>
    <hyperlink ref="P88" r:id="rId29" xr:uid="{466ED45F-3FC4-DB46-BA00-0E3A1B2542B0}"/>
    <hyperlink ref="P113" r:id="rId30" xr:uid="{604E0F91-A3E7-B74B-8E19-030497607189}"/>
    <hyperlink ref="P43" r:id="rId31" xr:uid="{01050AEC-609C-4D4F-BFB7-325E9096417B}"/>
    <hyperlink ref="P89" r:id="rId32" xr:uid="{5B9D2C89-F581-B44C-9A95-0A6E96A33800}"/>
    <hyperlink ref="P118" r:id="rId33" xr:uid="{58891FE0-6C5C-284D-87FA-2E27F672BC56}"/>
    <hyperlink ref="P121" r:id="rId34" xr:uid="{D1668A1E-DB6B-EA4B-B2C0-6C772BBA21D4}"/>
    <hyperlink ref="P6" r:id="rId35" xr:uid="{55810F74-5F17-A74C-84EE-386CAF85D2E1}"/>
    <hyperlink ref="P9" r:id="rId36" xr:uid="{54E4CCD4-88A4-1E4D-A986-BE4F8681AD84}"/>
    <hyperlink ref="P14" r:id="rId37" xr:uid="{D48439D9-AC03-1743-BAD1-7613D2C61F12}"/>
    <hyperlink ref="P22" r:id="rId38" xr:uid="{4174CA99-8645-FC49-90A1-A621B0DD119E}"/>
    <hyperlink ref="P38" r:id="rId39" xr:uid="{D51B83FC-D766-574F-9009-8358CFE5721E}"/>
    <hyperlink ref="P41" r:id="rId40" xr:uid="{0AFCB4AE-595A-1E43-B73C-E9BF23763C3E}"/>
    <hyperlink ref="P61" r:id="rId41" xr:uid="{E0165804-0B21-FD44-AC4D-80A08243B93A}"/>
    <hyperlink ref="P76" r:id="rId42" xr:uid="{705D80CB-938B-7648-B6AF-52413C0A6D85}"/>
    <hyperlink ref="P81" r:id="rId43" xr:uid="{0D237B8F-7979-7E40-96E5-88CA400F6426}"/>
    <hyperlink ref="P83" r:id="rId44" xr:uid="{DD32BFB8-1F56-2340-A03A-F73B7CE89C17}"/>
    <hyperlink ref="P95" r:id="rId45" xr:uid="{7413E31C-EF42-CC49-8C25-7FC103EB1E89}"/>
    <hyperlink ref="P98" r:id="rId46" xr:uid="{F5E645F6-CD28-844E-B3AA-A0E412B3E545}"/>
    <hyperlink ref="P100" r:id="rId47" xr:uid="{A05AEBC4-9F32-7945-A53E-FC211A2BC453}"/>
    <hyperlink ref="P114" r:id="rId48" xr:uid="{9F291744-FE81-EB43-BCD5-BFE71EA90B24}"/>
    <hyperlink ref="P117" r:id="rId49" xr:uid="{5E1C51E2-E035-D044-A9F3-C0902CBC6A59}"/>
    <hyperlink ref="P120" r:id="rId50" xr:uid="{20B16F91-5242-2C41-8989-6B9CFD3A8820}"/>
    <hyperlink ref="P133" r:id="rId51" xr:uid="{531D768A-3BD0-F148-AD4F-8821842DC8C3}"/>
    <hyperlink ref="P5" r:id="rId52" xr:uid="{B21E9CE6-2A5D-3D45-8C8A-E1CC8E3432DF}"/>
    <hyperlink ref="P8" r:id="rId53" xr:uid="{6B695D97-F57D-F642-B75F-C8D8B16DD493}"/>
    <hyperlink ref="P10" r:id="rId54" xr:uid="{2998DBFF-26E3-A94C-804F-9ECCEA97E894}"/>
    <hyperlink ref="P24" r:id="rId55" xr:uid="{C96116CC-B813-B643-80C4-A5258FDE6A9D}"/>
    <hyperlink ref="P26" r:id="rId56" xr:uid="{2A293245-E1E3-FF45-8277-9748A0AE2471}"/>
    <hyperlink ref="P27" r:id="rId57" xr:uid="{541BB667-3777-C247-9E40-AD898A350FEE}"/>
    <hyperlink ref="P28" r:id="rId58" xr:uid="{E9E0C982-109B-AF4A-BC6A-9D9FE8A89200}"/>
    <hyperlink ref="P30" r:id="rId59" xr:uid="{0C35A5B2-3F10-C44A-8A30-388BB4786E39}"/>
    <hyperlink ref="P39" r:id="rId60" xr:uid="{0DEAAF79-FCBA-8949-B32A-4DE3ED281DDD}"/>
    <hyperlink ref="P45" r:id="rId61" xr:uid="{8DA80AF5-E08E-B943-BE57-4BCFF48DDF0A}"/>
    <hyperlink ref="P46" r:id="rId62" xr:uid="{BB165826-0191-E444-A3F6-525C16CD9D62}"/>
    <hyperlink ref="P52" r:id="rId63" xr:uid="{146E001D-21EA-7044-84A3-811008E27283}"/>
    <hyperlink ref="P53" r:id="rId64" xr:uid="{3C630425-D236-3F40-BE69-9D1702A0E89D}"/>
    <hyperlink ref="P60" r:id="rId65" xr:uid="{650A0B9D-6919-F144-A14C-88F0EB758DA9}"/>
    <hyperlink ref="P63" r:id="rId66" xr:uid="{87C5D44F-DACE-9F47-91DD-95D77B5FCEE9}"/>
    <hyperlink ref="P70" r:id="rId67" xr:uid="{BFCC8076-5772-944F-88F6-5A5B1B8B1834}"/>
    <hyperlink ref="P77" r:id="rId68" xr:uid="{1C78C61D-CB7A-7246-9D87-E747F128A1D2}"/>
    <hyperlink ref="P78" r:id="rId69" xr:uid="{5B07C6FA-43C8-F944-AAA8-CA314A6E3B1E}"/>
    <hyperlink ref="P85" r:id="rId70" xr:uid="{3C1342C6-6483-464B-BB27-D7AF5FB24564}"/>
    <hyperlink ref="P96" r:id="rId71" xr:uid="{70B8F020-A270-4C47-972E-9DFF3CBCD2BE}"/>
    <hyperlink ref="P99" r:id="rId72" xr:uid="{55A5CF4A-294F-BB49-82FF-FF04CB5A7B40}"/>
    <hyperlink ref="P102" r:id="rId73" xr:uid="{81009C2A-1269-F345-9AD1-AD0ACA9AEC6A}"/>
    <hyperlink ref="P107" r:id="rId74" xr:uid="{8546D182-7E5F-684E-A18E-8B25A67CF145}"/>
    <hyperlink ref="P111" r:id="rId75" xr:uid="{1D31CBC8-F5DA-AC42-9C8F-EEEFD361566A}"/>
    <hyperlink ref="P115" r:id="rId76" xr:uid="{702BADB2-E535-484F-AA19-4343B6B54496}"/>
    <hyperlink ref="P116" r:id="rId77" xr:uid="{24751453-851B-0C42-B4AF-6B2F591C285B}"/>
    <hyperlink ref="P2" r:id="rId78" xr:uid="{AD683181-1320-B245-B39F-AAEFC84458D8}"/>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B2B67-F5F2-714E-BD7B-1B0F8AFC70C8}">
  <dimension ref="C2:R26"/>
  <sheetViews>
    <sheetView topLeftCell="A2" zoomScale="150" workbookViewId="0">
      <selection activeCell="I21" sqref="I21"/>
    </sheetView>
  </sheetViews>
  <sheetFormatPr baseColWidth="10" defaultRowHeight="16" x14ac:dyDescent="0.2"/>
  <cols>
    <col min="9" max="9" width="17.83203125" customWidth="1"/>
    <col min="10" max="10" width="13.6640625" customWidth="1"/>
    <col min="11" max="11" width="17.1640625" customWidth="1"/>
  </cols>
  <sheetData>
    <row r="2" spans="3:18" x14ac:dyDescent="0.2">
      <c r="P2" s="2" t="s">
        <v>2890</v>
      </c>
    </row>
    <row r="3" spans="3:18" x14ac:dyDescent="0.2">
      <c r="Q3" s="10" t="s">
        <v>86</v>
      </c>
      <c r="R3" s="10">
        <f>COUNTIF('Study selection'!$AV$94:$AV$135, "q1")</f>
        <v>37</v>
      </c>
    </row>
    <row r="4" spans="3:18" x14ac:dyDescent="0.2">
      <c r="I4" s="2" t="s">
        <v>2908</v>
      </c>
      <c r="J4" t="s">
        <v>2907</v>
      </c>
      <c r="K4" t="s">
        <v>2906</v>
      </c>
      <c r="Q4" s="10" t="s">
        <v>2313</v>
      </c>
      <c r="R4" s="10">
        <f>COUNTIF('Study selection'!$AV$94:$AV$135, "q2")</f>
        <v>3</v>
      </c>
    </row>
    <row r="5" spans="3:18" x14ac:dyDescent="0.2">
      <c r="C5" s="10" t="s">
        <v>2891</v>
      </c>
      <c r="D5" s="13">
        <f>COUNTIF('Study selection'!$BG$2:$BG$135, -1)</f>
        <v>18</v>
      </c>
      <c r="I5" s="10" t="s">
        <v>2901</v>
      </c>
      <c r="J5" s="19">
        <v>12</v>
      </c>
      <c r="K5" s="19">
        <f>COUNTIF('Study selection'!$BK$94:$BK$135, "*triple*")</f>
        <v>7</v>
      </c>
      <c r="Q5" s="10" t="s">
        <v>2635</v>
      </c>
      <c r="R5" s="10">
        <f>COUNTIF('Study selection'!$AV$94:$AV$135, "q3")</f>
        <v>2</v>
      </c>
    </row>
    <row r="6" spans="3:18" x14ac:dyDescent="0.2">
      <c r="C6" s="10" t="s">
        <v>2890</v>
      </c>
      <c r="D6" s="12">
        <f>COUNTIF('Study selection'!$BG$2:$BG$135, 1)</f>
        <v>47</v>
      </c>
      <c r="I6" s="10" t="s">
        <v>2895</v>
      </c>
      <c r="J6" s="20">
        <v>5</v>
      </c>
      <c r="K6" s="20">
        <f>COUNTIF('Study selection'!$BK$94:$BK$135, "*llm*")</f>
        <v>4</v>
      </c>
      <c r="Q6" s="10" t="s">
        <v>2260</v>
      </c>
      <c r="R6" s="10">
        <f>COUNTIF('Study selection'!$AV$94:$AV$135, "q17")</f>
        <v>0</v>
      </c>
    </row>
    <row r="7" spans="3:18" x14ac:dyDescent="0.2">
      <c r="C7" s="10" t="s">
        <v>2889</v>
      </c>
      <c r="D7" s="11">
        <f>COUNTIF('Study selection'!$BG$2:$BG$135, 0)</f>
        <v>69</v>
      </c>
      <c r="I7" s="10" t="s">
        <v>2896</v>
      </c>
      <c r="J7" s="21">
        <v>4</v>
      </c>
      <c r="K7" s="21">
        <f>COUNTIF('Study selection'!$BK$94:$BK$135, "*data augmentation*")</f>
        <v>3</v>
      </c>
      <c r="R7">
        <f>SUM(R3:R6)</f>
        <v>42</v>
      </c>
    </row>
    <row r="8" spans="3:18" x14ac:dyDescent="0.2">
      <c r="I8" s="10" t="s">
        <v>2897</v>
      </c>
      <c r="J8" s="22">
        <v>1</v>
      </c>
      <c r="K8" s="22">
        <f>COUNTIF('Study selection'!$BK$94:$BK$135, "*low resource*")</f>
        <v>2</v>
      </c>
    </row>
    <row r="9" spans="3:18" x14ac:dyDescent="0.2">
      <c r="I9" s="10" t="s">
        <v>2898</v>
      </c>
      <c r="J9" s="23">
        <v>2</v>
      </c>
      <c r="K9" s="23">
        <f>COUNTIF('Study selection'!$BK$94:$BK$135, "*prompt*")</f>
        <v>4</v>
      </c>
      <c r="P9" s="2" t="s">
        <v>2918</v>
      </c>
    </row>
    <row r="10" spans="3:18" x14ac:dyDescent="0.2">
      <c r="I10" s="10" t="s">
        <v>2899</v>
      </c>
      <c r="J10" s="24">
        <v>3</v>
      </c>
      <c r="K10" s="24">
        <f>COUNTIF('Study selection'!$BK$94:$BK$135, "*ontology*")</f>
        <v>2</v>
      </c>
      <c r="Q10" s="10" t="s">
        <v>86</v>
      </c>
      <c r="R10" s="10">
        <f>COUNTIF('Study selection'!$AV$2:$AV$135, "q1")</f>
        <v>105</v>
      </c>
    </row>
    <row r="11" spans="3:18" x14ac:dyDescent="0.2">
      <c r="I11" s="10" t="s">
        <v>2900</v>
      </c>
      <c r="J11" s="25">
        <v>2</v>
      </c>
      <c r="K11" s="25">
        <f>COUNTIF('Study selection'!$BK$94:$BK$135, "*uie*")</f>
        <v>3</v>
      </c>
      <c r="Q11" s="10" t="s">
        <v>2313</v>
      </c>
      <c r="R11" s="10">
        <f>COUNTIF('Study selection'!$AV$2:$AV$135, "q2")</f>
        <v>11</v>
      </c>
    </row>
    <row r="12" spans="3:18" x14ac:dyDescent="0.2">
      <c r="J12" s="4">
        <f>SUM(J5:J11)</f>
        <v>29</v>
      </c>
      <c r="Q12" s="10" t="s">
        <v>2635</v>
      </c>
      <c r="R12" s="10">
        <f>COUNTIF('Study selection'!$AV$2:$AV$135, "q3")</f>
        <v>10</v>
      </c>
    </row>
    <row r="13" spans="3:18" x14ac:dyDescent="0.2">
      <c r="E13" t="s">
        <v>2967</v>
      </c>
      <c r="F13" t="s">
        <v>2970</v>
      </c>
      <c r="Q13" s="10" t="s">
        <v>2260</v>
      </c>
      <c r="R13" s="10">
        <f>COUNTIF('Study selection'!$AV$2:$AV$135, "q17")</f>
        <v>3</v>
      </c>
    </row>
    <row r="14" spans="3:18" x14ac:dyDescent="0.2">
      <c r="I14" s="10" t="s">
        <v>2904</v>
      </c>
      <c r="J14" s="26"/>
      <c r="R14">
        <f>SUM(R10:R13)</f>
        <v>129</v>
      </c>
    </row>
    <row r="15" spans="3:18" x14ac:dyDescent="0.2">
      <c r="E15" t="s">
        <v>2964</v>
      </c>
      <c r="F15" t="s">
        <v>2963</v>
      </c>
      <c r="G15" t="s">
        <v>2965</v>
      </c>
    </row>
    <row r="17" spans="5:18" x14ac:dyDescent="0.2">
      <c r="E17" t="s">
        <v>2964</v>
      </c>
      <c r="F17" t="s">
        <v>2966</v>
      </c>
    </row>
    <row r="18" spans="5:18" x14ac:dyDescent="0.2">
      <c r="I18" s="32" t="s">
        <v>2937</v>
      </c>
      <c r="J18" s="32"/>
      <c r="K18" s="32"/>
      <c r="L18" s="32"/>
      <c r="M18" s="32"/>
      <c r="N18" s="32"/>
      <c r="O18" s="32"/>
      <c r="P18" s="32"/>
      <c r="Q18" s="32"/>
      <c r="R18" s="32"/>
    </row>
    <row r="20" spans="5:18" x14ac:dyDescent="0.2">
      <c r="E20" t="s">
        <v>2969</v>
      </c>
    </row>
    <row r="21" spans="5:18" x14ac:dyDescent="0.2">
      <c r="E21" t="s">
        <v>2968</v>
      </c>
    </row>
    <row r="24" spans="5:18" x14ac:dyDescent="0.2">
      <c r="E24" t="s">
        <v>2971</v>
      </c>
    </row>
    <row r="26" spans="5:18" x14ac:dyDescent="0.2">
      <c r="E26" t="s">
        <v>2972</v>
      </c>
    </row>
  </sheetData>
  <mergeCells count="1">
    <mergeCell ref="I18:R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55CAC-BCE0-7842-A5FA-DAD4490DC97C}">
  <dimension ref="A1:Y48"/>
  <sheetViews>
    <sheetView tabSelected="1" topLeftCell="A11" zoomScale="140" zoomScaleNormal="200" workbookViewId="0">
      <pane xSplit="1" topLeftCell="H1" activePane="topRight" state="frozen"/>
      <selection pane="topRight" activeCell="K12" sqref="K12"/>
    </sheetView>
  </sheetViews>
  <sheetFormatPr baseColWidth="10" defaultRowHeight="16" x14ac:dyDescent="0.2"/>
  <cols>
    <col min="1" max="1" width="13.6640625" style="10" customWidth="1"/>
    <col min="2" max="2" width="105.83203125" style="10" bestFit="1" customWidth="1"/>
    <col min="3" max="3" width="63.83203125" style="10" bestFit="1" customWidth="1"/>
    <col min="4" max="4" width="10.83203125" style="10"/>
    <col min="5" max="5" width="163.6640625" style="10" bestFit="1" customWidth="1"/>
    <col min="6" max="6" width="10.83203125" style="10"/>
    <col min="7" max="7" width="14.5" style="10" customWidth="1"/>
    <col min="8" max="8" width="35.83203125" style="10" customWidth="1"/>
    <col min="9" max="9" width="25.5" style="10" bestFit="1" customWidth="1"/>
    <col min="10" max="10" width="39.6640625" style="10" bestFit="1" customWidth="1"/>
    <col min="11" max="11" width="33.5" style="10" customWidth="1"/>
    <col min="12" max="12" width="51.33203125" style="10" customWidth="1"/>
    <col min="13" max="13" width="36.6640625" style="10" customWidth="1"/>
    <col min="14" max="14" width="103.6640625" style="10" bestFit="1" customWidth="1"/>
    <col min="15" max="15" width="29" style="10" customWidth="1"/>
    <col min="16" max="16" width="18.1640625" style="10" customWidth="1"/>
    <col min="17" max="17" width="23.5" style="10" customWidth="1"/>
    <col min="18" max="18" width="34.5" style="10" customWidth="1"/>
    <col min="19" max="19" width="36.83203125" style="10" customWidth="1"/>
    <col min="20" max="20" width="35.1640625" style="10" customWidth="1"/>
    <col min="21" max="21" width="49.83203125" style="10" customWidth="1"/>
    <col min="22" max="23" width="10.83203125" style="10"/>
    <col min="24" max="24" width="28.83203125" style="10" customWidth="1"/>
    <col min="25" max="16384" width="10.83203125" style="10"/>
  </cols>
  <sheetData>
    <row r="1" spans="1:24" s="29" customFormat="1" ht="34" x14ac:dyDescent="0.2">
      <c r="A1" s="29" t="s">
        <v>2973</v>
      </c>
      <c r="B1" s="29" t="s">
        <v>2974</v>
      </c>
      <c r="C1" s="29" t="s">
        <v>2975</v>
      </c>
      <c r="D1" s="29" t="s">
        <v>2976</v>
      </c>
      <c r="E1" s="29" t="s">
        <v>2977</v>
      </c>
      <c r="F1" s="29" t="s">
        <v>2978</v>
      </c>
      <c r="G1" s="29" t="s">
        <v>2989</v>
      </c>
      <c r="H1" s="29" t="s">
        <v>2980</v>
      </c>
      <c r="I1" s="29" t="s">
        <v>2995</v>
      </c>
      <c r="J1" s="29" t="s">
        <v>2992</v>
      </c>
      <c r="K1" s="29" t="s">
        <v>2981</v>
      </c>
      <c r="L1" s="29" t="s">
        <v>2982</v>
      </c>
      <c r="M1" s="29" t="s">
        <v>2983</v>
      </c>
      <c r="N1" s="29" t="s">
        <v>2993</v>
      </c>
      <c r="O1" s="29" t="s">
        <v>2984</v>
      </c>
      <c r="P1" s="29" t="s">
        <v>2991</v>
      </c>
      <c r="Q1" s="29" t="s">
        <v>2996</v>
      </c>
      <c r="R1" s="29" t="s">
        <v>2985</v>
      </c>
      <c r="S1" s="29" t="s">
        <v>2986</v>
      </c>
      <c r="T1" s="29" t="s">
        <v>2987</v>
      </c>
      <c r="U1" s="29" t="s">
        <v>2979</v>
      </c>
      <c r="V1" s="29" t="s">
        <v>3107</v>
      </c>
    </row>
    <row r="2" spans="1:24" s="30" customFormat="1" ht="170" x14ac:dyDescent="0.2">
      <c r="A2" s="30" t="s">
        <v>2988</v>
      </c>
      <c r="B2" s="30" t="s">
        <v>886</v>
      </c>
      <c r="C2" s="30" t="s">
        <v>883</v>
      </c>
      <c r="D2" s="30" t="s">
        <v>146</v>
      </c>
      <c r="E2" s="30" t="s">
        <v>887</v>
      </c>
      <c r="F2" s="30" t="s">
        <v>86</v>
      </c>
      <c r="G2" s="30" t="s">
        <v>2990</v>
      </c>
      <c r="H2" s="30" t="s">
        <v>2997</v>
      </c>
      <c r="I2" s="30" t="s">
        <v>2998</v>
      </c>
      <c r="J2" s="30" t="s">
        <v>1685</v>
      </c>
      <c r="K2" s="30" t="s">
        <v>3023</v>
      </c>
      <c r="L2" s="30" t="s">
        <v>2999</v>
      </c>
      <c r="M2" s="30" t="s">
        <v>3000</v>
      </c>
      <c r="N2" s="30" t="s">
        <v>3640</v>
      </c>
      <c r="O2" s="30" t="s">
        <v>2994</v>
      </c>
      <c r="P2" s="30" t="s">
        <v>3006</v>
      </c>
      <c r="Q2" s="30" t="s">
        <v>3005</v>
      </c>
      <c r="R2" s="30" t="s">
        <v>3001</v>
      </c>
      <c r="S2" s="30" t="s">
        <v>3002</v>
      </c>
      <c r="T2" s="30" t="s">
        <v>3003</v>
      </c>
      <c r="U2" s="30" t="s">
        <v>3004</v>
      </c>
      <c r="V2" s="30" t="s">
        <v>3108</v>
      </c>
    </row>
    <row r="3" spans="1:24" s="30" customFormat="1" ht="170" x14ac:dyDescent="0.2">
      <c r="A3" s="30" t="s">
        <v>3007</v>
      </c>
      <c r="B3" s="30" t="s">
        <v>1709</v>
      </c>
      <c r="C3" s="30" t="s">
        <v>1706</v>
      </c>
      <c r="D3" s="30" t="s">
        <v>92</v>
      </c>
      <c r="E3" s="30" t="s">
        <v>1710</v>
      </c>
      <c r="F3" s="30" t="s">
        <v>86</v>
      </c>
      <c r="G3" s="30" t="s">
        <v>3008</v>
      </c>
      <c r="H3" s="30" t="s">
        <v>3009</v>
      </c>
      <c r="I3" s="30" t="s">
        <v>3010</v>
      </c>
      <c r="J3" s="30" t="s">
        <v>1685</v>
      </c>
      <c r="K3" s="30" t="s">
        <v>3022</v>
      </c>
      <c r="L3" s="30" t="s">
        <v>3011</v>
      </c>
      <c r="M3" s="30" t="s">
        <v>3012</v>
      </c>
      <c r="N3" s="30" t="s">
        <v>3641</v>
      </c>
      <c r="O3" s="30" t="s">
        <v>3013</v>
      </c>
      <c r="P3" s="30" t="s">
        <v>3014</v>
      </c>
      <c r="Q3" s="30" t="s">
        <v>3020</v>
      </c>
      <c r="R3" s="30" t="s">
        <v>3015</v>
      </c>
      <c r="S3" s="30" t="s">
        <v>3016</v>
      </c>
      <c r="T3" s="30" t="s">
        <v>3017</v>
      </c>
      <c r="U3" s="30" t="s">
        <v>3018</v>
      </c>
      <c r="V3" s="30" t="s">
        <v>3108</v>
      </c>
    </row>
    <row r="4" spans="1:24" s="30" customFormat="1" ht="170" x14ac:dyDescent="0.2">
      <c r="A4" s="30" t="s">
        <v>3019</v>
      </c>
      <c r="B4" s="30" t="s">
        <v>1436</v>
      </c>
      <c r="C4" s="30" t="s">
        <v>1433</v>
      </c>
      <c r="D4" s="30" t="s">
        <v>146</v>
      </c>
      <c r="E4" s="30" t="s">
        <v>1437</v>
      </c>
      <c r="F4" s="30" t="s">
        <v>86</v>
      </c>
      <c r="G4" s="30" t="s">
        <v>3021</v>
      </c>
      <c r="H4" s="30" t="s">
        <v>3024</v>
      </c>
      <c r="I4" s="30" t="s">
        <v>3025</v>
      </c>
      <c r="J4" s="30" t="s">
        <v>1685</v>
      </c>
      <c r="K4" s="30" t="s">
        <v>3026</v>
      </c>
      <c r="L4" s="30" t="s">
        <v>3027</v>
      </c>
      <c r="M4" s="30" t="s">
        <v>3644</v>
      </c>
      <c r="N4" s="30" t="s">
        <v>3642</v>
      </c>
      <c r="O4" s="30" t="s">
        <v>3028</v>
      </c>
      <c r="P4" s="30" t="s">
        <v>3029</v>
      </c>
      <c r="Q4" s="30" t="s">
        <v>3643</v>
      </c>
      <c r="R4" s="30" t="s">
        <v>3030</v>
      </c>
      <c r="S4" s="30" t="s">
        <v>3031</v>
      </c>
      <c r="T4" s="30" t="s">
        <v>3032</v>
      </c>
      <c r="U4" s="30" t="s">
        <v>3033</v>
      </c>
      <c r="V4" s="30" t="s">
        <v>3108</v>
      </c>
    </row>
    <row r="5" spans="1:24" s="30" customFormat="1" ht="136" x14ac:dyDescent="0.2">
      <c r="A5" s="30" t="s">
        <v>3034</v>
      </c>
      <c r="B5" s="30" t="s">
        <v>904</v>
      </c>
      <c r="C5" s="30" t="s">
        <v>901</v>
      </c>
      <c r="D5" s="30" t="s">
        <v>146</v>
      </c>
      <c r="E5" s="30" t="s">
        <v>905</v>
      </c>
      <c r="F5" s="30" t="s">
        <v>86</v>
      </c>
      <c r="G5" s="30" t="s">
        <v>3035</v>
      </c>
      <c r="H5" s="30" t="s">
        <v>3036</v>
      </c>
      <c r="I5" s="30" t="s">
        <v>3037</v>
      </c>
      <c r="J5" s="30" t="s">
        <v>3038</v>
      </c>
      <c r="K5" s="30" t="s">
        <v>3039</v>
      </c>
      <c r="L5" s="30" t="s">
        <v>3040</v>
      </c>
      <c r="M5" s="30" t="s">
        <v>3041</v>
      </c>
      <c r="N5" s="30" t="s">
        <v>3042</v>
      </c>
      <c r="O5" s="30" t="s">
        <v>3043</v>
      </c>
      <c r="P5" s="30" t="s">
        <v>3044</v>
      </c>
      <c r="Q5" s="30" t="s">
        <v>3045</v>
      </c>
      <c r="R5" s="30" t="s">
        <v>3046</v>
      </c>
      <c r="S5" s="30" t="s">
        <v>3047</v>
      </c>
      <c r="T5" s="30" t="s">
        <v>3048</v>
      </c>
      <c r="U5" s="30" t="s">
        <v>3049</v>
      </c>
      <c r="V5" s="30" t="s">
        <v>3108</v>
      </c>
    </row>
    <row r="6" spans="1:24" s="30" customFormat="1" ht="204" x14ac:dyDescent="0.2">
      <c r="A6" s="30" t="s">
        <v>3050</v>
      </c>
      <c r="B6" s="30" t="s">
        <v>2027</v>
      </c>
      <c r="C6" s="30" t="s">
        <v>2024</v>
      </c>
      <c r="D6" s="30" t="s">
        <v>92</v>
      </c>
      <c r="E6" s="30" t="s">
        <v>252</v>
      </c>
      <c r="F6" s="30" t="s">
        <v>86</v>
      </c>
      <c r="G6" s="30" t="s">
        <v>3051</v>
      </c>
      <c r="H6" s="30" t="s">
        <v>3645</v>
      </c>
      <c r="I6" s="30" t="s">
        <v>3052</v>
      </c>
      <c r="J6" s="30" t="s">
        <v>3053</v>
      </c>
      <c r="K6" s="30" t="s">
        <v>3054</v>
      </c>
      <c r="L6" s="30" t="s">
        <v>3055</v>
      </c>
      <c r="M6" s="30" t="s">
        <v>3056</v>
      </c>
      <c r="N6" s="30" t="s">
        <v>3646</v>
      </c>
      <c r="O6" s="30" t="s">
        <v>3057</v>
      </c>
      <c r="P6" s="30" t="s">
        <v>3058</v>
      </c>
      <c r="Q6" s="30" t="s">
        <v>3059</v>
      </c>
      <c r="R6" s="30" t="s">
        <v>3060</v>
      </c>
      <c r="S6" s="30" t="s">
        <v>3061</v>
      </c>
      <c r="T6" s="30" t="s">
        <v>3062</v>
      </c>
      <c r="U6" s="30" t="s">
        <v>3063</v>
      </c>
      <c r="V6" s="30" t="s">
        <v>3108</v>
      </c>
    </row>
    <row r="7" spans="1:24" s="19" customFormat="1" ht="17" x14ac:dyDescent="0.2">
      <c r="A7" s="19" t="s">
        <v>3064</v>
      </c>
      <c r="B7" s="19" t="s">
        <v>1797</v>
      </c>
      <c r="C7" s="19" t="s">
        <v>1794</v>
      </c>
      <c r="D7" s="19" t="s">
        <v>176</v>
      </c>
      <c r="E7" s="19" t="s">
        <v>830</v>
      </c>
      <c r="F7" s="19" t="s">
        <v>86</v>
      </c>
    </row>
    <row r="8" spans="1:24" s="30" customFormat="1" ht="136" x14ac:dyDescent="0.2">
      <c r="A8" s="30" t="s">
        <v>3065</v>
      </c>
      <c r="B8" s="30" t="s">
        <v>2723</v>
      </c>
      <c r="C8" s="30" t="s">
        <v>2720</v>
      </c>
      <c r="D8" s="30" t="s">
        <v>176</v>
      </c>
      <c r="E8" s="30" t="s">
        <v>454</v>
      </c>
      <c r="F8" s="30" t="s">
        <v>2635</v>
      </c>
      <c r="G8" s="30" t="s">
        <v>3066</v>
      </c>
      <c r="H8" s="30" t="s">
        <v>3067</v>
      </c>
      <c r="I8" s="30" t="s">
        <v>3068</v>
      </c>
      <c r="J8" s="30" t="s">
        <v>3038</v>
      </c>
      <c r="K8" s="30" t="s">
        <v>3069</v>
      </c>
      <c r="L8" s="30" t="s">
        <v>3070</v>
      </c>
      <c r="M8" s="30" t="s">
        <v>3529</v>
      </c>
      <c r="N8" s="30" t="s">
        <v>3071</v>
      </c>
      <c r="O8" s="30" t="s">
        <v>3072</v>
      </c>
      <c r="P8" s="30" t="s">
        <v>3528</v>
      </c>
      <c r="Q8" s="30" t="s">
        <v>3073</v>
      </c>
      <c r="R8" s="30" t="s">
        <v>3074</v>
      </c>
      <c r="S8" s="30" t="s">
        <v>3075</v>
      </c>
      <c r="T8" s="30" t="s">
        <v>3076</v>
      </c>
      <c r="U8" s="30" t="s">
        <v>3077</v>
      </c>
      <c r="V8" s="30" t="s">
        <v>3108</v>
      </c>
    </row>
    <row r="9" spans="1:24" s="30" customFormat="1" ht="136" x14ac:dyDescent="0.2">
      <c r="A9" s="30" t="s">
        <v>3078</v>
      </c>
      <c r="B9" s="30" t="s">
        <v>2261</v>
      </c>
      <c r="C9" s="30" t="s">
        <v>553</v>
      </c>
      <c r="D9" s="30" t="s">
        <v>146</v>
      </c>
      <c r="E9" s="30" t="s">
        <v>229</v>
      </c>
      <c r="F9" s="30" t="s">
        <v>2260</v>
      </c>
      <c r="G9" s="30" t="s">
        <v>3079</v>
      </c>
      <c r="H9" s="30" t="s">
        <v>3531</v>
      </c>
      <c r="I9" s="30" t="s">
        <v>3080</v>
      </c>
      <c r="J9" s="30" t="s">
        <v>3081</v>
      </c>
      <c r="K9" s="30" t="s">
        <v>3082</v>
      </c>
      <c r="L9" s="30" t="s">
        <v>3083</v>
      </c>
      <c r="M9" s="30" t="s">
        <v>3084</v>
      </c>
      <c r="N9" s="30" t="s">
        <v>3647</v>
      </c>
      <c r="O9" s="30" t="s">
        <v>3085</v>
      </c>
      <c r="P9" s="30" t="s">
        <v>3086</v>
      </c>
      <c r="Q9" s="30" t="s">
        <v>3087</v>
      </c>
      <c r="R9" s="30" t="s">
        <v>3530</v>
      </c>
      <c r="S9" s="30" t="s">
        <v>3088</v>
      </c>
      <c r="T9" s="30" t="s">
        <v>3089</v>
      </c>
      <c r="U9" s="30" t="s">
        <v>3090</v>
      </c>
      <c r="V9" s="30" t="s">
        <v>3108</v>
      </c>
    </row>
    <row r="10" spans="1:24" s="30" customFormat="1" ht="238" x14ac:dyDescent="0.2">
      <c r="A10" s="30" t="s">
        <v>3091</v>
      </c>
      <c r="B10" s="30" t="s">
        <v>627</v>
      </c>
      <c r="C10" s="30" t="s">
        <v>624</v>
      </c>
      <c r="D10" s="30" t="s">
        <v>176</v>
      </c>
      <c r="E10" s="30" t="s">
        <v>628</v>
      </c>
      <c r="F10" s="30" t="s">
        <v>86</v>
      </c>
      <c r="G10" s="30" t="s">
        <v>3092</v>
      </c>
      <c r="H10" s="30" t="s">
        <v>3093</v>
      </c>
      <c r="I10" s="30" t="s">
        <v>3094</v>
      </c>
      <c r="J10" s="30" t="s">
        <v>3095</v>
      </c>
      <c r="K10" s="30" t="s">
        <v>3096</v>
      </c>
      <c r="L10" s="30" t="s">
        <v>3097</v>
      </c>
      <c r="M10" s="30" t="s">
        <v>3098</v>
      </c>
      <c r="N10" s="30" t="s">
        <v>3648</v>
      </c>
      <c r="O10" s="30" t="s">
        <v>3099</v>
      </c>
      <c r="P10" s="30" t="s">
        <v>3100</v>
      </c>
      <c r="Q10" s="30" t="s">
        <v>3101</v>
      </c>
      <c r="R10" s="30" t="s">
        <v>3102</v>
      </c>
      <c r="S10" s="30" t="s">
        <v>3103</v>
      </c>
      <c r="T10" s="30" t="s">
        <v>3104</v>
      </c>
      <c r="U10" s="30" t="s">
        <v>3105</v>
      </c>
      <c r="V10" s="30" t="s">
        <v>3109</v>
      </c>
    </row>
    <row r="11" spans="1:24" s="31" customFormat="1" ht="255" x14ac:dyDescent="0.2">
      <c r="A11" s="31" t="s">
        <v>3106</v>
      </c>
      <c r="B11" s="31" t="s">
        <v>322</v>
      </c>
      <c r="C11" s="31" t="s">
        <v>319</v>
      </c>
      <c r="D11" s="31" t="s">
        <v>55</v>
      </c>
      <c r="E11" s="31" t="s">
        <v>323</v>
      </c>
      <c r="F11" s="31" t="s">
        <v>86</v>
      </c>
      <c r="G11" s="31" t="s">
        <v>3110</v>
      </c>
      <c r="H11" s="31" t="s">
        <v>3111</v>
      </c>
      <c r="I11" s="31" t="s">
        <v>3112</v>
      </c>
      <c r="J11" s="31" t="s">
        <v>3095</v>
      </c>
      <c r="K11" s="31" t="s">
        <v>3533</v>
      </c>
      <c r="L11" s="31" t="s">
        <v>3534</v>
      </c>
      <c r="M11" s="31" t="s">
        <v>3113</v>
      </c>
      <c r="N11" s="31" t="s">
        <v>3649</v>
      </c>
      <c r="O11" s="31" t="s">
        <v>3532</v>
      </c>
      <c r="P11" s="31" t="s">
        <v>3535</v>
      </c>
      <c r="Q11" s="31" t="s">
        <v>3114</v>
      </c>
      <c r="R11" s="31" t="s">
        <v>3536</v>
      </c>
      <c r="S11" s="31" t="s">
        <v>3115</v>
      </c>
      <c r="T11" s="31" t="s">
        <v>3537</v>
      </c>
      <c r="U11" s="31" t="s">
        <v>3539</v>
      </c>
      <c r="V11" s="31" t="s">
        <v>3109</v>
      </c>
      <c r="W11" s="31" t="s">
        <v>3538</v>
      </c>
      <c r="X11" s="31" t="s">
        <v>3549</v>
      </c>
    </row>
    <row r="12" spans="1:24" s="30" customFormat="1" ht="187" x14ac:dyDescent="0.2">
      <c r="A12" s="30" t="s">
        <v>3116</v>
      </c>
      <c r="B12" s="30" t="s">
        <v>2683</v>
      </c>
      <c r="C12" s="30" t="s">
        <v>2680</v>
      </c>
      <c r="D12" s="30" t="s">
        <v>146</v>
      </c>
      <c r="E12" s="30" t="s">
        <v>2684</v>
      </c>
      <c r="F12" s="30" t="s">
        <v>2635</v>
      </c>
      <c r="G12" s="30" t="s">
        <v>3117</v>
      </c>
      <c r="H12" s="30" t="s">
        <v>3118</v>
      </c>
      <c r="I12" s="30" t="s">
        <v>3119</v>
      </c>
      <c r="J12" s="30" t="s">
        <v>3120</v>
      </c>
      <c r="K12" s="30" t="s">
        <v>3121</v>
      </c>
      <c r="L12" s="30" t="s">
        <v>3122</v>
      </c>
      <c r="M12" s="30" t="s">
        <v>3540</v>
      </c>
      <c r="N12" s="30" t="s">
        <v>3650</v>
      </c>
      <c r="O12" s="30" t="s">
        <v>3123</v>
      </c>
      <c r="P12" s="30" t="s">
        <v>3124</v>
      </c>
      <c r="Q12" s="30" t="s">
        <v>3125</v>
      </c>
      <c r="R12" s="30" t="s">
        <v>3126</v>
      </c>
      <c r="S12" s="30" t="s">
        <v>3127</v>
      </c>
      <c r="T12" s="30" t="s">
        <v>3128</v>
      </c>
      <c r="U12" s="30" t="s">
        <v>3129</v>
      </c>
      <c r="V12" s="30" t="s">
        <v>3109</v>
      </c>
    </row>
    <row r="13" spans="1:24" s="31" customFormat="1" ht="187" x14ac:dyDescent="0.2">
      <c r="A13" s="31" t="s">
        <v>3130</v>
      </c>
      <c r="B13" s="31" t="s">
        <v>1487</v>
      </c>
      <c r="C13" s="31" t="s">
        <v>1484</v>
      </c>
      <c r="D13" s="31" t="s">
        <v>176</v>
      </c>
      <c r="E13" s="31" t="s">
        <v>1488</v>
      </c>
      <c r="F13" s="31" t="s">
        <v>86</v>
      </c>
      <c r="G13" s="31" t="s">
        <v>3131</v>
      </c>
      <c r="H13" s="31" t="s">
        <v>3541</v>
      </c>
      <c r="I13" s="31" t="s">
        <v>3132</v>
      </c>
      <c r="J13" s="31" t="s">
        <v>3038</v>
      </c>
      <c r="K13" s="31" t="s">
        <v>3542</v>
      </c>
      <c r="L13" s="31" t="s">
        <v>3543</v>
      </c>
      <c r="M13" s="31" t="s">
        <v>3133</v>
      </c>
      <c r="N13" s="31" t="s">
        <v>3134</v>
      </c>
      <c r="O13" s="31" t="s">
        <v>3544</v>
      </c>
      <c r="P13" s="31" t="s">
        <v>3135</v>
      </c>
      <c r="Q13" s="31" t="s">
        <v>3545</v>
      </c>
      <c r="R13" s="31" t="s">
        <v>3546</v>
      </c>
      <c r="S13" s="31" t="s">
        <v>3136</v>
      </c>
      <c r="T13" s="31" t="s">
        <v>3137</v>
      </c>
      <c r="U13" s="31" t="s">
        <v>3547</v>
      </c>
      <c r="V13" s="31" t="s">
        <v>3109</v>
      </c>
      <c r="W13" s="31" t="s">
        <v>3538</v>
      </c>
      <c r="X13" s="31" t="s">
        <v>3548</v>
      </c>
    </row>
    <row r="14" spans="1:24" s="30" customFormat="1" ht="187" x14ac:dyDescent="0.2">
      <c r="A14" s="30" t="s">
        <v>3138</v>
      </c>
      <c r="B14" s="30" t="s">
        <v>339</v>
      </c>
      <c r="C14" s="30" t="s">
        <v>336</v>
      </c>
      <c r="D14" s="30" t="s">
        <v>176</v>
      </c>
      <c r="E14" s="30" t="s">
        <v>340</v>
      </c>
      <c r="F14" s="30" t="s">
        <v>86</v>
      </c>
      <c r="G14" s="30" t="s">
        <v>3139</v>
      </c>
      <c r="H14" s="30" t="s">
        <v>3140</v>
      </c>
      <c r="I14" s="30" t="s">
        <v>3141</v>
      </c>
      <c r="J14" s="30" t="s">
        <v>3142</v>
      </c>
      <c r="K14" s="30" t="s">
        <v>3143</v>
      </c>
      <c r="L14" s="30" t="s">
        <v>3144</v>
      </c>
      <c r="M14" s="30" t="s">
        <v>3145</v>
      </c>
      <c r="N14" s="30" t="s">
        <v>3651</v>
      </c>
      <c r="O14" s="30" t="s">
        <v>3146</v>
      </c>
      <c r="P14" s="30" t="s">
        <v>3147</v>
      </c>
      <c r="Q14" s="30" t="s">
        <v>3148</v>
      </c>
      <c r="R14" s="30" t="s">
        <v>3149</v>
      </c>
      <c r="S14" s="30" t="s">
        <v>3150</v>
      </c>
      <c r="T14" s="30" t="s">
        <v>3152</v>
      </c>
      <c r="U14" s="30" t="s">
        <v>3151</v>
      </c>
      <c r="V14" s="30" t="s">
        <v>3109</v>
      </c>
    </row>
    <row r="15" spans="1:24" s="30" customFormat="1" ht="187" x14ac:dyDescent="0.2">
      <c r="A15" s="30" t="s">
        <v>3153</v>
      </c>
      <c r="B15" s="30" t="s">
        <v>990</v>
      </c>
      <c r="C15" s="30" t="s">
        <v>987</v>
      </c>
      <c r="D15" s="30" t="s">
        <v>176</v>
      </c>
      <c r="E15" s="30" t="s">
        <v>252</v>
      </c>
      <c r="F15" s="30" t="s">
        <v>86</v>
      </c>
      <c r="G15" s="30" t="s">
        <v>3154</v>
      </c>
      <c r="H15" s="30" t="s">
        <v>3155</v>
      </c>
      <c r="I15" s="30" t="s">
        <v>3156</v>
      </c>
      <c r="J15" s="30" t="s">
        <v>3615</v>
      </c>
      <c r="K15" s="30" t="s">
        <v>3158</v>
      </c>
      <c r="L15" s="30" t="s">
        <v>3159</v>
      </c>
      <c r="M15" s="30" t="s">
        <v>3160</v>
      </c>
      <c r="N15" s="30" t="s">
        <v>3161</v>
      </c>
      <c r="O15" s="30" t="s">
        <v>3162</v>
      </c>
      <c r="P15" s="30" t="s">
        <v>3163</v>
      </c>
      <c r="Q15" s="30" t="s">
        <v>3164</v>
      </c>
      <c r="R15" s="30" t="s">
        <v>3165</v>
      </c>
      <c r="S15" s="30" t="s">
        <v>3166</v>
      </c>
      <c r="T15" s="30" t="s">
        <v>3167</v>
      </c>
      <c r="U15" s="30" t="s">
        <v>3168</v>
      </c>
      <c r="V15" s="30" t="s">
        <v>3109</v>
      </c>
    </row>
    <row r="16" spans="1:24" s="31" customFormat="1" ht="187" x14ac:dyDescent="0.2">
      <c r="A16" s="31" t="s">
        <v>3169</v>
      </c>
      <c r="B16" s="31" t="s">
        <v>489</v>
      </c>
      <c r="C16" s="31" t="s">
        <v>486</v>
      </c>
      <c r="D16" s="31" t="s">
        <v>121</v>
      </c>
      <c r="E16" s="31" t="s">
        <v>122</v>
      </c>
      <c r="F16" s="31" t="s">
        <v>86</v>
      </c>
      <c r="G16" s="31" t="s">
        <v>3170</v>
      </c>
      <c r="H16" s="31" t="s">
        <v>3550</v>
      </c>
      <c r="I16" s="31" t="s">
        <v>3171</v>
      </c>
      <c r="J16" s="31" t="s">
        <v>3157</v>
      </c>
      <c r="K16" s="31" t="s">
        <v>3551</v>
      </c>
      <c r="L16" s="31" t="s">
        <v>3552</v>
      </c>
      <c r="M16" s="31" t="s">
        <v>3553</v>
      </c>
      <c r="N16" s="31" t="s">
        <v>3652</v>
      </c>
      <c r="O16" s="31" t="s">
        <v>3172</v>
      </c>
      <c r="P16" s="31" t="s">
        <v>3173</v>
      </c>
      <c r="Q16" s="31" t="s">
        <v>3554</v>
      </c>
      <c r="R16" s="31" t="s">
        <v>3174</v>
      </c>
      <c r="S16" s="31" t="s">
        <v>3175</v>
      </c>
      <c r="T16" s="31" t="s">
        <v>3176</v>
      </c>
      <c r="U16" s="31" t="s">
        <v>3555</v>
      </c>
      <c r="V16" s="31" t="s">
        <v>3109</v>
      </c>
      <c r="W16" s="31" t="s">
        <v>3538</v>
      </c>
      <c r="X16" s="31" t="s">
        <v>3556</v>
      </c>
    </row>
    <row r="17" spans="1:24" s="19" customFormat="1" ht="51" x14ac:dyDescent="0.2">
      <c r="A17" s="19" t="s">
        <v>3177</v>
      </c>
      <c r="B17" s="19" t="s">
        <v>2317</v>
      </c>
      <c r="C17" s="19" t="s">
        <v>2314</v>
      </c>
      <c r="D17" s="19" t="s">
        <v>146</v>
      </c>
      <c r="E17" s="19" t="s">
        <v>830</v>
      </c>
      <c r="F17" s="19" t="s">
        <v>2313</v>
      </c>
      <c r="U17" s="19" t="s">
        <v>2881</v>
      </c>
      <c r="V17" s="19" t="s">
        <v>3109</v>
      </c>
    </row>
    <row r="18" spans="1:24" s="30" customFormat="1" ht="170" x14ac:dyDescent="0.2">
      <c r="A18" s="30" t="s">
        <v>3178</v>
      </c>
      <c r="B18" s="30" t="s">
        <v>1047</v>
      </c>
      <c r="C18" s="30" t="s">
        <v>1044</v>
      </c>
      <c r="D18" s="30" t="s">
        <v>176</v>
      </c>
      <c r="E18" s="30" t="s">
        <v>1048</v>
      </c>
      <c r="F18" s="30" t="s">
        <v>86</v>
      </c>
      <c r="G18" s="30" t="s">
        <v>3179</v>
      </c>
      <c r="H18" s="30" t="s">
        <v>3180</v>
      </c>
      <c r="I18" s="30" t="s">
        <v>3181</v>
      </c>
      <c r="J18" s="30" t="s">
        <v>3184</v>
      </c>
      <c r="K18" s="30" t="s">
        <v>3558</v>
      </c>
      <c r="L18" s="30" t="s">
        <v>3182</v>
      </c>
      <c r="M18" s="30" t="s">
        <v>3183</v>
      </c>
      <c r="N18" s="30" t="s">
        <v>3653</v>
      </c>
      <c r="O18" s="30" t="s">
        <v>3185</v>
      </c>
      <c r="P18" s="30" t="s">
        <v>3186</v>
      </c>
      <c r="Q18" s="30" t="s">
        <v>3557</v>
      </c>
      <c r="R18" s="30" t="s">
        <v>3187</v>
      </c>
      <c r="S18" s="30" t="s">
        <v>3188</v>
      </c>
      <c r="T18" s="30" t="s">
        <v>3189</v>
      </c>
      <c r="U18" s="30" t="s">
        <v>3190</v>
      </c>
      <c r="V18" s="30" t="s">
        <v>3109</v>
      </c>
    </row>
    <row r="19" spans="1:24" s="30" customFormat="1" ht="238" x14ac:dyDescent="0.2">
      <c r="A19" s="30" t="s">
        <v>3191</v>
      </c>
      <c r="B19" s="30" t="s">
        <v>1214</v>
      </c>
      <c r="C19" s="30" t="s">
        <v>1211</v>
      </c>
      <c r="D19" s="30" t="s">
        <v>176</v>
      </c>
      <c r="E19" s="30" t="s">
        <v>368</v>
      </c>
      <c r="F19" s="30" t="s">
        <v>86</v>
      </c>
      <c r="G19" s="30" t="s">
        <v>3192</v>
      </c>
      <c r="H19" s="30" t="s">
        <v>3193</v>
      </c>
      <c r="I19" s="30" t="s">
        <v>3194</v>
      </c>
      <c r="J19" s="30" t="s">
        <v>3195</v>
      </c>
      <c r="K19" s="30" t="s">
        <v>3559</v>
      </c>
      <c r="L19" s="30" t="s">
        <v>3196</v>
      </c>
      <c r="M19" s="30" t="s">
        <v>3197</v>
      </c>
      <c r="N19" s="30" t="s">
        <v>3654</v>
      </c>
      <c r="O19" s="30" t="s">
        <v>3198</v>
      </c>
      <c r="P19" s="30" t="s">
        <v>3199</v>
      </c>
      <c r="Q19" s="30" t="s">
        <v>3200</v>
      </c>
      <c r="R19" s="30" t="s">
        <v>3201</v>
      </c>
      <c r="S19" s="30" t="s">
        <v>3202</v>
      </c>
      <c r="T19" s="30" t="s">
        <v>3203</v>
      </c>
      <c r="U19" s="30" t="s">
        <v>3204</v>
      </c>
      <c r="V19" s="30" t="s">
        <v>3109</v>
      </c>
    </row>
    <row r="20" spans="1:24" s="30" customFormat="1" ht="238" x14ac:dyDescent="0.2">
      <c r="A20" s="30" t="s">
        <v>3205</v>
      </c>
      <c r="B20" s="30" t="s">
        <v>2241</v>
      </c>
      <c r="C20" s="30" t="s">
        <v>2238</v>
      </c>
      <c r="D20" s="30" t="s">
        <v>146</v>
      </c>
      <c r="E20" s="30" t="s">
        <v>2242</v>
      </c>
      <c r="F20" s="30" t="s">
        <v>2260</v>
      </c>
      <c r="G20" s="30" t="s">
        <v>3206</v>
      </c>
      <c r="H20" s="30" t="s">
        <v>3207</v>
      </c>
      <c r="I20" s="30" t="s">
        <v>3208</v>
      </c>
      <c r="J20" s="30" t="s">
        <v>3209</v>
      </c>
      <c r="K20" s="30" t="s">
        <v>3210</v>
      </c>
      <c r="L20" s="30" t="s">
        <v>3211</v>
      </c>
      <c r="M20" s="30" t="s">
        <v>3212</v>
      </c>
      <c r="N20" s="30" t="s">
        <v>3213</v>
      </c>
      <c r="O20" s="30" t="s">
        <v>3214</v>
      </c>
      <c r="P20" s="30" t="s">
        <v>3215</v>
      </c>
      <c r="Q20" s="30" t="s">
        <v>3560</v>
      </c>
      <c r="R20" s="30" t="s">
        <v>3216</v>
      </c>
      <c r="S20" s="30" t="s">
        <v>3217</v>
      </c>
      <c r="T20" s="30" t="s">
        <v>3218</v>
      </c>
      <c r="U20" s="30" t="s">
        <v>3219</v>
      </c>
      <c r="V20" s="30" t="s">
        <v>3109</v>
      </c>
    </row>
    <row r="21" spans="1:24" s="30" customFormat="1" ht="255" x14ac:dyDescent="0.2">
      <c r="A21" s="30" t="s">
        <v>3669</v>
      </c>
      <c r="B21" s="30" t="s">
        <v>2479</v>
      </c>
      <c r="C21" s="30" t="s">
        <v>2476</v>
      </c>
      <c r="D21" s="30" t="s">
        <v>146</v>
      </c>
      <c r="E21" s="30" t="s">
        <v>923</v>
      </c>
      <c r="F21" s="30" t="s">
        <v>2313</v>
      </c>
      <c r="G21" s="30" t="s">
        <v>3220</v>
      </c>
      <c r="H21" s="30" t="s">
        <v>3561</v>
      </c>
      <c r="I21" s="30" t="s">
        <v>3221</v>
      </c>
      <c r="J21" s="30" t="s">
        <v>3222</v>
      </c>
      <c r="K21" s="30" t="s">
        <v>3562</v>
      </c>
      <c r="L21" s="30" t="s">
        <v>3223</v>
      </c>
      <c r="M21" s="30" t="s">
        <v>3224</v>
      </c>
      <c r="N21" s="30" t="s">
        <v>3655</v>
      </c>
      <c r="O21" s="30" t="s">
        <v>3563</v>
      </c>
      <c r="P21" s="30" t="s">
        <v>3225</v>
      </c>
      <c r="Q21" s="30" t="s">
        <v>3226</v>
      </c>
      <c r="R21" s="30" t="s">
        <v>3227</v>
      </c>
      <c r="S21" s="30" t="s">
        <v>3228</v>
      </c>
      <c r="T21" s="30" t="s">
        <v>3229</v>
      </c>
      <c r="U21" s="30" t="s">
        <v>3230</v>
      </c>
      <c r="V21" s="30" t="s">
        <v>3109</v>
      </c>
    </row>
    <row r="22" spans="1:24" s="19" customFormat="1" ht="51" x14ac:dyDescent="0.2">
      <c r="A22" s="19" t="s">
        <v>3231</v>
      </c>
      <c r="B22" s="19" t="s">
        <v>1248</v>
      </c>
      <c r="C22" s="19" t="s">
        <v>1245</v>
      </c>
      <c r="D22" s="19" t="s">
        <v>146</v>
      </c>
      <c r="E22" s="19" t="s">
        <v>56</v>
      </c>
      <c r="F22" s="19" t="s">
        <v>86</v>
      </c>
      <c r="U22" s="19" t="s">
        <v>2836</v>
      </c>
      <c r="V22" s="19" t="s">
        <v>3109</v>
      </c>
    </row>
    <row r="23" spans="1:24" s="30" customFormat="1" ht="170" x14ac:dyDescent="0.2">
      <c r="A23" s="30" t="s">
        <v>3232</v>
      </c>
      <c r="B23" s="30" t="s">
        <v>1399</v>
      </c>
      <c r="C23" s="30" t="s">
        <v>1396</v>
      </c>
      <c r="D23" s="30" t="s">
        <v>92</v>
      </c>
      <c r="E23" s="30" t="s">
        <v>93</v>
      </c>
      <c r="F23" s="30" t="s">
        <v>86</v>
      </c>
      <c r="G23" s="30" t="s">
        <v>3233</v>
      </c>
      <c r="H23" s="30" t="s">
        <v>3234</v>
      </c>
      <c r="I23" s="30" t="s">
        <v>3235</v>
      </c>
      <c r="J23" s="30" t="s">
        <v>3614</v>
      </c>
      <c r="K23" s="30" t="s">
        <v>3236</v>
      </c>
      <c r="L23" s="30" t="s">
        <v>3237</v>
      </c>
      <c r="M23" s="30" t="s">
        <v>3238</v>
      </c>
      <c r="N23" s="30" t="s">
        <v>3239</v>
      </c>
      <c r="O23" s="30" t="s">
        <v>3565</v>
      </c>
      <c r="P23" s="30" t="s">
        <v>3240</v>
      </c>
      <c r="Q23" s="30" t="s">
        <v>3564</v>
      </c>
      <c r="R23" s="30" t="s">
        <v>3241</v>
      </c>
      <c r="S23" s="30" t="s">
        <v>3242</v>
      </c>
      <c r="T23" s="30" t="s">
        <v>3243</v>
      </c>
      <c r="U23" s="30" t="s">
        <v>3244</v>
      </c>
      <c r="V23" s="30" t="s">
        <v>3109</v>
      </c>
    </row>
    <row r="24" spans="1:24" s="30" customFormat="1" ht="204" x14ac:dyDescent="0.2">
      <c r="A24" s="30" t="s">
        <v>3245</v>
      </c>
      <c r="B24" s="30" t="s">
        <v>367</v>
      </c>
      <c r="C24" s="30" t="s">
        <v>364</v>
      </c>
      <c r="D24" s="30" t="s">
        <v>176</v>
      </c>
      <c r="E24" s="30" t="s">
        <v>368</v>
      </c>
      <c r="F24" s="30" t="s">
        <v>86</v>
      </c>
      <c r="G24" s="30" t="s">
        <v>3246</v>
      </c>
      <c r="H24" s="30" t="s">
        <v>3247</v>
      </c>
      <c r="I24" s="30" t="s">
        <v>3248</v>
      </c>
      <c r="J24" s="30" t="s">
        <v>3038</v>
      </c>
      <c r="K24" s="30" t="s">
        <v>3567</v>
      </c>
      <c r="L24" s="30" t="s">
        <v>3249</v>
      </c>
      <c r="M24" s="30" t="s">
        <v>3250</v>
      </c>
      <c r="N24" s="30" t="s">
        <v>3656</v>
      </c>
      <c r="O24" s="30" t="s">
        <v>3251</v>
      </c>
      <c r="P24" s="30" t="s">
        <v>3252</v>
      </c>
      <c r="Q24" s="30" t="s">
        <v>3566</v>
      </c>
      <c r="R24" s="30" t="s">
        <v>3253</v>
      </c>
      <c r="S24" s="30" t="s">
        <v>3254</v>
      </c>
      <c r="T24" s="30" t="s">
        <v>3255</v>
      </c>
      <c r="U24" s="30" t="s">
        <v>3256</v>
      </c>
      <c r="V24" s="30" t="s">
        <v>3109</v>
      </c>
    </row>
    <row r="25" spans="1:24" s="30" customFormat="1" ht="221" x14ac:dyDescent="0.2">
      <c r="A25" s="30" t="s">
        <v>3257</v>
      </c>
      <c r="B25" s="30" t="s">
        <v>762</v>
      </c>
      <c r="C25" s="30" t="s">
        <v>759</v>
      </c>
      <c r="D25" s="30" t="s">
        <v>176</v>
      </c>
      <c r="E25" s="30" t="s">
        <v>252</v>
      </c>
      <c r="F25" s="30" t="s">
        <v>86</v>
      </c>
      <c r="G25" s="30" t="s">
        <v>3258</v>
      </c>
      <c r="H25" s="30" t="s">
        <v>3259</v>
      </c>
      <c r="I25" s="30" t="s">
        <v>3260</v>
      </c>
      <c r="J25" s="30" t="s">
        <v>3261</v>
      </c>
      <c r="K25" s="30" t="s">
        <v>3569</v>
      </c>
      <c r="L25" s="30" t="s">
        <v>3262</v>
      </c>
      <c r="M25" s="30" t="s">
        <v>3263</v>
      </c>
      <c r="N25" s="30" t="s">
        <v>3657</v>
      </c>
      <c r="O25" s="30" t="s">
        <v>3568</v>
      </c>
      <c r="P25" s="30" t="s">
        <v>3264</v>
      </c>
      <c r="Q25" s="30" t="s">
        <v>3265</v>
      </c>
      <c r="R25" s="30" t="s">
        <v>3266</v>
      </c>
      <c r="S25" s="30" t="s">
        <v>3267</v>
      </c>
      <c r="T25" s="30" t="s">
        <v>3268</v>
      </c>
      <c r="U25" s="30" t="s">
        <v>3269</v>
      </c>
      <c r="V25" s="30" t="s">
        <v>3109</v>
      </c>
    </row>
    <row r="26" spans="1:24" s="31" customFormat="1" ht="306" x14ac:dyDescent="0.2">
      <c r="A26" s="31" t="s">
        <v>3270</v>
      </c>
      <c r="B26" s="31" t="s">
        <v>1845</v>
      </c>
      <c r="C26" s="31" t="s">
        <v>1842</v>
      </c>
      <c r="D26" s="31" t="s">
        <v>146</v>
      </c>
      <c r="E26" s="31" t="s">
        <v>923</v>
      </c>
      <c r="F26" s="31" t="s">
        <v>86</v>
      </c>
      <c r="G26" s="31" t="s">
        <v>3271</v>
      </c>
      <c r="H26" s="31" t="s">
        <v>3272</v>
      </c>
      <c r="I26" s="31" t="s">
        <v>3273</v>
      </c>
      <c r="J26" s="31" t="s">
        <v>3274</v>
      </c>
      <c r="K26" s="31" t="s">
        <v>3275</v>
      </c>
      <c r="L26" s="31" t="s">
        <v>3276</v>
      </c>
      <c r="M26" s="31" t="s">
        <v>3277</v>
      </c>
      <c r="N26" s="31" t="s">
        <v>3572</v>
      </c>
      <c r="O26" s="31" t="s">
        <v>3571</v>
      </c>
      <c r="P26" s="31" t="s">
        <v>3278</v>
      </c>
      <c r="Q26" s="31" t="s">
        <v>3279</v>
      </c>
      <c r="R26" s="31" t="s">
        <v>3280</v>
      </c>
      <c r="S26" s="31" t="s">
        <v>3281</v>
      </c>
      <c r="T26" s="31" t="s">
        <v>3282</v>
      </c>
      <c r="U26" s="31" t="s">
        <v>3283</v>
      </c>
      <c r="V26" s="31" t="s">
        <v>3109</v>
      </c>
      <c r="W26" s="31" t="s">
        <v>3538</v>
      </c>
      <c r="X26" s="31" t="s">
        <v>3570</v>
      </c>
    </row>
    <row r="27" spans="1:24" s="30" customFormat="1" ht="221" x14ac:dyDescent="0.2">
      <c r="A27" s="30" t="s">
        <v>3284</v>
      </c>
      <c r="B27" s="30" t="s">
        <v>671</v>
      </c>
      <c r="C27" s="30" t="s">
        <v>668</v>
      </c>
      <c r="D27" s="30" t="s">
        <v>176</v>
      </c>
      <c r="E27" s="30" t="s">
        <v>672</v>
      </c>
      <c r="F27" s="30" t="s">
        <v>86</v>
      </c>
      <c r="G27" s="30" t="s">
        <v>3285</v>
      </c>
      <c r="H27" s="30" t="s">
        <v>3286</v>
      </c>
      <c r="I27" s="30" t="s">
        <v>3287</v>
      </c>
      <c r="J27" s="30" t="s">
        <v>3288</v>
      </c>
      <c r="K27" s="30" t="s">
        <v>3289</v>
      </c>
      <c r="L27" s="30" t="s">
        <v>3290</v>
      </c>
      <c r="M27" s="30" t="s">
        <v>3291</v>
      </c>
      <c r="N27" s="30" t="s">
        <v>3658</v>
      </c>
      <c r="O27" s="30" t="s">
        <v>3292</v>
      </c>
      <c r="P27" s="30" t="s">
        <v>3293</v>
      </c>
      <c r="Q27" s="30" t="s">
        <v>3294</v>
      </c>
      <c r="R27" s="30" t="s">
        <v>3295</v>
      </c>
      <c r="S27" s="30" t="s">
        <v>3296</v>
      </c>
      <c r="T27" s="30" t="s">
        <v>3297</v>
      </c>
      <c r="U27" s="30" t="s">
        <v>3298</v>
      </c>
      <c r="V27" s="30" t="s">
        <v>3109</v>
      </c>
    </row>
    <row r="28" spans="1:24" s="30" customFormat="1" ht="221" x14ac:dyDescent="0.2">
      <c r="A28" s="30" t="s">
        <v>3299</v>
      </c>
      <c r="B28" s="30" t="s">
        <v>1631</v>
      </c>
      <c r="C28" s="30" t="s">
        <v>1628</v>
      </c>
      <c r="D28" s="30" t="s">
        <v>176</v>
      </c>
      <c r="E28" s="30" t="s">
        <v>1632</v>
      </c>
      <c r="F28" s="30" t="s">
        <v>86</v>
      </c>
      <c r="G28" s="30" t="s">
        <v>3300</v>
      </c>
      <c r="H28" s="30" t="s">
        <v>3301</v>
      </c>
      <c r="I28" s="30" t="s">
        <v>3302</v>
      </c>
      <c r="J28" s="30" t="s">
        <v>3303</v>
      </c>
      <c r="K28" s="30" t="s">
        <v>3304</v>
      </c>
      <c r="L28" s="30" t="s">
        <v>3305</v>
      </c>
      <c r="M28" s="30" t="s">
        <v>3306</v>
      </c>
      <c r="N28" s="30" t="s">
        <v>3659</v>
      </c>
      <c r="O28" s="30" t="s">
        <v>3307</v>
      </c>
      <c r="P28" s="30" t="s">
        <v>3313</v>
      </c>
      <c r="Q28" s="30" t="s">
        <v>3308</v>
      </c>
      <c r="R28" s="30" t="s">
        <v>3309</v>
      </c>
      <c r="S28" s="30" t="s">
        <v>3310</v>
      </c>
      <c r="T28" s="30" t="s">
        <v>3311</v>
      </c>
      <c r="U28" s="30" t="s">
        <v>3312</v>
      </c>
      <c r="V28" s="30" t="s">
        <v>3109</v>
      </c>
    </row>
    <row r="29" spans="1:24" s="30" customFormat="1" ht="238" x14ac:dyDescent="0.2">
      <c r="A29" s="30" t="s">
        <v>3314</v>
      </c>
      <c r="B29" s="30" t="s">
        <v>1071</v>
      </c>
      <c r="C29" s="30" t="s">
        <v>1068</v>
      </c>
      <c r="D29" s="30" t="s">
        <v>146</v>
      </c>
      <c r="E29" s="30" t="s">
        <v>923</v>
      </c>
      <c r="F29" s="30" t="s">
        <v>86</v>
      </c>
      <c r="G29" s="30" t="s">
        <v>3315</v>
      </c>
      <c r="H29" s="30" t="s">
        <v>3316</v>
      </c>
      <c r="I29" s="30" t="s">
        <v>3317</v>
      </c>
      <c r="J29" s="30" t="s">
        <v>3318</v>
      </c>
      <c r="K29" s="30" t="s">
        <v>3319</v>
      </c>
      <c r="L29" s="30" t="s">
        <v>3320</v>
      </c>
      <c r="M29" s="30" t="s">
        <v>3321</v>
      </c>
      <c r="N29" s="30" t="s">
        <v>3660</v>
      </c>
      <c r="O29" s="30" t="s">
        <v>3322</v>
      </c>
      <c r="P29" s="30" t="s">
        <v>3573</v>
      </c>
      <c r="Q29" s="30" t="s">
        <v>3323</v>
      </c>
      <c r="R29" s="30" t="s">
        <v>3324</v>
      </c>
      <c r="S29" s="30" t="s">
        <v>3325</v>
      </c>
      <c r="T29" s="30" t="s">
        <v>3326</v>
      </c>
      <c r="U29" s="30" t="s">
        <v>3327</v>
      </c>
      <c r="V29" s="30" t="s">
        <v>3109</v>
      </c>
    </row>
    <row r="30" spans="1:24" s="31" customFormat="1" ht="289" x14ac:dyDescent="0.2">
      <c r="A30" s="31" t="s">
        <v>3328</v>
      </c>
      <c r="B30" s="31" t="s">
        <v>1899</v>
      </c>
      <c r="C30" s="31" t="s">
        <v>1896</v>
      </c>
      <c r="D30" s="31" t="s">
        <v>121</v>
      </c>
      <c r="E30" s="31" t="s">
        <v>1900</v>
      </c>
      <c r="F30" s="31" t="s">
        <v>86</v>
      </c>
      <c r="G30" s="31" t="s">
        <v>3329</v>
      </c>
      <c r="H30" s="31" t="s">
        <v>3574</v>
      </c>
      <c r="I30" s="31" t="s">
        <v>3575</v>
      </c>
      <c r="J30" s="31" t="s">
        <v>3576</v>
      </c>
      <c r="K30" s="31" t="s">
        <v>3577</v>
      </c>
      <c r="L30" s="31" t="s">
        <v>3578</v>
      </c>
      <c r="M30" s="31" t="s">
        <v>3579</v>
      </c>
      <c r="N30" s="31" t="s">
        <v>3580</v>
      </c>
      <c r="O30" s="31" t="s">
        <v>3670</v>
      </c>
      <c r="P30" s="31" t="s">
        <v>3582</v>
      </c>
      <c r="Q30" s="31" t="s">
        <v>3583</v>
      </c>
      <c r="R30" s="31" t="s">
        <v>3584</v>
      </c>
      <c r="S30" s="31" t="s">
        <v>3585</v>
      </c>
      <c r="T30" s="31" t="s">
        <v>3586</v>
      </c>
      <c r="U30" s="31" t="s">
        <v>3587</v>
      </c>
      <c r="V30" s="31" t="s">
        <v>3109</v>
      </c>
      <c r="W30" s="31" t="s">
        <v>3538</v>
      </c>
      <c r="X30" s="31" t="s">
        <v>3588</v>
      </c>
    </row>
    <row r="31" spans="1:24" s="30" customFormat="1" ht="187" x14ac:dyDescent="0.2">
      <c r="A31" s="30" t="s">
        <v>3330</v>
      </c>
      <c r="B31" s="30" t="s">
        <v>2593</v>
      </c>
      <c r="C31" s="30" t="s">
        <v>2590</v>
      </c>
      <c r="D31" s="30" t="s">
        <v>2594</v>
      </c>
      <c r="E31" s="30" t="s">
        <v>2595</v>
      </c>
      <c r="F31" s="30" t="s">
        <v>2551</v>
      </c>
      <c r="G31" s="30" t="s">
        <v>3331</v>
      </c>
      <c r="H31" s="30" t="s">
        <v>3332</v>
      </c>
      <c r="I31" s="30" t="s">
        <v>3333</v>
      </c>
      <c r="J31" s="30" t="s">
        <v>3589</v>
      </c>
      <c r="K31" s="30" t="s">
        <v>3334</v>
      </c>
      <c r="L31" s="30" t="s">
        <v>3335</v>
      </c>
      <c r="M31" s="30" t="s">
        <v>3336</v>
      </c>
      <c r="N31" s="30" t="s">
        <v>3337</v>
      </c>
      <c r="O31" s="30" t="s">
        <v>3338</v>
      </c>
      <c r="P31" s="30" t="s">
        <v>3339</v>
      </c>
      <c r="Q31" s="30" t="s">
        <v>3340</v>
      </c>
      <c r="R31" s="30" t="s">
        <v>3341</v>
      </c>
      <c r="S31" s="30" t="s">
        <v>3342</v>
      </c>
      <c r="T31" s="30" t="s">
        <v>3343</v>
      </c>
      <c r="U31" s="30" t="s">
        <v>3344</v>
      </c>
      <c r="V31" s="30" t="s">
        <v>3109</v>
      </c>
    </row>
    <row r="32" spans="1:24" s="30" customFormat="1" ht="170" x14ac:dyDescent="0.2">
      <c r="A32" s="30" t="s">
        <v>3345</v>
      </c>
      <c r="B32" s="30" t="s">
        <v>1163</v>
      </c>
      <c r="C32" s="30" t="s">
        <v>1160</v>
      </c>
      <c r="D32" s="30" t="s">
        <v>146</v>
      </c>
      <c r="E32" s="30" t="s">
        <v>1164</v>
      </c>
      <c r="F32" s="30" t="s">
        <v>86</v>
      </c>
      <c r="G32" s="30" t="s">
        <v>3346</v>
      </c>
      <c r="H32" s="30" t="s">
        <v>3347</v>
      </c>
      <c r="I32" s="30" t="s">
        <v>3348</v>
      </c>
      <c r="J32" s="30" t="s">
        <v>3081</v>
      </c>
      <c r="K32" s="30" t="s">
        <v>3349</v>
      </c>
      <c r="L32" s="30" t="s">
        <v>3350</v>
      </c>
      <c r="M32" s="30" t="s">
        <v>3351</v>
      </c>
      <c r="N32" s="30" t="s">
        <v>3352</v>
      </c>
      <c r="O32" s="30" t="s">
        <v>3353</v>
      </c>
      <c r="P32" s="30" t="s">
        <v>3354</v>
      </c>
      <c r="Q32" s="30" t="s">
        <v>3355</v>
      </c>
      <c r="R32" s="30" t="s">
        <v>3356</v>
      </c>
      <c r="S32" s="30" t="s">
        <v>3357</v>
      </c>
      <c r="T32" s="30" t="s">
        <v>3358</v>
      </c>
      <c r="U32" s="30" t="s">
        <v>3359</v>
      </c>
      <c r="V32" s="30" t="s">
        <v>3109</v>
      </c>
    </row>
    <row r="33" spans="1:25" s="19" customFormat="1" ht="34" x14ac:dyDescent="0.2">
      <c r="A33" s="19" t="s">
        <v>3360</v>
      </c>
      <c r="B33" s="19" t="s">
        <v>829</v>
      </c>
      <c r="C33" s="19" t="s">
        <v>826</v>
      </c>
      <c r="D33" s="19" t="s">
        <v>176</v>
      </c>
      <c r="E33" s="19" t="s">
        <v>830</v>
      </c>
      <c r="F33" s="19" t="s">
        <v>86</v>
      </c>
      <c r="U33" s="19" t="s">
        <v>2956</v>
      </c>
      <c r="V33" s="19" t="s">
        <v>3109</v>
      </c>
    </row>
    <row r="34" spans="1:25" s="30" customFormat="1" ht="289" x14ac:dyDescent="0.2">
      <c r="A34" s="30" t="s">
        <v>3361</v>
      </c>
      <c r="B34" s="30" t="s">
        <v>175</v>
      </c>
      <c r="C34" s="30" t="s">
        <v>172</v>
      </c>
      <c r="D34" s="30" t="s">
        <v>176</v>
      </c>
      <c r="E34" s="30" t="s">
        <v>177</v>
      </c>
      <c r="F34" s="30" t="s">
        <v>86</v>
      </c>
      <c r="G34" s="30" t="s">
        <v>3362</v>
      </c>
      <c r="H34" s="30" t="s">
        <v>3363</v>
      </c>
      <c r="I34" s="30" t="s">
        <v>3364</v>
      </c>
      <c r="J34" s="30" t="s">
        <v>3038</v>
      </c>
      <c r="K34" s="30" t="s">
        <v>3365</v>
      </c>
      <c r="L34" s="30" t="s">
        <v>3366</v>
      </c>
      <c r="M34" s="30" t="s">
        <v>3590</v>
      </c>
      <c r="N34" s="30" t="s">
        <v>3661</v>
      </c>
      <c r="O34" s="30" t="s">
        <v>3367</v>
      </c>
      <c r="P34" s="30" t="s">
        <v>3368</v>
      </c>
      <c r="Q34" s="30" t="s">
        <v>3369</v>
      </c>
      <c r="R34" s="30" t="s">
        <v>3370</v>
      </c>
      <c r="S34" s="30" t="s">
        <v>3371</v>
      </c>
      <c r="T34" s="30" t="s">
        <v>3372</v>
      </c>
      <c r="U34" s="30" t="s">
        <v>3373</v>
      </c>
      <c r="V34" s="30" t="s">
        <v>3109</v>
      </c>
    </row>
    <row r="35" spans="1:25" s="30" customFormat="1" ht="238" x14ac:dyDescent="0.2">
      <c r="A35" s="30" t="s">
        <v>3374</v>
      </c>
      <c r="B35" s="30" t="s">
        <v>471</v>
      </c>
      <c r="C35" s="30" t="s">
        <v>468</v>
      </c>
      <c r="D35" s="30" t="s">
        <v>176</v>
      </c>
      <c r="E35" s="30" t="s">
        <v>252</v>
      </c>
      <c r="F35" s="30" t="s">
        <v>86</v>
      </c>
      <c r="G35" s="30" t="s">
        <v>3375</v>
      </c>
      <c r="H35" s="30" t="s">
        <v>3376</v>
      </c>
      <c r="I35" s="30" t="s">
        <v>3377</v>
      </c>
      <c r="J35" s="30" t="s">
        <v>3038</v>
      </c>
      <c r="K35" s="30" t="s">
        <v>3378</v>
      </c>
      <c r="L35" s="30" t="s">
        <v>3379</v>
      </c>
      <c r="M35" s="30" t="s">
        <v>3380</v>
      </c>
      <c r="N35" s="30" t="s">
        <v>3662</v>
      </c>
      <c r="O35" s="30" t="s">
        <v>3381</v>
      </c>
      <c r="P35" s="30" t="s">
        <v>3591</v>
      </c>
      <c r="Q35" s="30" t="s">
        <v>3382</v>
      </c>
      <c r="R35" s="30" t="s">
        <v>3383</v>
      </c>
      <c r="S35" s="30" t="s">
        <v>3384</v>
      </c>
      <c r="T35" s="30" t="s">
        <v>3592</v>
      </c>
      <c r="U35" s="30" t="s">
        <v>3385</v>
      </c>
      <c r="V35" s="30" t="s">
        <v>3109</v>
      </c>
    </row>
    <row r="36" spans="1:25" s="30" customFormat="1" ht="238" x14ac:dyDescent="0.2">
      <c r="A36" s="30" t="s">
        <v>3386</v>
      </c>
      <c r="B36" s="30" t="s">
        <v>251</v>
      </c>
      <c r="C36" s="30" t="s">
        <v>248</v>
      </c>
      <c r="D36" s="30" t="s">
        <v>176</v>
      </c>
      <c r="E36" s="30" t="s">
        <v>252</v>
      </c>
      <c r="F36" s="30" t="s">
        <v>86</v>
      </c>
      <c r="G36" s="30" t="s">
        <v>3387</v>
      </c>
      <c r="H36" s="30" t="s">
        <v>3388</v>
      </c>
      <c r="I36" s="30" t="s">
        <v>3389</v>
      </c>
      <c r="J36" s="30" t="s">
        <v>3390</v>
      </c>
      <c r="K36" s="30" t="s">
        <v>3391</v>
      </c>
      <c r="L36" s="30" t="s">
        <v>3392</v>
      </c>
      <c r="M36" s="30" t="s">
        <v>3393</v>
      </c>
      <c r="N36" s="30" t="s">
        <v>3394</v>
      </c>
      <c r="O36" s="30" t="s">
        <v>3663</v>
      </c>
      <c r="P36" s="30" t="s">
        <v>3594</v>
      </c>
      <c r="Q36" s="30" t="s">
        <v>3593</v>
      </c>
      <c r="R36" s="30" t="s">
        <v>3395</v>
      </c>
      <c r="S36" s="30" t="s">
        <v>3396</v>
      </c>
      <c r="T36" s="30" t="s">
        <v>3397</v>
      </c>
      <c r="U36" s="30" t="s">
        <v>3398</v>
      </c>
      <c r="V36" s="30" t="s">
        <v>3109</v>
      </c>
    </row>
    <row r="37" spans="1:25" s="30" customFormat="1" ht="323" x14ac:dyDescent="0.2">
      <c r="A37" s="30" t="s">
        <v>3412</v>
      </c>
      <c r="B37" s="30" t="s">
        <v>2454</v>
      </c>
      <c r="C37" s="30" t="s">
        <v>2451</v>
      </c>
      <c r="D37" s="30" t="s">
        <v>2455</v>
      </c>
      <c r="E37" s="30" t="s">
        <v>2456</v>
      </c>
      <c r="F37" s="30" t="s">
        <v>2313</v>
      </c>
      <c r="G37" s="30" t="s">
        <v>3399</v>
      </c>
      <c r="H37" s="30" t="s">
        <v>3400</v>
      </c>
      <c r="I37" s="30" t="s">
        <v>3401</v>
      </c>
      <c r="J37" s="30" t="s">
        <v>3402</v>
      </c>
      <c r="K37" s="30" t="s">
        <v>3403</v>
      </c>
      <c r="L37" s="30" t="s">
        <v>3404</v>
      </c>
      <c r="M37" s="30" t="s">
        <v>3405</v>
      </c>
      <c r="N37" s="30" t="s">
        <v>3406</v>
      </c>
      <c r="O37" s="30" t="s">
        <v>3407</v>
      </c>
      <c r="P37" s="30" t="s">
        <v>3596</v>
      </c>
      <c r="Q37" s="30" t="s">
        <v>3595</v>
      </c>
      <c r="R37" s="30" t="s">
        <v>3408</v>
      </c>
      <c r="S37" s="30" t="s">
        <v>3409</v>
      </c>
      <c r="T37" s="30" t="s">
        <v>3410</v>
      </c>
      <c r="U37" s="30" t="s">
        <v>3411</v>
      </c>
      <c r="V37" s="30" t="s">
        <v>3109</v>
      </c>
    </row>
    <row r="38" spans="1:25" s="30" customFormat="1" ht="238" x14ac:dyDescent="0.2">
      <c r="A38" s="30" t="s">
        <v>3668</v>
      </c>
      <c r="B38" s="30" t="s">
        <v>91</v>
      </c>
      <c r="C38" s="30" t="s">
        <v>88</v>
      </c>
      <c r="D38" s="30" t="s">
        <v>92</v>
      </c>
      <c r="E38" s="30" t="s">
        <v>93</v>
      </c>
      <c r="F38" s="30" t="s">
        <v>86</v>
      </c>
      <c r="G38" s="30" t="s">
        <v>3413</v>
      </c>
      <c r="H38" s="30" t="s">
        <v>3414</v>
      </c>
      <c r="I38" s="30" t="s">
        <v>3415</v>
      </c>
      <c r="J38" s="30" t="s">
        <v>3038</v>
      </c>
      <c r="K38" s="30" t="s">
        <v>3416</v>
      </c>
      <c r="L38" s="30" t="s">
        <v>3417</v>
      </c>
      <c r="M38" s="30" t="s">
        <v>3418</v>
      </c>
      <c r="N38" s="30" t="s">
        <v>3419</v>
      </c>
      <c r="O38" s="30" t="s">
        <v>3420</v>
      </c>
      <c r="P38" s="30" t="s">
        <v>3421</v>
      </c>
      <c r="Q38" s="30" t="s">
        <v>3422</v>
      </c>
      <c r="R38" s="30" t="s">
        <v>3423</v>
      </c>
      <c r="S38" s="30" t="s">
        <v>3424</v>
      </c>
      <c r="T38" s="30" t="s">
        <v>3425</v>
      </c>
      <c r="U38" s="30" t="s">
        <v>3426</v>
      </c>
      <c r="V38" s="30" t="s">
        <v>3109</v>
      </c>
    </row>
    <row r="39" spans="1:25" s="30" customFormat="1" ht="289" x14ac:dyDescent="0.2">
      <c r="A39" s="30" t="s">
        <v>3427</v>
      </c>
      <c r="B39" s="30" t="s">
        <v>145</v>
      </c>
      <c r="C39" s="30" t="s">
        <v>142</v>
      </c>
      <c r="D39" s="30" t="s">
        <v>146</v>
      </c>
      <c r="E39" s="30" t="s">
        <v>147</v>
      </c>
      <c r="F39" s="30" t="s">
        <v>86</v>
      </c>
      <c r="G39" s="30" t="s">
        <v>3428</v>
      </c>
      <c r="H39" s="30" t="s">
        <v>3429</v>
      </c>
      <c r="I39" s="30" t="s">
        <v>3430</v>
      </c>
      <c r="J39" s="30" t="s">
        <v>3038</v>
      </c>
      <c r="K39" s="30" t="s">
        <v>3599</v>
      </c>
      <c r="L39" s="30" t="s">
        <v>3431</v>
      </c>
      <c r="M39" s="30" t="s">
        <v>3432</v>
      </c>
      <c r="N39" s="30" t="s">
        <v>3664</v>
      </c>
      <c r="O39" s="30" t="s">
        <v>3597</v>
      </c>
      <c r="P39" s="30" t="s">
        <v>3433</v>
      </c>
      <c r="Q39" s="30" t="s">
        <v>3598</v>
      </c>
      <c r="R39" s="30" t="s">
        <v>3434</v>
      </c>
      <c r="S39" s="30" t="s">
        <v>3435</v>
      </c>
      <c r="T39" s="30" t="s">
        <v>3436</v>
      </c>
      <c r="U39" s="30" t="s">
        <v>3437</v>
      </c>
      <c r="V39" s="30" t="s">
        <v>3109</v>
      </c>
    </row>
    <row r="40" spans="1:25" s="30" customFormat="1" ht="221" x14ac:dyDescent="0.2">
      <c r="A40" s="30" t="s">
        <v>3438</v>
      </c>
      <c r="B40" s="30" t="s">
        <v>2662</v>
      </c>
      <c r="C40" s="30" t="s">
        <v>2659</v>
      </c>
      <c r="D40" s="30" t="s">
        <v>146</v>
      </c>
      <c r="E40" s="30" t="s">
        <v>391</v>
      </c>
      <c r="F40" s="30" t="s">
        <v>2635</v>
      </c>
      <c r="G40" s="30" t="s">
        <v>3439</v>
      </c>
      <c r="H40" s="30" t="s">
        <v>3440</v>
      </c>
      <c r="I40" s="30" t="s">
        <v>3441</v>
      </c>
      <c r="J40" s="30" t="s">
        <v>3038</v>
      </c>
      <c r="K40" s="30" t="s">
        <v>3601</v>
      </c>
      <c r="L40" s="30" t="s">
        <v>3442</v>
      </c>
      <c r="M40" s="30" t="s">
        <v>3443</v>
      </c>
      <c r="N40" s="30" t="s">
        <v>3444</v>
      </c>
      <c r="O40" s="30" t="s">
        <v>3445</v>
      </c>
      <c r="P40" s="30" t="s">
        <v>3446</v>
      </c>
      <c r="Q40" s="30" t="s">
        <v>3600</v>
      </c>
      <c r="R40" s="30" t="s">
        <v>3447</v>
      </c>
      <c r="S40" s="30" t="s">
        <v>3448</v>
      </c>
      <c r="T40" s="30" t="s">
        <v>3449</v>
      </c>
      <c r="U40" s="30" t="s">
        <v>3450</v>
      </c>
      <c r="V40" s="30" t="s">
        <v>3109</v>
      </c>
    </row>
    <row r="41" spans="1:25" s="30" customFormat="1" ht="356" x14ac:dyDescent="0.2">
      <c r="A41" s="30" t="s">
        <v>3451</v>
      </c>
      <c r="B41" s="30" t="s">
        <v>1922</v>
      </c>
      <c r="C41" s="30" t="s">
        <v>1919</v>
      </c>
      <c r="D41" s="30" t="s">
        <v>1879</v>
      </c>
      <c r="E41" s="30" t="s">
        <v>1923</v>
      </c>
      <c r="F41" s="30" t="s">
        <v>86</v>
      </c>
      <c r="G41" s="30" t="s">
        <v>3452</v>
      </c>
      <c r="H41" s="30" t="s">
        <v>3453</v>
      </c>
      <c r="I41" s="30" t="s">
        <v>3666</v>
      </c>
      <c r="J41" s="30" t="s">
        <v>3665</v>
      </c>
      <c r="K41" s="30" t="s">
        <v>3454</v>
      </c>
      <c r="L41" s="30" t="s">
        <v>3455</v>
      </c>
      <c r="M41" s="30" t="s">
        <v>3456</v>
      </c>
      <c r="N41" s="30" t="s">
        <v>3457</v>
      </c>
      <c r="O41" s="30" t="s">
        <v>3671</v>
      </c>
      <c r="P41" s="30" t="s">
        <v>3459</v>
      </c>
      <c r="Q41" s="30" t="s">
        <v>3602</v>
      </c>
      <c r="R41" s="30" t="s">
        <v>3460</v>
      </c>
      <c r="S41" s="30" t="s">
        <v>3461</v>
      </c>
      <c r="T41" s="30" t="s">
        <v>3462</v>
      </c>
      <c r="U41" s="30" t="s">
        <v>3463</v>
      </c>
      <c r="V41" s="30" t="s">
        <v>3109</v>
      </c>
      <c r="W41" s="30" t="s">
        <v>3538</v>
      </c>
      <c r="X41" s="30" t="s">
        <v>3667</v>
      </c>
    </row>
    <row r="42" spans="1:25" s="30" customFormat="1" ht="238" x14ac:dyDescent="0.2">
      <c r="A42" s="30" t="s">
        <v>3464</v>
      </c>
      <c r="B42" s="30" t="s">
        <v>1822</v>
      </c>
      <c r="C42" s="30" t="s">
        <v>1819</v>
      </c>
      <c r="D42" s="30" t="s">
        <v>92</v>
      </c>
      <c r="E42" s="30" t="s">
        <v>1164</v>
      </c>
      <c r="F42" s="30" t="s">
        <v>86</v>
      </c>
      <c r="G42" s="30" t="s">
        <v>3465</v>
      </c>
      <c r="H42" s="30" t="s">
        <v>3466</v>
      </c>
      <c r="I42" s="30" t="s">
        <v>3467</v>
      </c>
      <c r="J42" s="30" t="s">
        <v>3468</v>
      </c>
      <c r="K42" s="30" t="s">
        <v>3469</v>
      </c>
      <c r="L42" s="30" t="s">
        <v>3470</v>
      </c>
      <c r="M42" s="30" t="s">
        <v>3471</v>
      </c>
      <c r="N42" s="30" t="s">
        <v>3472</v>
      </c>
      <c r="O42" s="30" t="s">
        <v>3473</v>
      </c>
      <c r="P42" s="30" t="s">
        <v>3474</v>
      </c>
      <c r="Q42" s="30" t="s">
        <v>3603</v>
      </c>
      <c r="R42" s="30" t="s">
        <v>3475</v>
      </c>
      <c r="S42" s="30" t="s">
        <v>3476</v>
      </c>
      <c r="T42" s="30" t="s">
        <v>3477</v>
      </c>
      <c r="U42" s="30" t="s">
        <v>3478</v>
      </c>
      <c r="V42" s="30" t="s">
        <v>3109</v>
      </c>
    </row>
    <row r="43" spans="1:25" s="31" customFormat="1" ht="306" x14ac:dyDescent="0.2">
      <c r="A43" s="31" t="s">
        <v>3479</v>
      </c>
      <c r="B43" s="31" t="s">
        <v>1580</v>
      </c>
      <c r="C43" s="31" t="s">
        <v>1577</v>
      </c>
      <c r="D43" s="31" t="s">
        <v>55</v>
      </c>
      <c r="E43" s="31" t="s">
        <v>1581</v>
      </c>
      <c r="F43" s="31" t="s">
        <v>86</v>
      </c>
      <c r="G43" s="31" t="s">
        <v>3480</v>
      </c>
      <c r="H43" s="31" t="s">
        <v>3481</v>
      </c>
      <c r="I43" s="31" t="s">
        <v>3605</v>
      </c>
      <c r="J43" s="31" t="s">
        <v>3604</v>
      </c>
      <c r="K43" s="31" t="s">
        <v>3606</v>
      </c>
      <c r="L43" s="31" t="s">
        <v>3607</v>
      </c>
      <c r="M43" s="31" t="s">
        <v>3482</v>
      </c>
      <c r="N43" s="31" t="s">
        <v>3608</v>
      </c>
      <c r="O43" s="31" t="s">
        <v>3483</v>
      </c>
      <c r="P43" s="31" t="s">
        <v>3609</v>
      </c>
      <c r="Q43" s="31" t="s">
        <v>3613</v>
      </c>
      <c r="R43" s="31" t="s">
        <v>3610</v>
      </c>
      <c r="S43" s="31" t="s">
        <v>3484</v>
      </c>
      <c r="T43" s="31" t="s">
        <v>3611</v>
      </c>
      <c r="U43" s="31" t="s">
        <v>3485</v>
      </c>
      <c r="V43" s="31" t="s">
        <v>3109</v>
      </c>
      <c r="W43" s="31" t="s">
        <v>3538</v>
      </c>
      <c r="X43" s="31" t="s">
        <v>3612</v>
      </c>
      <c r="Y43" s="33" t="s">
        <v>3620</v>
      </c>
    </row>
    <row r="44" spans="1:25" s="31" customFormat="1" ht="204" x14ac:dyDescent="0.2">
      <c r="A44" s="31" t="s">
        <v>3486</v>
      </c>
      <c r="B44" s="31" t="s">
        <v>1766</v>
      </c>
      <c r="C44" s="31" t="s">
        <v>1577</v>
      </c>
      <c r="D44" s="31" t="s">
        <v>146</v>
      </c>
      <c r="E44" s="31" t="s">
        <v>923</v>
      </c>
      <c r="F44" s="31" t="s">
        <v>86</v>
      </c>
      <c r="G44" s="31" t="s">
        <v>3480</v>
      </c>
      <c r="H44" s="31" t="s">
        <v>3487</v>
      </c>
      <c r="I44" s="31" t="s">
        <v>3616</v>
      </c>
      <c r="J44" s="31" t="s">
        <v>3604</v>
      </c>
      <c r="K44" s="31" t="s">
        <v>3617</v>
      </c>
      <c r="L44" s="31" t="s">
        <v>3488</v>
      </c>
      <c r="M44" s="31" t="s">
        <v>3489</v>
      </c>
      <c r="N44" s="31" t="s">
        <v>3618</v>
      </c>
      <c r="O44" s="31" t="s">
        <v>3490</v>
      </c>
      <c r="P44" s="31" t="s">
        <v>3491</v>
      </c>
      <c r="Q44" s="31" t="s">
        <v>3492</v>
      </c>
      <c r="R44" s="31" t="s">
        <v>3493</v>
      </c>
      <c r="S44" s="31" t="s">
        <v>3494</v>
      </c>
      <c r="T44" s="31" t="s">
        <v>3495</v>
      </c>
      <c r="U44" s="31" t="s">
        <v>3496</v>
      </c>
      <c r="V44" s="31" t="s">
        <v>3109</v>
      </c>
      <c r="W44" s="31" t="s">
        <v>3538</v>
      </c>
      <c r="X44" s="31" t="s">
        <v>3619</v>
      </c>
      <c r="Y44" s="34"/>
    </row>
    <row r="45" spans="1:25" s="31" customFormat="1" ht="289" x14ac:dyDescent="0.2">
      <c r="A45" s="31" t="s">
        <v>3497</v>
      </c>
      <c r="B45" s="31" t="s">
        <v>741</v>
      </c>
      <c r="C45" s="31" t="s">
        <v>738</v>
      </c>
      <c r="D45" s="31" t="s">
        <v>92</v>
      </c>
      <c r="E45" s="31" t="s">
        <v>742</v>
      </c>
      <c r="F45" s="31" t="s">
        <v>86</v>
      </c>
      <c r="G45" s="31" t="s">
        <v>3498</v>
      </c>
      <c r="H45" s="31" t="s">
        <v>3499</v>
      </c>
      <c r="I45" s="31" t="s">
        <v>3623</v>
      </c>
      <c r="J45" s="31" t="s">
        <v>3622</v>
      </c>
      <c r="K45" s="31" t="s">
        <v>3629</v>
      </c>
      <c r="L45" s="31" t="s">
        <v>3624</v>
      </c>
      <c r="M45" s="31" t="s">
        <v>3625</v>
      </c>
      <c r="N45" s="31" t="s">
        <v>3626</v>
      </c>
      <c r="O45" s="31" t="s">
        <v>3500</v>
      </c>
      <c r="P45" s="31" t="s">
        <v>3501</v>
      </c>
      <c r="Q45" s="31" t="s">
        <v>3502</v>
      </c>
      <c r="R45" s="31" t="s">
        <v>3503</v>
      </c>
      <c r="S45" s="31" t="s">
        <v>3627</v>
      </c>
      <c r="T45" s="31" t="s">
        <v>3504</v>
      </c>
      <c r="U45" s="31" t="s">
        <v>3628</v>
      </c>
      <c r="V45" s="31" t="s">
        <v>3109</v>
      </c>
      <c r="W45" s="31" t="s">
        <v>3538</v>
      </c>
      <c r="X45" s="31" t="s">
        <v>3621</v>
      </c>
    </row>
    <row r="46" spans="1:25" s="19" customFormat="1" ht="17" x14ac:dyDescent="0.2">
      <c r="A46" s="19" t="s">
        <v>3505</v>
      </c>
      <c r="B46" s="19" t="s">
        <v>1128</v>
      </c>
      <c r="C46" s="19" t="s">
        <v>1125</v>
      </c>
      <c r="D46" s="19" t="s">
        <v>146</v>
      </c>
      <c r="E46" s="19" t="s">
        <v>1129</v>
      </c>
      <c r="F46" s="19" t="s">
        <v>86</v>
      </c>
      <c r="U46" s="19" t="s">
        <v>2860</v>
      </c>
      <c r="V46" s="19" t="s">
        <v>3109</v>
      </c>
    </row>
    <row r="47" spans="1:25" s="31" customFormat="1" ht="221" x14ac:dyDescent="0.2">
      <c r="A47" s="31" t="s">
        <v>3506</v>
      </c>
      <c r="B47" s="31" t="s">
        <v>1307</v>
      </c>
      <c r="C47" s="31" t="s">
        <v>1304</v>
      </c>
      <c r="D47" s="31" t="s">
        <v>146</v>
      </c>
      <c r="E47" s="31" t="s">
        <v>1308</v>
      </c>
      <c r="F47" s="31" t="s">
        <v>86</v>
      </c>
      <c r="G47" s="31" t="s">
        <v>3507</v>
      </c>
      <c r="H47" s="31" t="s">
        <v>3635</v>
      </c>
      <c r="I47" s="31" t="s">
        <v>3508</v>
      </c>
      <c r="J47" s="31" t="s">
        <v>3038</v>
      </c>
      <c r="K47" s="31" t="s">
        <v>3636</v>
      </c>
      <c r="L47" s="31" t="s">
        <v>3634</v>
      </c>
      <c r="M47" s="31" t="s">
        <v>3509</v>
      </c>
      <c r="N47" s="31" t="s">
        <v>3633</v>
      </c>
      <c r="O47" s="31" t="s">
        <v>3510</v>
      </c>
      <c r="P47" s="31" t="s">
        <v>3511</v>
      </c>
      <c r="Q47" s="31" t="s">
        <v>3630</v>
      </c>
      <c r="R47" s="31" t="s">
        <v>3632</v>
      </c>
      <c r="S47" s="31" t="s">
        <v>3512</v>
      </c>
      <c r="T47" s="31" t="s">
        <v>3513</v>
      </c>
      <c r="U47" s="31" t="s">
        <v>3514</v>
      </c>
      <c r="V47" s="31" t="s">
        <v>3109</v>
      </c>
      <c r="W47" s="31" t="s">
        <v>3538</v>
      </c>
      <c r="X47" s="31" t="s">
        <v>3631</v>
      </c>
    </row>
    <row r="48" spans="1:25" s="30" customFormat="1" ht="187" x14ac:dyDescent="0.2">
      <c r="A48" s="30" t="s">
        <v>3515</v>
      </c>
      <c r="B48" s="30" t="s">
        <v>573</v>
      </c>
      <c r="C48" s="30" t="s">
        <v>570</v>
      </c>
      <c r="D48" s="30" t="s">
        <v>176</v>
      </c>
      <c r="E48" s="30" t="s">
        <v>252</v>
      </c>
      <c r="F48" s="30" t="s">
        <v>86</v>
      </c>
      <c r="G48" s="30" t="s">
        <v>3516</v>
      </c>
      <c r="H48" s="30" t="s">
        <v>3517</v>
      </c>
      <c r="I48" s="30" t="s">
        <v>3518</v>
      </c>
      <c r="J48" s="30" t="s">
        <v>3519</v>
      </c>
      <c r="K48" s="30" t="s">
        <v>3639</v>
      </c>
      <c r="L48" s="30" t="s">
        <v>3520</v>
      </c>
      <c r="M48" s="30" t="s">
        <v>3638</v>
      </c>
      <c r="N48" s="30" t="s">
        <v>3521</v>
      </c>
      <c r="O48" s="30" t="s">
        <v>3672</v>
      </c>
      <c r="P48" s="30" t="s">
        <v>3523</v>
      </c>
      <c r="Q48" s="30" t="s">
        <v>3637</v>
      </c>
      <c r="R48" s="30" t="s">
        <v>3524</v>
      </c>
      <c r="S48" s="30" t="s">
        <v>3525</v>
      </c>
      <c r="T48" s="30" t="s">
        <v>3526</v>
      </c>
      <c r="U48" s="30" t="s">
        <v>3527</v>
      </c>
      <c r="V48" s="30" t="s">
        <v>3109</v>
      </c>
    </row>
  </sheetData>
  <autoFilter ref="A1:A48" xr:uid="{E1C55CAC-BCE0-7842-A5FA-DAD4490DC97C}"/>
  <mergeCells count="1">
    <mergeCell ref="Y43:Y4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97CB5-B9DD-FA41-AB6A-C2778FE0C89F}">
  <sheetPr filterMode="1"/>
  <dimension ref="A1:Y48"/>
  <sheetViews>
    <sheetView zoomScale="140" zoomScaleNormal="200" workbookViewId="0">
      <pane xSplit="1" topLeftCell="B1" activePane="topRight" state="frozen"/>
      <selection pane="topRight" activeCell="A22" sqref="A22"/>
    </sheetView>
  </sheetViews>
  <sheetFormatPr baseColWidth="10" defaultRowHeight="16" x14ac:dyDescent="0.2"/>
  <cols>
    <col min="1" max="1" width="13.6640625" style="10" customWidth="1"/>
    <col min="2" max="2" width="105.83203125" style="10" bestFit="1" customWidth="1"/>
    <col min="3" max="3" width="63.83203125" style="10" bestFit="1" customWidth="1"/>
    <col min="4" max="4" width="10.83203125" style="10"/>
    <col min="5" max="5" width="163.6640625" style="10" bestFit="1" customWidth="1"/>
    <col min="6" max="6" width="10.83203125" style="10"/>
    <col min="7" max="7" width="14.5" style="10" customWidth="1"/>
    <col min="8" max="8" width="35.83203125" style="10" customWidth="1"/>
    <col min="9" max="9" width="25.5" style="10" bestFit="1" customWidth="1"/>
    <col min="10" max="10" width="39.6640625" style="10" bestFit="1" customWidth="1"/>
    <col min="11" max="11" width="33.5" style="10" customWidth="1"/>
    <col min="12" max="12" width="51.33203125" style="10" customWidth="1"/>
    <col min="13" max="13" width="36.6640625" style="10" customWidth="1"/>
    <col min="14" max="14" width="103.6640625" style="10" bestFit="1" customWidth="1"/>
    <col min="15" max="15" width="29" style="10" customWidth="1"/>
    <col min="16" max="16" width="18.1640625" style="10" customWidth="1"/>
    <col min="17" max="17" width="23.5" style="10" customWidth="1"/>
    <col min="18" max="18" width="34.5" style="10" customWidth="1"/>
    <col min="19" max="19" width="36.83203125" style="10" customWidth="1"/>
    <col min="20" max="20" width="35.1640625" style="10" customWidth="1"/>
    <col min="21" max="21" width="49.83203125" style="10" customWidth="1"/>
    <col min="22" max="23" width="10.83203125" style="10"/>
    <col min="24" max="24" width="28.83203125" style="10" customWidth="1"/>
    <col min="25" max="16384" width="10.83203125" style="10"/>
  </cols>
  <sheetData>
    <row r="1" spans="1:24" s="29" customFormat="1" ht="34" x14ac:dyDescent="0.2">
      <c r="A1" s="29" t="s">
        <v>2973</v>
      </c>
      <c r="B1" s="29" t="s">
        <v>2974</v>
      </c>
      <c r="C1" s="29" t="s">
        <v>2975</v>
      </c>
      <c r="D1" s="29" t="s">
        <v>2976</v>
      </c>
      <c r="E1" s="29" t="s">
        <v>2977</v>
      </c>
      <c r="F1" s="29" t="s">
        <v>2978</v>
      </c>
      <c r="G1" s="29" t="s">
        <v>2989</v>
      </c>
      <c r="H1" s="29" t="s">
        <v>2980</v>
      </c>
      <c r="I1" s="29" t="s">
        <v>2995</v>
      </c>
      <c r="J1" s="29" t="s">
        <v>2992</v>
      </c>
      <c r="K1" s="29" t="s">
        <v>2981</v>
      </c>
      <c r="L1" s="29" t="s">
        <v>2982</v>
      </c>
      <c r="M1" s="29" t="s">
        <v>2983</v>
      </c>
      <c r="N1" s="29" t="s">
        <v>2993</v>
      </c>
      <c r="O1" s="29" t="s">
        <v>2984</v>
      </c>
      <c r="P1" s="29" t="s">
        <v>2991</v>
      </c>
      <c r="Q1" s="29" t="s">
        <v>2996</v>
      </c>
      <c r="R1" s="29" t="s">
        <v>2985</v>
      </c>
      <c r="S1" s="29" t="s">
        <v>2986</v>
      </c>
      <c r="T1" s="29" t="s">
        <v>2987</v>
      </c>
      <c r="U1" s="29" t="s">
        <v>2979</v>
      </c>
      <c r="V1" s="29" t="s">
        <v>3107</v>
      </c>
    </row>
    <row r="2" spans="1:24" s="30" customFormat="1" ht="170" x14ac:dyDescent="0.2">
      <c r="A2" s="30" t="s">
        <v>2988</v>
      </c>
      <c r="B2" s="30" t="s">
        <v>886</v>
      </c>
      <c r="C2" s="30" t="s">
        <v>883</v>
      </c>
      <c r="D2" s="30" t="s">
        <v>146</v>
      </c>
      <c r="E2" s="30" t="s">
        <v>887</v>
      </c>
      <c r="F2" s="30" t="s">
        <v>86</v>
      </c>
      <c r="G2" s="30" t="s">
        <v>2990</v>
      </c>
      <c r="H2" s="30" t="s">
        <v>2997</v>
      </c>
      <c r="I2" s="30" t="s">
        <v>2998</v>
      </c>
      <c r="J2" s="30" t="s">
        <v>1685</v>
      </c>
      <c r="K2" s="30" t="s">
        <v>3023</v>
      </c>
      <c r="L2" s="30" t="s">
        <v>2999</v>
      </c>
      <c r="M2" s="30" t="s">
        <v>3000</v>
      </c>
      <c r="N2" s="30" t="s">
        <v>3640</v>
      </c>
      <c r="O2" s="30" t="s">
        <v>2994</v>
      </c>
      <c r="P2" s="30" t="s">
        <v>3006</v>
      </c>
      <c r="Q2" s="30" t="s">
        <v>3005</v>
      </c>
      <c r="R2" s="30" t="s">
        <v>3001</v>
      </c>
      <c r="S2" s="30" t="s">
        <v>3002</v>
      </c>
      <c r="T2" s="30" t="s">
        <v>3003</v>
      </c>
      <c r="U2" s="30" t="s">
        <v>3004</v>
      </c>
      <c r="V2" s="30" t="s">
        <v>3108</v>
      </c>
    </row>
    <row r="3" spans="1:24" s="30" customFormat="1" ht="170" hidden="1" x14ac:dyDescent="0.2">
      <c r="A3" s="30" t="s">
        <v>3007</v>
      </c>
      <c r="B3" s="30" t="s">
        <v>1709</v>
      </c>
      <c r="C3" s="30" t="s">
        <v>1706</v>
      </c>
      <c r="D3" s="30" t="s">
        <v>92</v>
      </c>
      <c r="E3" s="30" t="s">
        <v>1710</v>
      </c>
      <c r="F3" s="30" t="s">
        <v>86</v>
      </c>
      <c r="G3" s="30" t="s">
        <v>3008</v>
      </c>
      <c r="H3" s="30" t="s">
        <v>3009</v>
      </c>
      <c r="I3" s="30" t="s">
        <v>3010</v>
      </c>
      <c r="J3" s="30" t="s">
        <v>1685</v>
      </c>
      <c r="K3" s="30" t="s">
        <v>3022</v>
      </c>
      <c r="L3" s="30" t="s">
        <v>3011</v>
      </c>
      <c r="M3" s="30" t="s">
        <v>3012</v>
      </c>
      <c r="N3" s="30" t="s">
        <v>3641</v>
      </c>
      <c r="O3" s="30" t="s">
        <v>3013</v>
      </c>
      <c r="P3" s="30" t="s">
        <v>3014</v>
      </c>
      <c r="Q3" s="30" t="s">
        <v>3020</v>
      </c>
      <c r="R3" s="30" t="s">
        <v>3015</v>
      </c>
      <c r="S3" s="30" t="s">
        <v>3016</v>
      </c>
      <c r="T3" s="30" t="s">
        <v>3017</v>
      </c>
      <c r="U3" s="30" t="s">
        <v>3018</v>
      </c>
      <c r="V3" s="30" t="s">
        <v>3108</v>
      </c>
    </row>
    <row r="4" spans="1:24" s="30" customFormat="1" ht="170" hidden="1" x14ac:dyDescent="0.2">
      <c r="A4" s="30" t="s">
        <v>3019</v>
      </c>
      <c r="B4" s="30" t="s">
        <v>1436</v>
      </c>
      <c r="C4" s="30" t="s">
        <v>1433</v>
      </c>
      <c r="D4" s="30" t="s">
        <v>146</v>
      </c>
      <c r="E4" s="30" t="s">
        <v>1437</v>
      </c>
      <c r="F4" s="30" t="s">
        <v>86</v>
      </c>
      <c r="G4" s="30" t="s">
        <v>3021</v>
      </c>
      <c r="H4" s="30" t="s">
        <v>3024</v>
      </c>
      <c r="I4" s="30" t="s">
        <v>3025</v>
      </c>
      <c r="J4" s="30" t="s">
        <v>1685</v>
      </c>
      <c r="K4" s="30" t="s">
        <v>3026</v>
      </c>
      <c r="L4" s="30" t="s">
        <v>3027</v>
      </c>
      <c r="M4" s="30" t="s">
        <v>3644</v>
      </c>
      <c r="N4" s="30" t="s">
        <v>3642</v>
      </c>
      <c r="O4" s="30" t="s">
        <v>3028</v>
      </c>
      <c r="P4" s="30" t="s">
        <v>3029</v>
      </c>
      <c r="Q4" s="30" t="s">
        <v>3643</v>
      </c>
      <c r="R4" s="30" t="s">
        <v>3030</v>
      </c>
      <c r="S4" s="30" t="s">
        <v>3031</v>
      </c>
      <c r="T4" s="30" t="s">
        <v>3032</v>
      </c>
      <c r="U4" s="30" t="s">
        <v>3033</v>
      </c>
      <c r="V4" s="30" t="s">
        <v>3108</v>
      </c>
    </row>
    <row r="5" spans="1:24" s="30" customFormat="1" ht="136" x14ac:dyDescent="0.2">
      <c r="A5" s="30" t="s">
        <v>3034</v>
      </c>
      <c r="B5" s="30" t="s">
        <v>904</v>
      </c>
      <c r="C5" s="30" t="s">
        <v>901</v>
      </c>
      <c r="D5" s="30" t="s">
        <v>146</v>
      </c>
      <c r="E5" s="30" t="s">
        <v>905</v>
      </c>
      <c r="F5" s="30" t="s">
        <v>86</v>
      </c>
      <c r="G5" s="30" t="s">
        <v>3035</v>
      </c>
      <c r="H5" s="30" t="s">
        <v>3036</v>
      </c>
      <c r="I5" s="30" t="s">
        <v>3037</v>
      </c>
      <c r="J5" s="30" t="s">
        <v>3038</v>
      </c>
      <c r="K5" s="30" t="s">
        <v>3039</v>
      </c>
      <c r="L5" s="30" t="s">
        <v>3040</v>
      </c>
      <c r="M5" s="30" t="s">
        <v>3041</v>
      </c>
      <c r="N5" s="30" t="s">
        <v>3042</v>
      </c>
      <c r="O5" s="30" t="s">
        <v>3043</v>
      </c>
      <c r="P5" s="30" t="s">
        <v>3044</v>
      </c>
      <c r="Q5" s="30" t="s">
        <v>3045</v>
      </c>
      <c r="R5" s="30" t="s">
        <v>3046</v>
      </c>
      <c r="S5" s="30" t="s">
        <v>3047</v>
      </c>
      <c r="T5" s="30" t="s">
        <v>3048</v>
      </c>
      <c r="U5" s="30" t="s">
        <v>3049</v>
      </c>
      <c r="V5" s="30" t="s">
        <v>3108</v>
      </c>
    </row>
    <row r="6" spans="1:24" s="30" customFormat="1" ht="204" hidden="1" x14ac:dyDescent="0.2">
      <c r="A6" s="30" t="s">
        <v>3050</v>
      </c>
      <c r="B6" s="30" t="s">
        <v>2027</v>
      </c>
      <c r="C6" s="30" t="s">
        <v>2024</v>
      </c>
      <c r="D6" s="30" t="s">
        <v>92</v>
      </c>
      <c r="E6" s="30" t="s">
        <v>252</v>
      </c>
      <c r="F6" s="30" t="s">
        <v>86</v>
      </c>
      <c r="G6" s="30" t="s">
        <v>3051</v>
      </c>
      <c r="H6" s="30" t="s">
        <v>3645</v>
      </c>
      <c r="I6" s="30" t="s">
        <v>3052</v>
      </c>
      <c r="J6" s="30" t="s">
        <v>3053</v>
      </c>
      <c r="K6" s="30" t="s">
        <v>3054</v>
      </c>
      <c r="L6" s="30" t="s">
        <v>3055</v>
      </c>
      <c r="M6" s="30" t="s">
        <v>3056</v>
      </c>
      <c r="N6" s="30" t="s">
        <v>3646</v>
      </c>
      <c r="O6" s="30" t="s">
        <v>3057</v>
      </c>
      <c r="P6" s="30" t="s">
        <v>3058</v>
      </c>
      <c r="Q6" s="30" t="s">
        <v>3059</v>
      </c>
      <c r="R6" s="30" t="s">
        <v>3060</v>
      </c>
      <c r="S6" s="30" t="s">
        <v>3061</v>
      </c>
      <c r="T6" s="30" t="s">
        <v>3062</v>
      </c>
      <c r="U6" s="30" t="s">
        <v>3063</v>
      </c>
      <c r="V6" s="30" t="s">
        <v>3108</v>
      </c>
    </row>
    <row r="7" spans="1:24" s="19" customFormat="1" ht="17" hidden="1" x14ac:dyDescent="0.2">
      <c r="A7" s="19" t="s">
        <v>3064</v>
      </c>
      <c r="B7" s="19" t="s">
        <v>1797</v>
      </c>
      <c r="C7" s="19" t="s">
        <v>1794</v>
      </c>
      <c r="D7" s="19" t="s">
        <v>176</v>
      </c>
      <c r="E7" s="19" t="s">
        <v>830</v>
      </c>
      <c r="F7" s="19" t="s">
        <v>86</v>
      </c>
    </row>
    <row r="8" spans="1:24" s="30" customFormat="1" ht="136" hidden="1" x14ac:dyDescent="0.2">
      <c r="A8" s="30" t="s">
        <v>3065</v>
      </c>
      <c r="B8" s="30" t="s">
        <v>2723</v>
      </c>
      <c r="C8" s="30" t="s">
        <v>2720</v>
      </c>
      <c r="D8" s="30" t="s">
        <v>176</v>
      </c>
      <c r="E8" s="30" t="s">
        <v>454</v>
      </c>
      <c r="F8" s="30" t="s">
        <v>2635</v>
      </c>
      <c r="G8" s="30" t="s">
        <v>3066</v>
      </c>
      <c r="H8" s="30" t="s">
        <v>3067</v>
      </c>
      <c r="I8" s="30" t="s">
        <v>3068</v>
      </c>
      <c r="J8" s="30" t="s">
        <v>3038</v>
      </c>
      <c r="K8" s="30" t="s">
        <v>3069</v>
      </c>
      <c r="L8" s="30" t="s">
        <v>3070</v>
      </c>
      <c r="M8" s="30" t="s">
        <v>3529</v>
      </c>
      <c r="N8" s="30" t="s">
        <v>3071</v>
      </c>
      <c r="O8" s="30" t="s">
        <v>3072</v>
      </c>
      <c r="P8" s="30" t="s">
        <v>3528</v>
      </c>
      <c r="Q8" s="30" t="s">
        <v>3073</v>
      </c>
      <c r="R8" s="30" t="s">
        <v>3074</v>
      </c>
      <c r="S8" s="30" t="s">
        <v>3075</v>
      </c>
      <c r="T8" s="30" t="s">
        <v>3076</v>
      </c>
      <c r="U8" s="30" t="s">
        <v>3077</v>
      </c>
      <c r="V8" s="30" t="s">
        <v>3108</v>
      </c>
    </row>
    <row r="9" spans="1:24" s="30" customFormat="1" ht="136" x14ac:dyDescent="0.2">
      <c r="A9" s="30" t="s">
        <v>3078</v>
      </c>
      <c r="B9" s="30" t="s">
        <v>2261</v>
      </c>
      <c r="C9" s="30" t="s">
        <v>553</v>
      </c>
      <c r="D9" s="30" t="s">
        <v>146</v>
      </c>
      <c r="E9" s="30" t="s">
        <v>229</v>
      </c>
      <c r="F9" s="30" t="s">
        <v>2260</v>
      </c>
      <c r="G9" s="30" t="s">
        <v>3079</v>
      </c>
      <c r="H9" s="30" t="s">
        <v>3531</v>
      </c>
      <c r="I9" s="30" t="s">
        <v>3080</v>
      </c>
      <c r="J9" s="30" t="s">
        <v>3081</v>
      </c>
      <c r="K9" s="30" t="s">
        <v>3082</v>
      </c>
      <c r="L9" s="30" t="s">
        <v>3083</v>
      </c>
      <c r="M9" s="30" t="s">
        <v>3084</v>
      </c>
      <c r="N9" s="30" t="s">
        <v>3647</v>
      </c>
      <c r="O9" s="30" t="s">
        <v>3085</v>
      </c>
      <c r="P9" s="30" t="s">
        <v>3086</v>
      </c>
      <c r="Q9" s="30" t="s">
        <v>3087</v>
      </c>
      <c r="R9" s="30" t="s">
        <v>3530</v>
      </c>
      <c r="S9" s="30" t="s">
        <v>3088</v>
      </c>
      <c r="T9" s="30" t="s">
        <v>3089</v>
      </c>
      <c r="U9" s="30" t="s">
        <v>3090</v>
      </c>
      <c r="V9" s="30" t="s">
        <v>3108</v>
      </c>
    </row>
    <row r="10" spans="1:24" s="30" customFormat="1" ht="238" hidden="1" x14ac:dyDescent="0.2">
      <c r="A10" s="30" t="s">
        <v>3091</v>
      </c>
      <c r="B10" s="30" t="s">
        <v>627</v>
      </c>
      <c r="C10" s="30" t="s">
        <v>624</v>
      </c>
      <c r="D10" s="30" t="s">
        <v>176</v>
      </c>
      <c r="E10" s="30" t="s">
        <v>628</v>
      </c>
      <c r="F10" s="30" t="s">
        <v>86</v>
      </c>
      <c r="G10" s="30" t="s">
        <v>3092</v>
      </c>
      <c r="H10" s="30" t="s">
        <v>3093</v>
      </c>
      <c r="I10" s="30" t="s">
        <v>3094</v>
      </c>
      <c r="J10" s="30" t="s">
        <v>3095</v>
      </c>
      <c r="K10" s="30" t="s">
        <v>3096</v>
      </c>
      <c r="L10" s="30" t="s">
        <v>3097</v>
      </c>
      <c r="M10" s="30" t="s">
        <v>3098</v>
      </c>
      <c r="N10" s="30" t="s">
        <v>3648</v>
      </c>
      <c r="O10" s="30" t="s">
        <v>3099</v>
      </c>
      <c r="P10" s="30" t="s">
        <v>3100</v>
      </c>
      <c r="Q10" s="30" t="s">
        <v>3101</v>
      </c>
      <c r="R10" s="30" t="s">
        <v>3102</v>
      </c>
      <c r="S10" s="30" t="s">
        <v>3103</v>
      </c>
      <c r="T10" s="30" t="s">
        <v>3104</v>
      </c>
      <c r="U10" s="30" t="s">
        <v>3105</v>
      </c>
      <c r="V10" s="30" t="s">
        <v>3109</v>
      </c>
    </row>
    <row r="11" spans="1:24" s="31" customFormat="1" ht="255" x14ac:dyDescent="0.2">
      <c r="A11" s="31" t="s">
        <v>3106</v>
      </c>
      <c r="B11" s="31" t="s">
        <v>322</v>
      </c>
      <c r="C11" s="31" t="s">
        <v>319</v>
      </c>
      <c r="D11" s="31" t="s">
        <v>55</v>
      </c>
      <c r="E11" s="31" t="s">
        <v>323</v>
      </c>
      <c r="F11" s="31" t="s">
        <v>86</v>
      </c>
      <c r="G11" s="31" t="s">
        <v>3110</v>
      </c>
      <c r="H11" s="31" t="s">
        <v>3111</v>
      </c>
      <c r="I11" s="31" t="s">
        <v>3112</v>
      </c>
      <c r="J11" s="31" t="s">
        <v>3095</v>
      </c>
      <c r="K11" s="31" t="s">
        <v>3533</v>
      </c>
      <c r="L11" s="31" t="s">
        <v>3534</v>
      </c>
      <c r="M11" s="31" t="s">
        <v>3113</v>
      </c>
      <c r="N11" s="31" t="s">
        <v>3649</v>
      </c>
      <c r="O11" s="31" t="s">
        <v>3532</v>
      </c>
      <c r="P11" s="31" t="s">
        <v>3535</v>
      </c>
      <c r="Q11" s="31" t="s">
        <v>3114</v>
      </c>
      <c r="R11" s="31" t="s">
        <v>3536</v>
      </c>
      <c r="S11" s="31" t="s">
        <v>3115</v>
      </c>
      <c r="T11" s="31" t="s">
        <v>3537</v>
      </c>
      <c r="U11" s="31" t="s">
        <v>3539</v>
      </c>
      <c r="V11" s="31" t="s">
        <v>3109</v>
      </c>
      <c r="W11" s="31" t="s">
        <v>3538</v>
      </c>
      <c r="X11" s="31" t="s">
        <v>3549</v>
      </c>
    </row>
    <row r="12" spans="1:24" s="30" customFormat="1" ht="187" x14ac:dyDescent="0.2">
      <c r="A12" s="30" t="s">
        <v>3116</v>
      </c>
      <c r="B12" s="30" t="s">
        <v>2683</v>
      </c>
      <c r="C12" s="30" t="s">
        <v>2680</v>
      </c>
      <c r="D12" s="30" t="s">
        <v>146</v>
      </c>
      <c r="E12" s="30" t="s">
        <v>2684</v>
      </c>
      <c r="F12" s="30" t="s">
        <v>2635</v>
      </c>
      <c r="G12" s="30" t="s">
        <v>3117</v>
      </c>
      <c r="H12" s="30" t="s">
        <v>3118</v>
      </c>
      <c r="I12" s="30" t="s">
        <v>3119</v>
      </c>
      <c r="J12" s="30" t="s">
        <v>3120</v>
      </c>
      <c r="K12" s="30" t="s">
        <v>3121</v>
      </c>
      <c r="L12" s="30" t="s">
        <v>3122</v>
      </c>
      <c r="M12" s="30" t="s">
        <v>3540</v>
      </c>
      <c r="N12" s="30" t="s">
        <v>3650</v>
      </c>
      <c r="O12" s="30" t="s">
        <v>3123</v>
      </c>
      <c r="P12" s="30" t="s">
        <v>3124</v>
      </c>
      <c r="Q12" s="30" t="s">
        <v>3125</v>
      </c>
      <c r="R12" s="30" t="s">
        <v>3126</v>
      </c>
      <c r="S12" s="30" t="s">
        <v>3127</v>
      </c>
      <c r="T12" s="30" t="s">
        <v>3128</v>
      </c>
      <c r="U12" s="30" t="s">
        <v>3129</v>
      </c>
      <c r="V12" s="30" t="s">
        <v>3109</v>
      </c>
    </row>
    <row r="13" spans="1:24" s="31" customFormat="1" ht="187" x14ac:dyDescent="0.2">
      <c r="A13" s="31" t="s">
        <v>3130</v>
      </c>
      <c r="B13" s="31" t="s">
        <v>1487</v>
      </c>
      <c r="C13" s="31" t="s">
        <v>1484</v>
      </c>
      <c r="D13" s="31" t="s">
        <v>176</v>
      </c>
      <c r="E13" s="31" t="s">
        <v>1488</v>
      </c>
      <c r="F13" s="31" t="s">
        <v>86</v>
      </c>
      <c r="G13" s="31" t="s">
        <v>3131</v>
      </c>
      <c r="H13" s="31" t="s">
        <v>3541</v>
      </c>
      <c r="I13" s="31" t="s">
        <v>3132</v>
      </c>
      <c r="J13" s="31" t="s">
        <v>3038</v>
      </c>
      <c r="K13" s="31" t="s">
        <v>3542</v>
      </c>
      <c r="L13" s="31" t="s">
        <v>3543</v>
      </c>
      <c r="M13" s="31" t="s">
        <v>3133</v>
      </c>
      <c r="N13" s="31" t="s">
        <v>3134</v>
      </c>
      <c r="O13" s="31" t="s">
        <v>3544</v>
      </c>
      <c r="P13" s="31" t="s">
        <v>3135</v>
      </c>
      <c r="Q13" s="31" t="s">
        <v>3545</v>
      </c>
      <c r="R13" s="31" t="s">
        <v>3546</v>
      </c>
      <c r="S13" s="31" t="s">
        <v>3136</v>
      </c>
      <c r="T13" s="31" t="s">
        <v>3137</v>
      </c>
      <c r="U13" s="31" t="s">
        <v>3547</v>
      </c>
      <c r="V13" s="31" t="s">
        <v>3109</v>
      </c>
      <c r="W13" s="31" t="s">
        <v>3538</v>
      </c>
      <c r="X13" s="31" t="s">
        <v>3548</v>
      </c>
    </row>
    <row r="14" spans="1:24" s="30" customFormat="1" ht="187" hidden="1" x14ac:dyDescent="0.2">
      <c r="A14" s="30" t="s">
        <v>3138</v>
      </c>
      <c r="B14" s="30" t="s">
        <v>339</v>
      </c>
      <c r="C14" s="30" t="s">
        <v>336</v>
      </c>
      <c r="D14" s="30" t="s">
        <v>176</v>
      </c>
      <c r="E14" s="30" t="s">
        <v>340</v>
      </c>
      <c r="F14" s="30" t="s">
        <v>86</v>
      </c>
      <c r="G14" s="30" t="s">
        <v>3139</v>
      </c>
      <c r="H14" s="30" t="s">
        <v>3140</v>
      </c>
      <c r="I14" s="30" t="s">
        <v>3141</v>
      </c>
      <c r="J14" s="30" t="s">
        <v>3142</v>
      </c>
      <c r="K14" s="30" t="s">
        <v>3143</v>
      </c>
      <c r="L14" s="30" t="s">
        <v>3144</v>
      </c>
      <c r="M14" s="30" t="s">
        <v>3145</v>
      </c>
      <c r="N14" s="30" t="s">
        <v>3651</v>
      </c>
      <c r="O14" s="30" t="s">
        <v>3146</v>
      </c>
      <c r="P14" s="30" t="s">
        <v>3147</v>
      </c>
      <c r="Q14" s="30" t="s">
        <v>3148</v>
      </c>
      <c r="R14" s="30" t="s">
        <v>3149</v>
      </c>
      <c r="S14" s="30" t="s">
        <v>3150</v>
      </c>
      <c r="T14" s="30" t="s">
        <v>3152</v>
      </c>
      <c r="U14" s="30" t="s">
        <v>3151</v>
      </c>
      <c r="V14" s="30" t="s">
        <v>3109</v>
      </c>
    </row>
    <row r="15" spans="1:24" s="30" customFormat="1" ht="187" hidden="1" x14ac:dyDescent="0.2">
      <c r="A15" s="30" t="s">
        <v>3153</v>
      </c>
      <c r="B15" s="30" t="s">
        <v>990</v>
      </c>
      <c r="C15" s="30" t="s">
        <v>987</v>
      </c>
      <c r="D15" s="30" t="s">
        <v>176</v>
      </c>
      <c r="E15" s="30" t="s">
        <v>252</v>
      </c>
      <c r="F15" s="30" t="s">
        <v>86</v>
      </c>
      <c r="G15" s="30" t="s">
        <v>3154</v>
      </c>
      <c r="H15" s="30" t="s">
        <v>3155</v>
      </c>
      <c r="I15" s="30" t="s">
        <v>3156</v>
      </c>
      <c r="J15" s="30" t="s">
        <v>3615</v>
      </c>
      <c r="K15" s="30" t="s">
        <v>3158</v>
      </c>
      <c r="L15" s="30" t="s">
        <v>3159</v>
      </c>
      <c r="M15" s="30" t="s">
        <v>3160</v>
      </c>
      <c r="N15" s="30" t="s">
        <v>3161</v>
      </c>
      <c r="O15" s="30" t="s">
        <v>3162</v>
      </c>
      <c r="P15" s="30" t="s">
        <v>3163</v>
      </c>
      <c r="Q15" s="30" t="s">
        <v>3164</v>
      </c>
      <c r="R15" s="30" t="s">
        <v>3165</v>
      </c>
      <c r="S15" s="30" t="s">
        <v>3166</v>
      </c>
      <c r="T15" s="30" t="s">
        <v>3167</v>
      </c>
      <c r="U15" s="30" t="s">
        <v>3168</v>
      </c>
      <c r="V15" s="30" t="s">
        <v>3109</v>
      </c>
    </row>
    <row r="16" spans="1:24" s="31" customFormat="1" ht="187" hidden="1" x14ac:dyDescent="0.2">
      <c r="A16" s="31" t="s">
        <v>3169</v>
      </c>
      <c r="B16" s="31" t="s">
        <v>489</v>
      </c>
      <c r="C16" s="31" t="s">
        <v>486</v>
      </c>
      <c r="D16" s="31" t="s">
        <v>121</v>
      </c>
      <c r="E16" s="31" t="s">
        <v>122</v>
      </c>
      <c r="F16" s="31" t="s">
        <v>86</v>
      </c>
      <c r="G16" s="31" t="s">
        <v>3170</v>
      </c>
      <c r="H16" s="31" t="s">
        <v>3550</v>
      </c>
      <c r="I16" s="31" t="s">
        <v>3171</v>
      </c>
      <c r="J16" s="31" t="s">
        <v>3157</v>
      </c>
      <c r="K16" s="31" t="s">
        <v>3551</v>
      </c>
      <c r="L16" s="31" t="s">
        <v>3552</v>
      </c>
      <c r="M16" s="31" t="s">
        <v>3553</v>
      </c>
      <c r="N16" s="31" t="s">
        <v>3652</v>
      </c>
      <c r="O16" s="31" t="s">
        <v>3172</v>
      </c>
      <c r="P16" s="31" t="s">
        <v>3173</v>
      </c>
      <c r="Q16" s="31" t="s">
        <v>3554</v>
      </c>
      <c r="R16" s="31" t="s">
        <v>3174</v>
      </c>
      <c r="S16" s="31" t="s">
        <v>3175</v>
      </c>
      <c r="T16" s="31" t="s">
        <v>3176</v>
      </c>
      <c r="U16" s="31" t="s">
        <v>3555</v>
      </c>
      <c r="V16" s="31" t="s">
        <v>3109</v>
      </c>
      <c r="W16" s="31" t="s">
        <v>3538</v>
      </c>
      <c r="X16" s="31" t="s">
        <v>3556</v>
      </c>
    </row>
    <row r="17" spans="1:24" s="19" customFormat="1" ht="51" hidden="1" x14ac:dyDescent="0.2">
      <c r="A17" s="19" t="s">
        <v>3177</v>
      </c>
      <c r="B17" s="19" t="s">
        <v>2317</v>
      </c>
      <c r="C17" s="19" t="s">
        <v>2314</v>
      </c>
      <c r="D17" s="19" t="s">
        <v>146</v>
      </c>
      <c r="E17" s="19" t="s">
        <v>830</v>
      </c>
      <c r="F17" s="19" t="s">
        <v>2313</v>
      </c>
      <c r="U17" s="19" t="s">
        <v>2881</v>
      </c>
      <c r="V17" s="19" t="s">
        <v>3109</v>
      </c>
    </row>
    <row r="18" spans="1:24" s="30" customFormat="1" ht="170" hidden="1" x14ac:dyDescent="0.2">
      <c r="A18" s="30" t="s">
        <v>3178</v>
      </c>
      <c r="B18" s="30" t="s">
        <v>1047</v>
      </c>
      <c r="C18" s="30" t="s">
        <v>1044</v>
      </c>
      <c r="D18" s="30" t="s">
        <v>176</v>
      </c>
      <c r="E18" s="30" t="s">
        <v>1048</v>
      </c>
      <c r="F18" s="30" t="s">
        <v>86</v>
      </c>
      <c r="G18" s="30" t="s">
        <v>3179</v>
      </c>
      <c r="H18" s="30" t="s">
        <v>3180</v>
      </c>
      <c r="I18" s="30" t="s">
        <v>3181</v>
      </c>
      <c r="J18" s="30" t="s">
        <v>3184</v>
      </c>
      <c r="K18" s="30" t="s">
        <v>3558</v>
      </c>
      <c r="L18" s="30" t="s">
        <v>3182</v>
      </c>
      <c r="M18" s="30" t="s">
        <v>3183</v>
      </c>
      <c r="N18" s="30" t="s">
        <v>3653</v>
      </c>
      <c r="O18" s="30" t="s">
        <v>3185</v>
      </c>
      <c r="P18" s="30" t="s">
        <v>3186</v>
      </c>
      <c r="Q18" s="30" t="s">
        <v>3557</v>
      </c>
      <c r="R18" s="30" t="s">
        <v>3187</v>
      </c>
      <c r="S18" s="30" t="s">
        <v>3188</v>
      </c>
      <c r="T18" s="30" t="s">
        <v>3189</v>
      </c>
      <c r="U18" s="30" t="s">
        <v>3190</v>
      </c>
      <c r="V18" s="30" t="s">
        <v>3109</v>
      </c>
    </row>
    <row r="19" spans="1:24" s="30" customFormat="1" ht="238" hidden="1" x14ac:dyDescent="0.2">
      <c r="A19" s="30" t="s">
        <v>3191</v>
      </c>
      <c r="B19" s="30" t="s">
        <v>1214</v>
      </c>
      <c r="C19" s="30" t="s">
        <v>1211</v>
      </c>
      <c r="D19" s="30" t="s">
        <v>176</v>
      </c>
      <c r="E19" s="30" t="s">
        <v>368</v>
      </c>
      <c r="F19" s="30" t="s">
        <v>86</v>
      </c>
      <c r="G19" s="30" t="s">
        <v>3192</v>
      </c>
      <c r="H19" s="30" t="s">
        <v>3193</v>
      </c>
      <c r="I19" s="30" t="s">
        <v>3194</v>
      </c>
      <c r="J19" s="30" t="s">
        <v>3195</v>
      </c>
      <c r="K19" s="30" t="s">
        <v>3559</v>
      </c>
      <c r="L19" s="30" t="s">
        <v>3196</v>
      </c>
      <c r="M19" s="30" t="s">
        <v>3197</v>
      </c>
      <c r="N19" s="30" t="s">
        <v>3654</v>
      </c>
      <c r="O19" s="30" t="s">
        <v>3198</v>
      </c>
      <c r="P19" s="30" t="s">
        <v>3199</v>
      </c>
      <c r="Q19" s="30" t="s">
        <v>3200</v>
      </c>
      <c r="R19" s="30" t="s">
        <v>3201</v>
      </c>
      <c r="S19" s="30" t="s">
        <v>3202</v>
      </c>
      <c r="T19" s="30" t="s">
        <v>3203</v>
      </c>
      <c r="U19" s="30" t="s">
        <v>3204</v>
      </c>
      <c r="V19" s="30" t="s">
        <v>3109</v>
      </c>
    </row>
    <row r="20" spans="1:24" s="30" customFormat="1" ht="238" hidden="1" x14ac:dyDescent="0.2">
      <c r="A20" s="30" t="s">
        <v>3205</v>
      </c>
      <c r="B20" s="30" t="s">
        <v>2241</v>
      </c>
      <c r="C20" s="30" t="s">
        <v>2238</v>
      </c>
      <c r="D20" s="30" t="s">
        <v>146</v>
      </c>
      <c r="E20" s="30" t="s">
        <v>2242</v>
      </c>
      <c r="F20" s="30" t="s">
        <v>2260</v>
      </c>
      <c r="G20" s="30" t="s">
        <v>3206</v>
      </c>
      <c r="H20" s="30" t="s">
        <v>3207</v>
      </c>
      <c r="I20" s="30" t="s">
        <v>3208</v>
      </c>
      <c r="J20" s="30" t="s">
        <v>3209</v>
      </c>
      <c r="K20" s="30" t="s">
        <v>3210</v>
      </c>
      <c r="L20" s="30" t="s">
        <v>3211</v>
      </c>
      <c r="M20" s="30" t="s">
        <v>3212</v>
      </c>
      <c r="N20" s="30" t="s">
        <v>3213</v>
      </c>
      <c r="O20" s="30" t="s">
        <v>3214</v>
      </c>
      <c r="P20" s="30" t="s">
        <v>3215</v>
      </c>
      <c r="Q20" s="30" t="s">
        <v>3560</v>
      </c>
      <c r="R20" s="30" t="s">
        <v>3216</v>
      </c>
      <c r="S20" s="30" t="s">
        <v>3217</v>
      </c>
      <c r="T20" s="30" t="s">
        <v>3218</v>
      </c>
      <c r="U20" s="30" t="s">
        <v>3219</v>
      </c>
      <c r="V20" s="30" t="s">
        <v>3109</v>
      </c>
    </row>
    <row r="21" spans="1:24" s="30" customFormat="1" ht="255" hidden="1" x14ac:dyDescent="0.2">
      <c r="A21" s="30" t="s">
        <v>3669</v>
      </c>
      <c r="B21" s="30" t="s">
        <v>2479</v>
      </c>
      <c r="C21" s="30" t="s">
        <v>2476</v>
      </c>
      <c r="D21" s="30" t="s">
        <v>146</v>
      </c>
      <c r="E21" s="30" t="s">
        <v>923</v>
      </c>
      <c r="F21" s="30" t="s">
        <v>2313</v>
      </c>
      <c r="G21" s="30" t="s">
        <v>3220</v>
      </c>
      <c r="H21" s="30" t="s">
        <v>3561</v>
      </c>
      <c r="I21" s="30" t="s">
        <v>3221</v>
      </c>
      <c r="J21" s="30" t="s">
        <v>3222</v>
      </c>
      <c r="K21" s="30" t="s">
        <v>3562</v>
      </c>
      <c r="L21" s="30" t="s">
        <v>3223</v>
      </c>
      <c r="M21" s="30" t="s">
        <v>3224</v>
      </c>
      <c r="N21" s="30" t="s">
        <v>3655</v>
      </c>
      <c r="O21" s="30" t="s">
        <v>3563</v>
      </c>
      <c r="P21" s="30" t="s">
        <v>3225</v>
      </c>
      <c r="Q21" s="30" t="s">
        <v>3226</v>
      </c>
      <c r="R21" s="30" t="s">
        <v>3227</v>
      </c>
      <c r="S21" s="30" t="s">
        <v>3228</v>
      </c>
      <c r="T21" s="30" t="s">
        <v>3229</v>
      </c>
      <c r="U21" s="30" t="s">
        <v>3230</v>
      </c>
      <c r="V21" s="30" t="s">
        <v>3109</v>
      </c>
    </row>
    <row r="22" spans="1:24" s="19" customFormat="1" ht="51" hidden="1" x14ac:dyDescent="0.2">
      <c r="A22" s="19" t="s">
        <v>3231</v>
      </c>
      <c r="B22" s="19" t="s">
        <v>1248</v>
      </c>
      <c r="C22" s="19" t="s">
        <v>1245</v>
      </c>
      <c r="D22" s="19" t="s">
        <v>146</v>
      </c>
      <c r="E22" s="19" t="s">
        <v>56</v>
      </c>
      <c r="F22" s="19" t="s">
        <v>86</v>
      </c>
      <c r="U22" s="19" t="s">
        <v>2836</v>
      </c>
      <c r="V22" s="19" t="s">
        <v>3109</v>
      </c>
    </row>
    <row r="23" spans="1:24" s="30" customFormat="1" ht="170" hidden="1" x14ac:dyDescent="0.2">
      <c r="A23" s="30" t="s">
        <v>3232</v>
      </c>
      <c r="B23" s="30" t="s">
        <v>1399</v>
      </c>
      <c r="C23" s="30" t="s">
        <v>1396</v>
      </c>
      <c r="D23" s="30" t="s">
        <v>92</v>
      </c>
      <c r="E23" s="30" t="s">
        <v>93</v>
      </c>
      <c r="F23" s="30" t="s">
        <v>86</v>
      </c>
      <c r="G23" s="30" t="s">
        <v>3233</v>
      </c>
      <c r="H23" s="30" t="s">
        <v>3234</v>
      </c>
      <c r="I23" s="30" t="s">
        <v>3235</v>
      </c>
      <c r="J23" s="30" t="s">
        <v>3614</v>
      </c>
      <c r="K23" s="30" t="s">
        <v>3236</v>
      </c>
      <c r="L23" s="30" t="s">
        <v>3237</v>
      </c>
      <c r="M23" s="30" t="s">
        <v>3238</v>
      </c>
      <c r="N23" s="30" t="s">
        <v>3239</v>
      </c>
      <c r="O23" s="30" t="s">
        <v>3565</v>
      </c>
      <c r="P23" s="30" t="s">
        <v>3240</v>
      </c>
      <c r="Q23" s="30" t="s">
        <v>3564</v>
      </c>
      <c r="R23" s="30" t="s">
        <v>3241</v>
      </c>
      <c r="S23" s="30" t="s">
        <v>3242</v>
      </c>
      <c r="T23" s="30" t="s">
        <v>3243</v>
      </c>
      <c r="U23" s="30" t="s">
        <v>3244</v>
      </c>
      <c r="V23" s="30" t="s">
        <v>3109</v>
      </c>
    </row>
    <row r="24" spans="1:24" s="30" customFormat="1" ht="204" hidden="1" x14ac:dyDescent="0.2">
      <c r="A24" s="30" t="s">
        <v>3245</v>
      </c>
      <c r="B24" s="30" t="s">
        <v>367</v>
      </c>
      <c r="C24" s="30" t="s">
        <v>364</v>
      </c>
      <c r="D24" s="30" t="s">
        <v>176</v>
      </c>
      <c r="E24" s="30" t="s">
        <v>368</v>
      </c>
      <c r="F24" s="30" t="s">
        <v>86</v>
      </c>
      <c r="G24" s="30" t="s">
        <v>3246</v>
      </c>
      <c r="H24" s="30" t="s">
        <v>3247</v>
      </c>
      <c r="I24" s="30" t="s">
        <v>3248</v>
      </c>
      <c r="J24" s="30" t="s">
        <v>3038</v>
      </c>
      <c r="K24" s="30" t="s">
        <v>3567</v>
      </c>
      <c r="L24" s="30" t="s">
        <v>3249</v>
      </c>
      <c r="M24" s="30" t="s">
        <v>3250</v>
      </c>
      <c r="N24" s="30" t="s">
        <v>3656</v>
      </c>
      <c r="O24" s="30" t="s">
        <v>3251</v>
      </c>
      <c r="P24" s="30" t="s">
        <v>3252</v>
      </c>
      <c r="Q24" s="30" t="s">
        <v>3566</v>
      </c>
      <c r="R24" s="30" t="s">
        <v>3253</v>
      </c>
      <c r="S24" s="30" t="s">
        <v>3254</v>
      </c>
      <c r="T24" s="30" t="s">
        <v>3255</v>
      </c>
      <c r="U24" s="30" t="s">
        <v>3256</v>
      </c>
      <c r="V24" s="30" t="s">
        <v>3109</v>
      </c>
    </row>
    <row r="25" spans="1:24" s="30" customFormat="1" ht="221" x14ac:dyDescent="0.2">
      <c r="A25" s="30" t="s">
        <v>3257</v>
      </c>
      <c r="B25" s="30" t="s">
        <v>762</v>
      </c>
      <c r="C25" s="30" t="s">
        <v>759</v>
      </c>
      <c r="D25" s="30" t="s">
        <v>176</v>
      </c>
      <c r="E25" s="30" t="s">
        <v>252</v>
      </c>
      <c r="F25" s="30" t="s">
        <v>86</v>
      </c>
      <c r="G25" s="30" t="s">
        <v>3258</v>
      </c>
      <c r="H25" s="30" t="s">
        <v>3259</v>
      </c>
      <c r="I25" s="30" t="s">
        <v>3260</v>
      </c>
      <c r="J25" s="30" t="s">
        <v>3261</v>
      </c>
      <c r="K25" s="30" t="s">
        <v>3569</v>
      </c>
      <c r="L25" s="30" t="s">
        <v>3262</v>
      </c>
      <c r="M25" s="30" t="s">
        <v>3263</v>
      </c>
      <c r="N25" s="30" t="s">
        <v>3657</v>
      </c>
      <c r="O25" s="30" t="s">
        <v>3568</v>
      </c>
      <c r="P25" s="30" t="s">
        <v>3264</v>
      </c>
      <c r="Q25" s="30" t="s">
        <v>3265</v>
      </c>
      <c r="R25" s="30" t="s">
        <v>3266</v>
      </c>
      <c r="S25" s="30" t="s">
        <v>3267</v>
      </c>
      <c r="T25" s="30" t="s">
        <v>3268</v>
      </c>
      <c r="U25" s="30" t="s">
        <v>3269</v>
      </c>
      <c r="V25" s="30" t="s">
        <v>3109</v>
      </c>
    </row>
    <row r="26" spans="1:24" s="31" customFormat="1" ht="306" hidden="1" x14ac:dyDescent="0.2">
      <c r="A26" s="31" t="s">
        <v>3270</v>
      </c>
      <c r="B26" s="31" t="s">
        <v>1845</v>
      </c>
      <c r="C26" s="31" t="s">
        <v>1842</v>
      </c>
      <c r="D26" s="31" t="s">
        <v>146</v>
      </c>
      <c r="E26" s="31" t="s">
        <v>923</v>
      </c>
      <c r="F26" s="31" t="s">
        <v>86</v>
      </c>
      <c r="G26" s="31" t="s">
        <v>3271</v>
      </c>
      <c r="H26" s="31" t="s">
        <v>3272</v>
      </c>
      <c r="I26" s="31" t="s">
        <v>3273</v>
      </c>
      <c r="J26" s="31" t="s">
        <v>3274</v>
      </c>
      <c r="K26" s="31" t="s">
        <v>3275</v>
      </c>
      <c r="L26" s="31" t="s">
        <v>3276</v>
      </c>
      <c r="M26" s="31" t="s">
        <v>3277</v>
      </c>
      <c r="N26" s="31" t="s">
        <v>3572</v>
      </c>
      <c r="O26" s="31" t="s">
        <v>3571</v>
      </c>
      <c r="P26" s="31" t="s">
        <v>3278</v>
      </c>
      <c r="Q26" s="31" t="s">
        <v>3279</v>
      </c>
      <c r="R26" s="31" t="s">
        <v>3280</v>
      </c>
      <c r="S26" s="31" t="s">
        <v>3281</v>
      </c>
      <c r="T26" s="31" t="s">
        <v>3282</v>
      </c>
      <c r="U26" s="31" t="s">
        <v>3283</v>
      </c>
      <c r="V26" s="31" t="s">
        <v>3109</v>
      </c>
      <c r="W26" s="31" t="s">
        <v>3538</v>
      </c>
      <c r="X26" s="31" t="s">
        <v>3570</v>
      </c>
    </row>
    <row r="27" spans="1:24" s="30" customFormat="1" ht="221" hidden="1" x14ac:dyDescent="0.2">
      <c r="A27" s="30" t="s">
        <v>3284</v>
      </c>
      <c r="B27" s="30" t="s">
        <v>671</v>
      </c>
      <c r="C27" s="30" t="s">
        <v>668</v>
      </c>
      <c r="D27" s="30" t="s">
        <v>176</v>
      </c>
      <c r="E27" s="30" t="s">
        <v>672</v>
      </c>
      <c r="F27" s="30" t="s">
        <v>86</v>
      </c>
      <c r="G27" s="30" t="s">
        <v>3285</v>
      </c>
      <c r="H27" s="30" t="s">
        <v>3286</v>
      </c>
      <c r="I27" s="30" t="s">
        <v>3287</v>
      </c>
      <c r="J27" s="30" t="s">
        <v>3288</v>
      </c>
      <c r="K27" s="30" t="s">
        <v>3289</v>
      </c>
      <c r="L27" s="30" t="s">
        <v>3290</v>
      </c>
      <c r="M27" s="30" t="s">
        <v>3291</v>
      </c>
      <c r="N27" s="30" t="s">
        <v>3658</v>
      </c>
      <c r="O27" s="30" t="s">
        <v>3292</v>
      </c>
      <c r="P27" s="30" t="s">
        <v>3293</v>
      </c>
      <c r="Q27" s="30" t="s">
        <v>3294</v>
      </c>
      <c r="R27" s="30" t="s">
        <v>3295</v>
      </c>
      <c r="S27" s="30" t="s">
        <v>3296</v>
      </c>
      <c r="T27" s="30" t="s">
        <v>3297</v>
      </c>
      <c r="U27" s="30" t="s">
        <v>3298</v>
      </c>
      <c r="V27" s="30" t="s">
        <v>3109</v>
      </c>
    </row>
    <row r="28" spans="1:24" s="30" customFormat="1" ht="221" hidden="1" x14ac:dyDescent="0.2">
      <c r="A28" s="30" t="s">
        <v>3299</v>
      </c>
      <c r="B28" s="30" t="s">
        <v>1631</v>
      </c>
      <c r="C28" s="30" t="s">
        <v>1628</v>
      </c>
      <c r="D28" s="30" t="s">
        <v>176</v>
      </c>
      <c r="E28" s="30" t="s">
        <v>1632</v>
      </c>
      <c r="F28" s="30" t="s">
        <v>86</v>
      </c>
      <c r="G28" s="30" t="s">
        <v>3300</v>
      </c>
      <c r="H28" s="30" t="s">
        <v>3301</v>
      </c>
      <c r="I28" s="30" t="s">
        <v>3302</v>
      </c>
      <c r="J28" s="30" t="s">
        <v>3303</v>
      </c>
      <c r="K28" s="30" t="s">
        <v>3304</v>
      </c>
      <c r="L28" s="30" t="s">
        <v>3305</v>
      </c>
      <c r="M28" s="30" t="s">
        <v>3306</v>
      </c>
      <c r="N28" s="30" t="s">
        <v>3659</v>
      </c>
      <c r="O28" s="30" t="s">
        <v>3307</v>
      </c>
      <c r="P28" s="30" t="s">
        <v>3313</v>
      </c>
      <c r="Q28" s="30" t="s">
        <v>3308</v>
      </c>
      <c r="R28" s="30" t="s">
        <v>3309</v>
      </c>
      <c r="S28" s="30" t="s">
        <v>3310</v>
      </c>
      <c r="T28" s="30" t="s">
        <v>3311</v>
      </c>
      <c r="U28" s="30" t="s">
        <v>3312</v>
      </c>
      <c r="V28" s="30" t="s">
        <v>3109</v>
      </c>
    </row>
    <row r="29" spans="1:24" s="30" customFormat="1" ht="238" hidden="1" x14ac:dyDescent="0.2">
      <c r="A29" s="30" t="s">
        <v>3314</v>
      </c>
      <c r="B29" s="30" t="s">
        <v>1071</v>
      </c>
      <c r="C29" s="30" t="s">
        <v>1068</v>
      </c>
      <c r="D29" s="30" t="s">
        <v>146</v>
      </c>
      <c r="E29" s="30" t="s">
        <v>923</v>
      </c>
      <c r="F29" s="30" t="s">
        <v>86</v>
      </c>
      <c r="G29" s="30" t="s">
        <v>3315</v>
      </c>
      <c r="H29" s="30" t="s">
        <v>3316</v>
      </c>
      <c r="I29" s="30" t="s">
        <v>3317</v>
      </c>
      <c r="J29" s="30" t="s">
        <v>3318</v>
      </c>
      <c r="K29" s="30" t="s">
        <v>3319</v>
      </c>
      <c r="L29" s="30" t="s">
        <v>3320</v>
      </c>
      <c r="M29" s="30" t="s">
        <v>3321</v>
      </c>
      <c r="N29" s="30" t="s">
        <v>3660</v>
      </c>
      <c r="O29" s="30" t="s">
        <v>3322</v>
      </c>
      <c r="P29" s="30" t="s">
        <v>3573</v>
      </c>
      <c r="Q29" s="30" t="s">
        <v>3323</v>
      </c>
      <c r="R29" s="30" t="s">
        <v>3324</v>
      </c>
      <c r="S29" s="30" t="s">
        <v>3325</v>
      </c>
      <c r="T29" s="30" t="s">
        <v>3326</v>
      </c>
      <c r="U29" s="30" t="s">
        <v>3327</v>
      </c>
      <c r="V29" s="30" t="s">
        <v>3109</v>
      </c>
    </row>
    <row r="30" spans="1:24" s="31" customFormat="1" ht="289" hidden="1" x14ac:dyDescent="0.2">
      <c r="A30" s="31" t="s">
        <v>3328</v>
      </c>
      <c r="B30" s="31" t="s">
        <v>1899</v>
      </c>
      <c r="C30" s="31" t="s">
        <v>1896</v>
      </c>
      <c r="D30" s="31" t="s">
        <v>121</v>
      </c>
      <c r="E30" s="31" t="s">
        <v>1900</v>
      </c>
      <c r="F30" s="31" t="s">
        <v>86</v>
      </c>
      <c r="G30" s="31" t="s">
        <v>3329</v>
      </c>
      <c r="H30" s="31" t="s">
        <v>3574</v>
      </c>
      <c r="I30" s="31" t="s">
        <v>3575</v>
      </c>
      <c r="J30" s="31" t="s">
        <v>3576</v>
      </c>
      <c r="K30" s="31" t="s">
        <v>3577</v>
      </c>
      <c r="L30" s="31" t="s">
        <v>3578</v>
      </c>
      <c r="M30" s="31" t="s">
        <v>3579</v>
      </c>
      <c r="N30" s="31" t="s">
        <v>3580</v>
      </c>
      <c r="O30" s="31" t="s">
        <v>3581</v>
      </c>
      <c r="P30" s="31" t="s">
        <v>3582</v>
      </c>
      <c r="Q30" s="31" t="s">
        <v>3583</v>
      </c>
      <c r="R30" s="31" t="s">
        <v>3584</v>
      </c>
      <c r="S30" s="31" t="s">
        <v>3585</v>
      </c>
      <c r="T30" s="31" t="s">
        <v>3586</v>
      </c>
      <c r="U30" s="31" t="s">
        <v>3587</v>
      </c>
      <c r="V30" s="31" t="s">
        <v>3109</v>
      </c>
      <c r="W30" s="31" t="s">
        <v>3538</v>
      </c>
      <c r="X30" s="31" t="s">
        <v>3588</v>
      </c>
    </row>
    <row r="31" spans="1:24" s="30" customFormat="1" ht="187" hidden="1" x14ac:dyDescent="0.2">
      <c r="A31" s="30" t="s">
        <v>3330</v>
      </c>
      <c r="B31" s="30" t="s">
        <v>2593</v>
      </c>
      <c r="C31" s="30" t="s">
        <v>2590</v>
      </c>
      <c r="D31" s="30" t="s">
        <v>2594</v>
      </c>
      <c r="E31" s="30" t="s">
        <v>2595</v>
      </c>
      <c r="F31" s="30" t="s">
        <v>2551</v>
      </c>
      <c r="G31" s="30" t="s">
        <v>3331</v>
      </c>
      <c r="H31" s="30" t="s">
        <v>3332</v>
      </c>
      <c r="I31" s="30" t="s">
        <v>3333</v>
      </c>
      <c r="J31" s="30" t="s">
        <v>3589</v>
      </c>
      <c r="K31" s="30" t="s">
        <v>3334</v>
      </c>
      <c r="L31" s="30" t="s">
        <v>3335</v>
      </c>
      <c r="M31" s="30" t="s">
        <v>3336</v>
      </c>
      <c r="N31" s="30" t="s">
        <v>3337</v>
      </c>
      <c r="O31" s="30" t="s">
        <v>3338</v>
      </c>
      <c r="P31" s="30" t="s">
        <v>3339</v>
      </c>
      <c r="Q31" s="30" t="s">
        <v>3340</v>
      </c>
      <c r="R31" s="30" t="s">
        <v>3341</v>
      </c>
      <c r="S31" s="30" t="s">
        <v>3342</v>
      </c>
      <c r="T31" s="30" t="s">
        <v>3343</v>
      </c>
      <c r="U31" s="30" t="s">
        <v>3344</v>
      </c>
      <c r="V31" s="30" t="s">
        <v>3109</v>
      </c>
    </row>
    <row r="32" spans="1:24" s="30" customFormat="1" ht="170" hidden="1" x14ac:dyDescent="0.2">
      <c r="A32" s="30" t="s">
        <v>3345</v>
      </c>
      <c r="B32" s="30" t="s">
        <v>1163</v>
      </c>
      <c r="C32" s="30" t="s">
        <v>1160</v>
      </c>
      <c r="D32" s="30" t="s">
        <v>146</v>
      </c>
      <c r="E32" s="30" t="s">
        <v>1164</v>
      </c>
      <c r="F32" s="30" t="s">
        <v>86</v>
      </c>
      <c r="G32" s="30" t="s">
        <v>3346</v>
      </c>
      <c r="H32" s="30" t="s">
        <v>3347</v>
      </c>
      <c r="I32" s="30" t="s">
        <v>3348</v>
      </c>
      <c r="J32" s="30" t="s">
        <v>3081</v>
      </c>
      <c r="K32" s="30" t="s">
        <v>3349</v>
      </c>
      <c r="L32" s="30" t="s">
        <v>3350</v>
      </c>
      <c r="M32" s="30" t="s">
        <v>3351</v>
      </c>
      <c r="N32" s="30" t="s">
        <v>3352</v>
      </c>
      <c r="O32" s="30" t="s">
        <v>3353</v>
      </c>
      <c r="P32" s="30" t="s">
        <v>3354</v>
      </c>
      <c r="Q32" s="30" t="s">
        <v>3355</v>
      </c>
      <c r="R32" s="30" t="s">
        <v>3356</v>
      </c>
      <c r="S32" s="30" t="s">
        <v>3357</v>
      </c>
      <c r="T32" s="30" t="s">
        <v>3358</v>
      </c>
      <c r="U32" s="30" t="s">
        <v>3359</v>
      </c>
      <c r="V32" s="30" t="s">
        <v>3109</v>
      </c>
    </row>
    <row r="33" spans="1:25" s="19" customFormat="1" ht="34" hidden="1" x14ac:dyDescent="0.2">
      <c r="A33" s="19" t="s">
        <v>3360</v>
      </c>
      <c r="B33" s="19" t="s">
        <v>829</v>
      </c>
      <c r="C33" s="19" t="s">
        <v>826</v>
      </c>
      <c r="D33" s="19" t="s">
        <v>176</v>
      </c>
      <c r="E33" s="19" t="s">
        <v>830</v>
      </c>
      <c r="F33" s="19" t="s">
        <v>86</v>
      </c>
      <c r="U33" s="19" t="s">
        <v>2956</v>
      </c>
      <c r="V33" s="19" t="s">
        <v>3109</v>
      </c>
    </row>
    <row r="34" spans="1:25" s="30" customFormat="1" ht="289" hidden="1" x14ac:dyDescent="0.2">
      <c r="A34" s="30" t="s">
        <v>3361</v>
      </c>
      <c r="B34" s="30" t="s">
        <v>175</v>
      </c>
      <c r="C34" s="30" t="s">
        <v>172</v>
      </c>
      <c r="D34" s="30" t="s">
        <v>176</v>
      </c>
      <c r="E34" s="30" t="s">
        <v>177</v>
      </c>
      <c r="F34" s="30" t="s">
        <v>86</v>
      </c>
      <c r="G34" s="30" t="s">
        <v>3362</v>
      </c>
      <c r="H34" s="30" t="s">
        <v>3363</v>
      </c>
      <c r="I34" s="30" t="s">
        <v>3364</v>
      </c>
      <c r="J34" s="30" t="s">
        <v>3038</v>
      </c>
      <c r="K34" s="30" t="s">
        <v>3365</v>
      </c>
      <c r="L34" s="30" t="s">
        <v>3366</v>
      </c>
      <c r="M34" s="30" t="s">
        <v>3590</v>
      </c>
      <c r="N34" s="30" t="s">
        <v>3661</v>
      </c>
      <c r="O34" s="30" t="s">
        <v>3367</v>
      </c>
      <c r="P34" s="30" t="s">
        <v>3368</v>
      </c>
      <c r="Q34" s="30" t="s">
        <v>3369</v>
      </c>
      <c r="R34" s="30" t="s">
        <v>3370</v>
      </c>
      <c r="S34" s="30" t="s">
        <v>3371</v>
      </c>
      <c r="T34" s="30" t="s">
        <v>3372</v>
      </c>
      <c r="U34" s="30" t="s">
        <v>3373</v>
      </c>
      <c r="V34" s="30" t="s">
        <v>3109</v>
      </c>
    </row>
    <row r="35" spans="1:25" s="30" customFormat="1" ht="238" hidden="1" x14ac:dyDescent="0.2">
      <c r="A35" s="30" t="s">
        <v>3374</v>
      </c>
      <c r="B35" s="30" t="s">
        <v>471</v>
      </c>
      <c r="C35" s="30" t="s">
        <v>468</v>
      </c>
      <c r="D35" s="30" t="s">
        <v>176</v>
      </c>
      <c r="E35" s="30" t="s">
        <v>252</v>
      </c>
      <c r="F35" s="30" t="s">
        <v>86</v>
      </c>
      <c r="G35" s="30" t="s">
        <v>3375</v>
      </c>
      <c r="H35" s="30" t="s">
        <v>3376</v>
      </c>
      <c r="I35" s="30" t="s">
        <v>3377</v>
      </c>
      <c r="J35" s="30" t="s">
        <v>3038</v>
      </c>
      <c r="K35" s="30" t="s">
        <v>3378</v>
      </c>
      <c r="L35" s="30" t="s">
        <v>3379</v>
      </c>
      <c r="M35" s="30" t="s">
        <v>3380</v>
      </c>
      <c r="N35" s="30" t="s">
        <v>3662</v>
      </c>
      <c r="O35" s="30" t="s">
        <v>3381</v>
      </c>
      <c r="P35" s="30" t="s">
        <v>3591</v>
      </c>
      <c r="Q35" s="30" t="s">
        <v>3382</v>
      </c>
      <c r="R35" s="30" t="s">
        <v>3383</v>
      </c>
      <c r="S35" s="30" t="s">
        <v>3384</v>
      </c>
      <c r="T35" s="30" t="s">
        <v>3592</v>
      </c>
      <c r="U35" s="30" t="s">
        <v>3385</v>
      </c>
      <c r="V35" s="30" t="s">
        <v>3109</v>
      </c>
    </row>
    <row r="36" spans="1:25" s="30" customFormat="1" ht="238" hidden="1" x14ac:dyDescent="0.2">
      <c r="A36" s="30" t="s">
        <v>3386</v>
      </c>
      <c r="B36" s="30" t="s">
        <v>251</v>
      </c>
      <c r="C36" s="30" t="s">
        <v>248</v>
      </c>
      <c r="D36" s="30" t="s">
        <v>176</v>
      </c>
      <c r="E36" s="30" t="s">
        <v>252</v>
      </c>
      <c r="F36" s="30" t="s">
        <v>86</v>
      </c>
      <c r="G36" s="30" t="s">
        <v>3387</v>
      </c>
      <c r="H36" s="30" t="s">
        <v>3388</v>
      </c>
      <c r="I36" s="30" t="s">
        <v>3389</v>
      </c>
      <c r="J36" s="30" t="s">
        <v>3390</v>
      </c>
      <c r="K36" s="30" t="s">
        <v>3391</v>
      </c>
      <c r="L36" s="30" t="s">
        <v>3392</v>
      </c>
      <c r="M36" s="30" t="s">
        <v>3393</v>
      </c>
      <c r="N36" s="30" t="s">
        <v>3394</v>
      </c>
      <c r="O36" s="30" t="s">
        <v>3663</v>
      </c>
      <c r="P36" s="30" t="s">
        <v>3594</v>
      </c>
      <c r="Q36" s="30" t="s">
        <v>3593</v>
      </c>
      <c r="R36" s="30" t="s">
        <v>3395</v>
      </c>
      <c r="S36" s="30" t="s">
        <v>3396</v>
      </c>
      <c r="T36" s="30" t="s">
        <v>3397</v>
      </c>
      <c r="U36" s="30" t="s">
        <v>3398</v>
      </c>
      <c r="V36" s="30" t="s">
        <v>3109</v>
      </c>
    </row>
    <row r="37" spans="1:25" s="30" customFormat="1" ht="323" hidden="1" x14ac:dyDescent="0.2">
      <c r="A37" s="30" t="s">
        <v>3412</v>
      </c>
      <c r="B37" s="30" t="s">
        <v>2454</v>
      </c>
      <c r="C37" s="30" t="s">
        <v>2451</v>
      </c>
      <c r="D37" s="30" t="s">
        <v>2455</v>
      </c>
      <c r="E37" s="30" t="s">
        <v>2456</v>
      </c>
      <c r="F37" s="30" t="s">
        <v>2313</v>
      </c>
      <c r="G37" s="30" t="s">
        <v>3399</v>
      </c>
      <c r="H37" s="30" t="s">
        <v>3400</v>
      </c>
      <c r="I37" s="30" t="s">
        <v>3401</v>
      </c>
      <c r="J37" s="30" t="s">
        <v>3402</v>
      </c>
      <c r="K37" s="30" t="s">
        <v>3403</v>
      </c>
      <c r="L37" s="30" t="s">
        <v>3404</v>
      </c>
      <c r="M37" s="30" t="s">
        <v>3405</v>
      </c>
      <c r="N37" s="30" t="s">
        <v>3406</v>
      </c>
      <c r="O37" s="30" t="s">
        <v>3407</v>
      </c>
      <c r="P37" s="30" t="s">
        <v>3596</v>
      </c>
      <c r="Q37" s="30" t="s">
        <v>3595</v>
      </c>
      <c r="R37" s="30" t="s">
        <v>3408</v>
      </c>
      <c r="S37" s="30" t="s">
        <v>3409</v>
      </c>
      <c r="T37" s="30" t="s">
        <v>3410</v>
      </c>
      <c r="U37" s="30" t="s">
        <v>3411</v>
      </c>
      <c r="V37" s="30" t="s">
        <v>3109</v>
      </c>
    </row>
    <row r="38" spans="1:25" s="30" customFormat="1" ht="238" hidden="1" x14ac:dyDescent="0.2">
      <c r="A38" s="30" t="s">
        <v>3412</v>
      </c>
      <c r="B38" s="30" t="s">
        <v>91</v>
      </c>
      <c r="C38" s="30" t="s">
        <v>88</v>
      </c>
      <c r="D38" s="30" t="s">
        <v>92</v>
      </c>
      <c r="E38" s="30" t="s">
        <v>93</v>
      </c>
      <c r="F38" s="30" t="s">
        <v>86</v>
      </c>
      <c r="G38" s="30" t="s">
        <v>3413</v>
      </c>
      <c r="H38" s="30" t="s">
        <v>3414</v>
      </c>
      <c r="I38" s="30" t="s">
        <v>3415</v>
      </c>
      <c r="J38" s="30" t="s">
        <v>3038</v>
      </c>
      <c r="K38" s="30" t="s">
        <v>3416</v>
      </c>
      <c r="L38" s="30" t="s">
        <v>3417</v>
      </c>
      <c r="M38" s="30" t="s">
        <v>3418</v>
      </c>
      <c r="N38" s="30" t="s">
        <v>3419</v>
      </c>
      <c r="O38" s="30" t="s">
        <v>3420</v>
      </c>
      <c r="P38" s="30" t="s">
        <v>3421</v>
      </c>
      <c r="Q38" s="30" t="s">
        <v>3422</v>
      </c>
      <c r="R38" s="30" t="s">
        <v>3423</v>
      </c>
      <c r="S38" s="30" t="s">
        <v>3424</v>
      </c>
      <c r="T38" s="30" t="s">
        <v>3425</v>
      </c>
      <c r="U38" s="30" t="s">
        <v>3426</v>
      </c>
      <c r="V38" s="30" t="s">
        <v>3109</v>
      </c>
    </row>
    <row r="39" spans="1:25" s="30" customFormat="1" ht="289" hidden="1" x14ac:dyDescent="0.2">
      <c r="A39" s="30" t="s">
        <v>3427</v>
      </c>
      <c r="B39" s="30" t="s">
        <v>145</v>
      </c>
      <c r="C39" s="30" t="s">
        <v>142</v>
      </c>
      <c r="D39" s="30" t="s">
        <v>146</v>
      </c>
      <c r="E39" s="30" t="s">
        <v>147</v>
      </c>
      <c r="F39" s="30" t="s">
        <v>86</v>
      </c>
      <c r="G39" s="30" t="s">
        <v>3428</v>
      </c>
      <c r="H39" s="30" t="s">
        <v>3429</v>
      </c>
      <c r="I39" s="30" t="s">
        <v>3430</v>
      </c>
      <c r="J39" s="30" t="s">
        <v>3038</v>
      </c>
      <c r="K39" s="30" t="s">
        <v>3599</v>
      </c>
      <c r="L39" s="30" t="s">
        <v>3431</v>
      </c>
      <c r="M39" s="30" t="s">
        <v>3432</v>
      </c>
      <c r="N39" s="30" t="s">
        <v>3664</v>
      </c>
      <c r="O39" s="30" t="s">
        <v>3597</v>
      </c>
      <c r="P39" s="30" t="s">
        <v>3433</v>
      </c>
      <c r="Q39" s="30" t="s">
        <v>3598</v>
      </c>
      <c r="R39" s="30" t="s">
        <v>3434</v>
      </c>
      <c r="S39" s="30" t="s">
        <v>3435</v>
      </c>
      <c r="T39" s="30" t="s">
        <v>3436</v>
      </c>
      <c r="U39" s="30" t="s">
        <v>3437</v>
      </c>
      <c r="V39" s="30" t="s">
        <v>3109</v>
      </c>
    </row>
    <row r="40" spans="1:25" s="30" customFormat="1" ht="221" hidden="1" x14ac:dyDescent="0.2">
      <c r="A40" s="30" t="s">
        <v>3438</v>
      </c>
      <c r="B40" s="30" t="s">
        <v>2662</v>
      </c>
      <c r="C40" s="30" t="s">
        <v>2659</v>
      </c>
      <c r="D40" s="30" t="s">
        <v>146</v>
      </c>
      <c r="E40" s="30" t="s">
        <v>391</v>
      </c>
      <c r="F40" s="30" t="s">
        <v>2635</v>
      </c>
      <c r="G40" s="30" t="s">
        <v>3439</v>
      </c>
      <c r="H40" s="30" t="s">
        <v>3440</v>
      </c>
      <c r="I40" s="30" t="s">
        <v>3441</v>
      </c>
      <c r="J40" s="30" t="s">
        <v>3038</v>
      </c>
      <c r="K40" s="30" t="s">
        <v>3601</v>
      </c>
      <c r="L40" s="30" t="s">
        <v>3442</v>
      </c>
      <c r="M40" s="30" t="s">
        <v>3443</v>
      </c>
      <c r="N40" s="30" t="s">
        <v>3444</v>
      </c>
      <c r="O40" s="30" t="s">
        <v>3445</v>
      </c>
      <c r="P40" s="30" t="s">
        <v>3446</v>
      </c>
      <c r="Q40" s="30" t="s">
        <v>3600</v>
      </c>
      <c r="R40" s="30" t="s">
        <v>3447</v>
      </c>
      <c r="S40" s="30" t="s">
        <v>3448</v>
      </c>
      <c r="T40" s="30" t="s">
        <v>3449</v>
      </c>
      <c r="U40" s="30" t="s">
        <v>3450</v>
      </c>
      <c r="V40" s="30" t="s">
        <v>3109</v>
      </c>
    </row>
    <row r="41" spans="1:25" s="30" customFormat="1" ht="356" hidden="1" x14ac:dyDescent="0.2">
      <c r="A41" s="30" t="s">
        <v>3451</v>
      </c>
      <c r="B41" s="30" t="s">
        <v>1922</v>
      </c>
      <c r="C41" s="30" t="s">
        <v>1919</v>
      </c>
      <c r="D41" s="30" t="s">
        <v>1879</v>
      </c>
      <c r="E41" s="30" t="s">
        <v>1923</v>
      </c>
      <c r="F41" s="30" t="s">
        <v>86</v>
      </c>
      <c r="G41" s="30" t="s">
        <v>3452</v>
      </c>
      <c r="H41" s="30" t="s">
        <v>3453</v>
      </c>
      <c r="I41" s="30" t="s">
        <v>3666</v>
      </c>
      <c r="J41" s="30" t="s">
        <v>3665</v>
      </c>
      <c r="K41" s="30" t="s">
        <v>3454</v>
      </c>
      <c r="L41" s="30" t="s">
        <v>3455</v>
      </c>
      <c r="M41" s="30" t="s">
        <v>3456</v>
      </c>
      <c r="N41" s="30" t="s">
        <v>3457</v>
      </c>
      <c r="O41" s="30" t="s">
        <v>3458</v>
      </c>
      <c r="P41" s="30" t="s">
        <v>3459</v>
      </c>
      <c r="Q41" s="30" t="s">
        <v>3602</v>
      </c>
      <c r="R41" s="30" t="s">
        <v>3460</v>
      </c>
      <c r="S41" s="30" t="s">
        <v>3461</v>
      </c>
      <c r="T41" s="30" t="s">
        <v>3462</v>
      </c>
      <c r="U41" s="30" t="s">
        <v>3463</v>
      </c>
      <c r="V41" s="30" t="s">
        <v>3109</v>
      </c>
      <c r="W41" s="30" t="s">
        <v>3538</v>
      </c>
      <c r="X41" s="30" t="s">
        <v>3667</v>
      </c>
    </row>
    <row r="42" spans="1:25" s="30" customFormat="1" ht="238" hidden="1" x14ac:dyDescent="0.2">
      <c r="A42" s="30" t="s">
        <v>3464</v>
      </c>
      <c r="B42" s="30" t="s">
        <v>1822</v>
      </c>
      <c r="C42" s="30" t="s">
        <v>1819</v>
      </c>
      <c r="D42" s="30" t="s">
        <v>92</v>
      </c>
      <c r="E42" s="30" t="s">
        <v>1164</v>
      </c>
      <c r="F42" s="30" t="s">
        <v>86</v>
      </c>
      <c r="G42" s="30" t="s">
        <v>3465</v>
      </c>
      <c r="H42" s="30" t="s">
        <v>3466</v>
      </c>
      <c r="I42" s="30" t="s">
        <v>3467</v>
      </c>
      <c r="J42" s="30" t="s">
        <v>3468</v>
      </c>
      <c r="K42" s="30" t="s">
        <v>3469</v>
      </c>
      <c r="L42" s="30" t="s">
        <v>3470</v>
      </c>
      <c r="M42" s="30" t="s">
        <v>3471</v>
      </c>
      <c r="N42" s="30" t="s">
        <v>3472</v>
      </c>
      <c r="O42" s="30" t="s">
        <v>3473</v>
      </c>
      <c r="P42" s="30" t="s">
        <v>3474</v>
      </c>
      <c r="Q42" s="30" t="s">
        <v>3603</v>
      </c>
      <c r="R42" s="30" t="s">
        <v>3475</v>
      </c>
      <c r="S42" s="30" t="s">
        <v>3476</v>
      </c>
      <c r="T42" s="30" t="s">
        <v>3477</v>
      </c>
      <c r="U42" s="30" t="s">
        <v>3478</v>
      </c>
      <c r="V42" s="30" t="s">
        <v>3109</v>
      </c>
    </row>
    <row r="43" spans="1:25" s="31" customFormat="1" ht="306" hidden="1" x14ac:dyDescent="0.2">
      <c r="A43" s="31" t="s">
        <v>3479</v>
      </c>
      <c r="B43" s="31" t="s">
        <v>1580</v>
      </c>
      <c r="C43" s="31" t="s">
        <v>1577</v>
      </c>
      <c r="D43" s="31" t="s">
        <v>55</v>
      </c>
      <c r="E43" s="31" t="s">
        <v>1581</v>
      </c>
      <c r="F43" s="31" t="s">
        <v>86</v>
      </c>
      <c r="G43" s="31" t="s">
        <v>3480</v>
      </c>
      <c r="H43" s="31" t="s">
        <v>3481</v>
      </c>
      <c r="I43" s="31" t="s">
        <v>3605</v>
      </c>
      <c r="J43" s="31" t="s">
        <v>3604</v>
      </c>
      <c r="K43" s="31" t="s">
        <v>3606</v>
      </c>
      <c r="L43" s="31" t="s">
        <v>3607</v>
      </c>
      <c r="M43" s="31" t="s">
        <v>3482</v>
      </c>
      <c r="N43" s="31" t="s">
        <v>3608</v>
      </c>
      <c r="O43" s="31" t="s">
        <v>3483</v>
      </c>
      <c r="P43" s="31" t="s">
        <v>3609</v>
      </c>
      <c r="Q43" s="31" t="s">
        <v>3613</v>
      </c>
      <c r="R43" s="31" t="s">
        <v>3610</v>
      </c>
      <c r="S43" s="31" t="s">
        <v>3484</v>
      </c>
      <c r="T43" s="31" t="s">
        <v>3611</v>
      </c>
      <c r="U43" s="31" t="s">
        <v>3485</v>
      </c>
      <c r="V43" s="31" t="s">
        <v>3109</v>
      </c>
      <c r="W43" s="31" t="s">
        <v>3538</v>
      </c>
      <c r="X43" s="31" t="s">
        <v>3612</v>
      </c>
      <c r="Y43" s="33" t="s">
        <v>3620</v>
      </c>
    </row>
    <row r="44" spans="1:25" s="31" customFormat="1" ht="204" hidden="1" x14ac:dyDescent="0.2">
      <c r="A44" s="31" t="s">
        <v>3486</v>
      </c>
      <c r="B44" s="31" t="s">
        <v>1766</v>
      </c>
      <c r="C44" s="31" t="s">
        <v>1577</v>
      </c>
      <c r="D44" s="31" t="s">
        <v>146</v>
      </c>
      <c r="E44" s="31" t="s">
        <v>923</v>
      </c>
      <c r="F44" s="31" t="s">
        <v>86</v>
      </c>
      <c r="G44" s="31" t="s">
        <v>3480</v>
      </c>
      <c r="H44" s="31" t="s">
        <v>3487</v>
      </c>
      <c r="I44" s="31" t="s">
        <v>3616</v>
      </c>
      <c r="J44" s="31" t="s">
        <v>3604</v>
      </c>
      <c r="K44" s="31" t="s">
        <v>3617</v>
      </c>
      <c r="L44" s="31" t="s">
        <v>3488</v>
      </c>
      <c r="M44" s="31" t="s">
        <v>3489</v>
      </c>
      <c r="N44" s="31" t="s">
        <v>3618</v>
      </c>
      <c r="O44" s="31" t="s">
        <v>3490</v>
      </c>
      <c r="P44" s="31" t="s">
        <v>3491</v>
      </c>
      <c r="Q44" s="31" t="s">
        <v>3492</v>
      </c>
      <c r="R44" s="31" t="s">
        <v>3493</v>
      </c>
      <c r="S44" s="31" t="s">
        <v>3494</v>
      </c>
      <c r="T44" s="31" t="s">
        <v>3495</v>
      </c>
      <c r="U44" s="31" t="s">
        <v>3496</v>
      </c>
      <c r="V44" s="31" t="s">
        <v>3109</v>
      </c>
      <c r="W44" s="31" t="s">
        <v>3538</v>
      </c>
      <c r="X44" s="31" t="s">
        <v>3619</v>
      </c>
      <c r="Y44" s="34"/>
    </row>
    <row r="45" spans="1:25" s="31" customFormat="1" ht="289" x14ac:dyDescent="0.2">
      <c r="A45" s="31" t="s">
        <v>3497</v>
      </c>
      <c r="B45" s="31" t="s">
        <v>741</v>
      </c>
      <c r="C45" s="31" t="s">
        <v>738</v>
      </c>
      <c r="D45" s="31" t="s">
        <v>92</v>
      </c>
      <c r="E45" s="31" t="s">
        <v>742</v>
      </c>
      <c r="F45" s="31" t="s">
        <v>86</v>
      </c>
      <c r="G45" s="31" t="s">
        <v>3498</v>
      </c>
      <c r="H45" s="31" t="s">
        <v>3499</v>
      </c>
      <c r="I45" s="31" t="s">
        <v>3623</v>
      </c>
      <c r="J45" s="31" t="s">
        <v>3622</v>
      </c>
      <c r="K45" s="31" t="s">
        <v>3629</v>
      </c>
      <c r="L45" s="31" t="s">
        <v>3624</v>
      </c>
      <c r="M45" s="31" t="s">
        <v>3625</v>
      </c>
      <c r="N45" s="31" t="s">
        <v>3626</v>
      </c>
      <c r="O45" s="31" t="s">
        <v>3500</v>
      </c>
      <c r="P45" s="31" t="s">
        <v>3501</v>
      </c>
      <c r="Q45" s="31" t="s">
        <v>3502</v>
      </c>
      <c r="R45" s="31" t="s">
        <v>3503</v>
      </c>
      <c r="S45" s="31" t="s">
        <v>3627</v>
      </c>
      <c r="T45" s="31" t="s">
        <v>3504</v>
      </c>
      <c r="U45" s="31" t="s">
        <v>3628</v>
      </c>
      <c r="V45" s="31" t="s">
        <v>3109</v>
      </c>
      <c r="W45" s="31" t="s">
        <v>3538</v>
      </c>
      <c r="X45" s="31" t="s">
        <v>3621</v>
      </c>
    </row>
    <row r="46" spans="1:25" s="19" customFormat="1" ht="17" hidden="1" x14ac:dyDescent="0.2">
      <c r="A46" s="19" t="s">
        <v>3505</v>
      </c>
      <c r="B46" s="19" t="s">
        <v>1128</v>
      </c>
      <c r="C46" s="19" t="s">
        <v>1125</v>
      </c>
      <c r="D46" s="19" t="s">
        <v>146</v>
      </c>
      <c r="E46" s="19" t="s">
        <v>1129</v>
      </c>
      <c r="F46" s="19" t="s">
        <v>86</v>
      </c>
      <c r="U46" s="19" t="s">
        <v>2860</v>
      </c>
      <c r="V46" s="19" t="s">
        <v>3109</v>
      </c>
    </row>
    <row r="47" spans="1:25" s="31" customFormat="1" ht="221" hidden="1" x14ac:dyDescent="0.2">
      <c r="A47" s="31" t="s">
        <v>3506</v>
      </c>
      <c r="B47" s="31" t="s">
        <v>1307</v>
      </c>
      <c r="C47" s="31" t="s">
        <v>1304</v>
      </c>
      <c r="D47" s="31" t="s">
        <v>146</v>
      </c>
      <c r="E47" s="31" t="s">
        <v>1308</v>
      </c>
      <c r="F47" s="31" t="s">
        <v>86</v>
      </c>
      <c r="G47" s="31" t="s">
        <v>3507</v>
      </c>
      <c r="H47" s="31" t="s">
        <v>3635</v>
      </c>
      <c r="I47" s="31" t="s">
        <v>3508</v>
      </c>
      <c r="J47" s="31" t="s">
        <v>3038</v>
      </c>
      <c r="K47" s="31" t="s">
        <v>3636</v>
      </c>
      <c r="L47" s="31" t="s">
        <v>3634</v>
      </c>
      <c r="M47" s="31" t="s">
        <v>3509</v>
      </c>
      <c r="N47" s="31" t="s">
        <v>3633</v>
      </c>
      <c r="O47" s="31" t="s">
        <v>3510</v>
      </c>
      <c r="P47" s="31" t="s">
        <v>3511</v>
      </c>
      <c r="Q47" s="31" t="s">
        <v>3630</v>
      </c>
      <c r="R47" s="31" t="s">
        <v>3632</v>
      </c>
      <c r="S47" s="31" t="s">
        <v>3512</v>
      </c>
      <c r="T47" s="31" t="s">
        <v>3513</v>
      </c>
      <c r="U47" s="31" t="s">
        <v>3514</v>
      </c>
      <c r="V47" s="31" t="s">
        <v>3109</v>
      </c>
      <c r="W47" s="31" t="s">
        <v>3538</v>
      </c>
      <c r="X47" s="31" t="s">
        <v>3631</v>
      </c>
    </row>
    <row r="48" spans="1:25" s="30" customFormat="1" ht="187" hidden="1" x14ac:dyDescent="0.2">
      <c r="A48" s="30" t="s">
        <v>3515</v>
      </c>
      <c r="B48" s="30" t="s">
        <v>573</v>
      </c>
      <c r="C48" s="30" t="s">
        <v>570</v>
      </c>
      <c r="D48" s="30" t="s">
        <v>176</v>
      </c>
      <c r="E48" s="30" t="s">
        <v>252</v>
      </c>
      <c r="F48" s="30" t="s">
        <v>86</v>
      </c>
      <c r="G48" s="30" t="s">
        <v>3516</v>
      </c>
      <c r="H48" s="30" t="s">
        <v>3517</v>
      </c>
      <c r="I48" s="30" t="s">
        <v>3518</v>
      </c>
      <c r="J48" s="30" t="s">
        <v>3519</v>
      </c>
      <c r="K48" s="30" t="s">
        <v>3639</v>
      </c>
      <c r="L48" s="30" t="s">
        <v>3520</v>
      </c>
      <c r="M48" s="30" t="s">
        <v>3638</v>
      </c>
      <c r="N48" s="30" t="s">
        <v>3521</v>
      </c>
      <c r="O48" s="30" t="s">
        <v>3522</v>
      </c>
      <c r="P48" s="30" t="s">
        <v>3523</v>
      </c>
      <c r="Q48" s="30" t="s">
        <v>3637</v>
      </c>
      <c r="R48" s="30" t="s">
        <v>3524</v>
      </c>
      <c r="S48" s="30" t="s">
        <v>3525</v>
      </c>
      <c r="T48" s="30" t="s">
        <v>3526</v>
      </c>
      <c r="U48" s="30" t="s">
        <v>3527</v>
      </c>
      <c r="V48" s="30" t="s">
        <v>3109</v>
      </c>
    </row>
  </sheetData>
  <autoFilter ref="A1:A48" xr:uid="{E1C55CAC-BCE0-7842-A5FA-DAD4490DC97C}">
    <filterColumn colId="0">
      <filters>
        <filter val="bai"/>
        <filter val="chen3"/>
        <filter val="guo"/>
        <filter val="han"/>
        <filter val="haoran"/>
        <filter val="hsu"/>
        <filter val="ly"/>
        <filter val="zhao2"/>
      </filters>
    </filterColumn>
  </autoFilter>
  <mergeCells count="1">
    <mergeCell ref="Y43:Y4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48C16-68E4-8D45-A97D-D561CDCD40FF}">
  <sheetPr filterMode="1"/>
  <dimension ref="A1:Y48"/>
  <sheetViews>
    <sheetView zoomScale="140" zoomScaleNormal="200" workbookViewId="0">
      <pane xSplit="1" topLeftCell="B1" activePane="topRight" state="frozen"/>
      <selection pane="topRight" activeCell="A22" sqref="A22"/>
    </sheetView>
  </sheetViews>
  <sheetFormatPr baseColWidth="10" defaultRowHeight="16" x14ac:dyDescent="0.2"/>
  <cols>
    <col min="1" max="1" width="13.6640625" style="10" customWidth="1"/>
    <col min="2" max="2" width="105.83203125" style="10" bestFit="1" customWidth="1"/>
    <col min="3" max="3" width="63.83203125" style="10" bestFit="1" customWidth="1"/>
    <col min="4" max="4" width="10.83203125" style="10"/>
    <col min="5" max="5" width="163.6640625" style="10" bestFit="1" customWidth="1"/>
    <col min="6" max="6" width="10.83203125" style="10"/>
    <col min="7" max="7" width="14.5" style="10" customWidth="1"/>
    <col min="8" max="8" width="35.83203125" style="10" customWidth="1"/>
    <col min="9" max="9" width="25.5" style="10" bestFit="1" customWidth="1"/>
    <col min="10" max="10" width="39.6640625" style="10" bestFit="1" customWidth="1"/>
    <col min="11" max="11" width="33.5" style="10" customWidth="1"/>
    <col min="12" max="12" width="51.33203125" style="10" customWidth="1"/>
    <col min="13" max="13" width="36.6640625" style="10" customWidth="1"/>
    <col min="14" max="14" width="103.6640625" style="10" bestFit="1" customWidth="1"/>
    <col min="15" max="15" width="29" style="10" customWidth="1"/>
    <col min="16" max="16" width="18.1640625" style="10" customWidth="1"/>
    <col min="17" max="17" width="23.5" style="10" customWidth="1"/>
    <col min="18" max="18" width="34.5" style="10" customWidth="1"/>
    <col min="19" max="19" width="36.83203125" style="10" customWidth="1"/>
    <col min="20" max="20" width="35.1640625" style="10" customWidth="1"/>
    <col min="21" max="21" width="49.83203125" style="10" customWidth="1"/>
    <col min="22" max="23" width="10.83203125" style="10"/>
    <col min="24" max="24" width="28.83203125" style="10" customWidth="1"/>
    <col min="25" max="16384" width="10.83203125" style="10"/>
  </cols>
  <sheetData>
    <row r="1" spans="1:24" s="29" customFormat="1" ht="34" x14ac:dyDescent="0.2">
      <c r="A1" s="29" t="s">
        <v>2973</v>
      </c>
      <c r="B1" s="29" t="s">
        <v>2974</v>
      </c>
      <c r="C1" s="29" t="s">
        <v>2975</v>
      </c>
      <c r="D1" s="29" t="s">
        <v>2976</v>
      </c>
      <c r="E1" s="29" t="s">
        <v>2977</v>
      </c>
      <c r="F1" s="29" t="s">
        <v>2978</v>
      </c>
      <c r="G1" s="29" t="s">
        <v>2989</v>
      </c>
      <c r="H1" s="29" t="s">
        <v>2980</v>
      </c>
      <c r="I1" s="29" t="s">
        <v>2995</v>
      </c>
      <c r="J1" s="29" t="s">
        <v>2992</v>
      </c>
      <c r="K1" s="29" t="s">
        <v>2981</v>
      </c>
      <c r="L1" s="29" t="s">
        <v>2982</v>
      </c>
      <c r="M1" s="29" t="s">
        <v>2983</v>
      </c>
      <c r="N1" s="29" t="s">
        <v>2993</v>
      </c>
      <c r="O1" s="29" t="s">
        <v>2984</v>
      </c>
      <c r="P1" s="29" t="s">
        <v>2991</v>
      </c>
      <c r="Q1" s="29" t="s">
        <v>2996</v>
      </c>
      <c r="R1" s="29" t="s">
        <v>2985</v>
      </c>
      <c r="S1" s="29" t="s">
        <v>2986</v>
      </c>
      <c r="T1" s="29" t="s">
        <v>2987</v>
      </c>
      <c r="U1" s="29" t="s">
        <v>2979</v>
      </c>
      <c r="V1" s="29" t="s">
        <v>3107</v>
      </c>
    </row>
    <row r="2" spans="1:24" s="30" customFormat="1" ht="170" hidden="1" x14ac:dyDescent="0.2">
      <c r="A2" s="30" t="s">
        <v>2988</v>
      </c>
      <c r="B2" s="30" t="s">
        <v>886</v>
      </c>
      <c r="C2" s="30" t="s">
        <v>883</v>
      </c>
      <c r="D2" s="30" t="s">
        <v>146</v>
      </c>
      <c r="E2" s="30" t="s">
        <v>887</v>
      </c>
      <c r="F2" s="30" t="s">
        <v>86</v>
      </c>
      <c r="G2" s="30" t="s">
        <v>2990</v>
      </c>
      <c r="H2" s="30" t="s">
        <v>2997</v>
      </c>
      <c r="I2" s="30" t="s">
        <v>2998</v>
      </c>
      <c r="J2" s="30" t="s">
        <v>1685</v>
      </c>
      <c r="K2" s="30" t="s">
        <v>3023</v>
      </c>
      <c r="L2" s="30" t="s">
        <v>2999</v>
      </c>
      <c r="M2" s="30" t="s">
        <v>3000</v>
      </c>
      <c r="N2" s="30" t="s">
        <v>3640</v>
      </c>
      <c r="O2" s="30" t="s">
        <v>2994</v>
      </c>
      <c r="P2" s="30" t="s">
        <v>3006</v>
      </c>
      <c r="Q2" s="30" t="s">
        <v>3005</v>
      </c>
      <c r="R2" s="30" t="s">
        <v>3001</v>
      </c>
      <c r="S2" s="30" t="s">
        <v>3002</v>
      </c>
      <c r="T2" s="30" t="s">
        <v>3003</v>
      </c>
      <c r="U2" s="30" t="s">
        <v>3004</v>
      </c>
      <c r="V2" s="30" t="s">
        <v>3108</v>
      </c>
    </row>
    <row r="3" spans="1:24" s="30" customFormat="1" ht="170" hidden="1" x14ac:dyDescent="0.2">
      <c r="A3" s="30" t="s">
        <v>3007</v>
      </c>
      <c r="B3" s="30" t="s">
        <v>1709</v>
      </c>
      <c r="C3" s="30" t="s">
        <v>1706</v>
      </c>
      <c r="D3" s="30" t="s">
        <v>92</v>
      </c>
      <c r="E3" s="30" t="s">
        <v>1710</v>
      </c>
      <c r="F3" s="30" t="s">
        <v>86</v>
      </c>
      <c r="G3" s="30" t="s">
        <v>3008</v>
      </c>
      <c r="H3" s="30" t="s">
        <v>3009</v>
      </c>
      <c r="I3" s="30" t="s">
        <v>3010</v>
      </c>
      <c r="J3" s="30" t="s">
        <v>1685</v>
      </c>
      <c r="K3" s="30" t="s">
        <v>3022</v>
      </c>
      <c r="L3" s="30" t="s">
        <v>3011</v>
      </c>
      <c r="M3" s="30" t="s">
        <v>3012</v>
      </c>
      <c r="N3" s="30" t="s">
        <v>3641</v>
      </c>
      <c r="O3" s="30" t="s">
        <v>3013</v>
      </c>
      <c r="P3" s="30" t="s">
        <v>3014</v>
      </c>
      <c r="Q3" s="30" t="s">
        <v>3020</v>
      </c>
      <c r="R3" s="30" t="s">
        <v>3015</v>
      </c>
      <c r="S3" s="30" t="s">
        <v>3016</v>
      </c>
      <c r="T3" s="30" t="s">
        <v>3017</v>
      </c>
      <c r="U3" s="30" t="s">
        <v>3018</v>
      </c>
      <c r="V3" s="30" t="s">
        <v>3108</v>
      </c>
    </row>
    <row r="4" spans="1:24" s="30" customFormat="1" ht="170" hidden="1" x14ac:dyDescent="0.2">
      <c r="A4" s="30" t="s">
        <v>3019</v>
      </c>
      <c r="B4" s="30" t="s">
        <v>1436</v>
      </c>
      <c r="C4" s="30" t="s">
        <v>1433</v>
      </c>
      <c r="D4" s="30" t="s">
        <v>146</v>
      </c>
      <c r="E4" s="30" t="s">
        <v>1437</v>
      </c>
      <c r="F4" s="30" t="s">
        <v>86</v>
      </c>
      <c r="G4" s="30" t="s">
        <v>3021</v>
      </c>
      <c r="H4" s="30" t="s">
        <v>3024</v>
      </c>
      <c r="I4" s="30" t="s">
        <v>3025</v>
      </c>
      <c r="J4" s="30" t="s">
        <v>1685</v>
      </c>
      <c r="K4" s="30" t="s">
        <v>3026</v>
      </c>
      <c r="L4" s="30" t="s">
        <v>3027</v>
      </c>
      <c r="M4" s="30" t="s">
        <v>3644</v>
      </c>
      <c r="N4" s="30" t="s">
        <v>3642</v>
      </c>
      <c r="O4" s="30" t="s">
        <v>3028</v>
      </c>
      <c r="P4" s="30" t="s">
        <v>3029</v>
      </c>
      <c r="Q4" s="30" t="s">
        <v>3643</v>
      </c>
      <c r="R4" s="30" t="s">
        <v>3030</v>
      </c>
      <c r="S4" s="30" t="s">
        <v>3031</v>
      </c>
      <c r="T4" s="30" t="s">
        <v>3032</v>
      </c>
      <c r="U4" s="30" t="s">
        <v>3033</v>
      </c>
      <c r="V4" s="30" t="s">
        <v>3108</v>
      </c>
    </row>
    <row r="5" spans="1:24" s="30" customFormat="1" ht="136" hidden="1" x14ac:dyDescent="0.2">
      <c r="A5" s="30" t="s">
        <v>3034</v>
      </c>
      <c r="B5" s="30" t="s">
        <v>904</v>
      </c>
      <c r="C5" s="30" t="s">
        <v>901</v>
      </c>
      <c r="D5" s="30" t="s">
        <v>146</v>
      </c>
      <c r="E5" s="30" t="s">
        <v>905</v>
      </c>
      <c r="F5" s="30" t="s">
        <v>86</v>
      </c>
      <c r="G5" s="30" t="s">
        <v>3035</v>
      </c>
      <c r="H5" s="30" t="s">
        <v>3036</v>
      </c>
      <c r="I5" s="30" t="s">
        <v>3037</v>
      </c>
      <c r="J5" s="30" t="s">
        <v>3038</v>
      </c>
      <c r="K5" s="30" t="s">
        <v>3039</v>
      </c>
      <c r="L5" s="30" t="s">
        <v>3040</v>
      </c>
      <c r="M5" s="30" t="s">
        <v>3041</v>
      </c>
      <c r="N5" s="30" t="s">
        <v>3042</v>
      </c>
      <c r="O5" s="30" t="s">
        <v>3043</v>
      </c>
      <c r="P5" s="30" t="s">
        <v>3044</v>
      </c>
      <c r="Q5" s="30" t="s">
        <v>3045</v>
      </c>
      <c r="R5" s="30" t="s">
        <v>3046</v>
      </c>
      <c r="S5" s="30" t="s">
        <v>3047</v>
      </c>
      <c r="T5" s="30" t="s">
        <v>3048</v>
      </c>
      <c r="U5" s="30" t="s">
        <v>3049</v>
      </c>
      <c r="V5" s="30" t="s">
        <v>3108</v>
      </c>
    </row>
    <row r="6" spans="1:24" s="30" customFormat="1" ht="204" hidden="1" x14ac:dyDescent="0.2">
      <c r="A6" s="30" t="s">
        <v>3050</v>
      </c>
      <c r="B6" s="30" t="s">
        <v>2027</v>
      </c>
      <c r="C6" s="30" t="s">
        <v>2024</v>
      </c>
      <c r="D6" s="30" t="s">
        <v>92</v>
      </c>
      <c r="E6" s="30" t="s">
        <v>252</v>
      </c>
      <c r="F6" s="30" t="s">
        <v>86</v>
      </c>
      <c r="G6" s="30" t="s">
        <v>3051</v>
      </c>
      <c r="H6" s="30" t="s">
        <v>3645</v>
      </c>
      <c r="I6" s="30" t="s">
        <v>3052</v>
      </c>
      <c r="J6" s="30" t="s">
        <v>3053</v>
      </c>
      <c r="K6" s="30" t="s">
        <v>3054</v>
      </c>
      <c r="L6" s="30" t="s">
        <v>3055</v>
      </c>
      <c r="M6" s="30" t="s">
        <v>3056</v>
      </c>
      <c r="N6" s="30" t="s">
        <v>3646</v>
      </c>
      <c r="O6" s="30" t="s">
        <v>3057</v>
      </c>
      <c r="P6" s="30" t="s">
        <v>3058</v>
      </c>
      <c r="Q6" s="30" t="s">
        <v>3059</v>
      </c>
      <c r="R6" s="30" t="s">
        <v>3060</v>
      </c>
      <c r="S6" s="30" t="s">
        <v>3061</v>
      </c>
      <c r="T6" s="30" t="s">
        <v>3062</v>
      </c>
      <c r="U6" s="30" t="s">
        <v>3063</v>
      </c>
      <c r="V6" s="30" t="s">
        <v>3108</v>
      </c>
    </row>
    <row r="7" spans="1:24" s="19" customFormat="1" ht="17" hidden="1" x14ac:dyDescent="0.2">
      <c r="A7" s="19" t="s">
        <v>3064</v>
      </c>
      <c r="B7" s="19" t="s">
        <v>1797</v>
      </c>
      <c r="C7" s="19" t="s">
        <v>1794</v>
      </c>
      <c r="D7" s="19" t="s">
        <v>176</v>
      </c>
      <c r="E7" s="19" t="s">
        <v>830</v>
      </c>
      <c r="F7" s="19" t="s">
        <v>86</v>
      </c>
    </row>
    <row r="8" spans="1:24" s="30" customFormat="1" ht="136" hidden="1" x14ac:dyDescent="0.2">
      <c r="A8" s="30" t="s">
        <v>3065</v>
      </c>
      <c r="B8" s="30" t="s">
        <v>2723</v>
      </c>
      <c r="C8" s="30" t="s">
        <v>2720</v>
      </c>
      <c r="D8" s="30" t="s">
        <v>176</v>
      </c>
      <c r="E8" s="30" t="s">
        <v>454</v>
      </c>
      <c r="F8" s="30" t="s">
        <v>2635</v>
      </c>
      <c r="G8" s="30" t="s">
        <v>3066</v>
      </c>
      <c r="H8" s="30" t="s">
        <v>3067</v>
      </c>
      <c r="I8" s="30" t="s">
        <v>3068</v>
      </c>
      <c r="J8" s="30" t="s">
        <v>3038</v>
      </c>
      <c r="K8" s="30" t="s">
        <v>3069</v>
      </c>
      <c r="L8" s="30" t="s">
        <v>3070</v>
      </c>
      <c r="M8" s="30" t="s">
        <v>3529</v>
      </c>
      <c r="N8" s="30" t="s">
        <v>3071</v>
      </c>
      <c r="O8" s="30" t="s">
        <v>3072</v>
      </c>
      <c r="P8" s="30" t="s">
        <v>3528</v>
      </c>
      <c r="Q8" s="30" t="s">
        <v>3073</v>
      </c>
      <c r="R8" s="30" t="s">
        <v>3074</v>
      </c>
      <c r="S8" s="30" t="s">
        <v>3075</v>
      </c>
      <c r="T8" s="30" t="s">
        <v>3076</v>
      </c>
      <c r="U8" s="30" t="s">
        <v>3077</v>
      </c>
      <c r="V8" s="30" t="s">
        <v>3108</v>
      </c>
    </row>
    <row r="9" spans="1:24" s="30" customFormat="1" ht="136" hidden="1" x14ac:dyDescent="0.2">
      <c r="A9" s="30" t="s">
        <v>3078</v>
      </c>
      <c r="B9" s="30" t="s">
        <v>2261</v>
      </c>
      <c r="C9" s="30" t="s">
        <v>553</v>
      </c>
      <c r="D9" s="30" t="s">
        <v>146</v>
      </c>
      <c r="E9" s="30" t="s">
        <v>229</v>
      </c>
      <c r="F9" s="30" t="s">
        <v>2260</v>
      </c>
      <c r="G9" s="30" t="s">
        <v>3079</v>
      </c>
      <c r="H9" s="30" t="s">
        <v>3531</v>
      </c>
      <c r="I9" s="30" t="s">
        <v>3080</v>
      </c>
      <c r="J9" s="30" t="s">
        <v>3081</v>
      </c>
      <c r="K9" s="30" t="s">
        <v>3082</v>
      </c>
      <c r="L9" s="30" t="s">
        <v>3083</v>
      </c>
      <c r="M9" s="30" t="s">
        <v>3084</v>
      </c>
      <c r="N9" s="30" t="s">
        <v>3647</v>
      </c>
      <c r="O9" s="30" t="s">
        <v>3085</v>
      </c>
      <c r="P9" s="30" t="s">
        <v>3086</v>
      </c>
      <c r="Q9" s="30" t="s">
        <v>3087</v>
      </c>
      <c r="R9" s="30" t="s">
        <v>3530</v>
      </c>
      <c r="S9" s="30" t="s">
        <v>3088</v>
      </c>
      <c r="T9" s="30" t="s">
        <v>3089</v>
      </c>
      <c r="U9" s="30" t="s">
        <v>3090</v>
      </c>
      <c r="V9" s="30" t="s">
        <v>3108</v>
      </c>
    </row>
    <row r="10" spans="1:24" s="30" customFormat="1" ht="238" hidden="1" x14ac:dyDescent="0.2">
      <c r="A10" s="30" t="s">
        <v>3091</v>
      </c>
      <c r="B10" s="30" t="s">
        <v>627</v>
      </c>
      <c r="C10" s="30" t="s">
        <v>624</v>
      </c>
      <c r="D10" s="30" t="s">
        <v>176</v>
      </c>
      <c r="E10" s="30" t="s">
        <v>628</v>
      </c>
      <c r="F10" s="30" t="s">
        <v>86</v>
      </c>
      <c r="G10" s="30" t="s">
        <v>3092</v>
      </c>
      <c r="H10" s="30" t="s">
        <v>3093</v>
      </c>
      <c r="I10" s="30" t="s">
        <v>3094</v>
      </c>
      <c r="J10" s="30" t="s">
        <v>3095</v>
      </c>
      <c r="K10" s="30" t="s">
        <v>3096</v>
      </c>
      <c r="L10" s="30" t="s">
        <v>3097</v>
      </c>
      <c r="M10" s="30" t="s">
        <v>3098</v>
      </c>
      <c r="N10" s="30" t="s">
        <v>3648</v>
      </c>
      <c r="O10" s="30" t="s">
        <v>3099</v>
      </c>
      <c r="P10" s="30" t="s">
        <v>3100</v>
      </c>
      <c r="Q10" s="30" t="s">
        <v>3101</v>
      </c>
      <c r="R10" s="30" t="s">
        <v>3102</v>
      </c>
      <c r="S10" s="30" t="s">
        <v>3103</v>
      </c>
      <c r="T10" s="30" t="s">
        <v>3104</v>
      </c>
      <c r="U10" s="30" t="s">
        <v>3105</v>
      </c>
      <c r="V10" s="30" t="s">
        <v>3109</v>
      </c>
    </row>
    <row r="11" spans="1:24" s="31" customFormat="1" ht="255" hidden="1" x14ac:dyDescent="0.2">
      <c r="A11" s="31" t="s">
        <v>3106</v>
      </c>
      <c r="B11" s="31" t="s">
        <v>322</v>
      </c>
      <c r="C11" s="31" t="s">
        <v>319</v>
      </c>
      <c r="D11" s="31" t="s">
        <v>55</v>
      </c>
      <c r="E11" s="31" t="s">
        <v>323</v>
      </c>
      <c r="F11" s="31" t="s">
        <v>86</v>
      </c>
      <c r="G11" s="31" t="s">
        <v>3110</v>
      </c>
      <c r="H11" s="31" t="s">
        <v>3111</v>
      </c>
      <c r="I11" s="31" t="s">
        <v>3112</v>
      </c>
      <c r="J11" s="31" t="s">
        <v>3095</v>
      </c>
      <c r="K11" s="31" t="s">
        <v>3533</v>
      </c>
      <c r="L11" s="31" t="s">
        <v>3534</v>
      </c>
      <c r="M11" s="31" t="s">
        <v>3113</v>
      </c>
      <c r="N11" s="31" t="s">
        <v>3649</v>
      </c>
      <c r="O11" s="31" t="s">
        <v>3532</v>
      </c>
      <c r="P11" s="31" t="s">
        <v>3535</v>
      </c>
      <c r="Q11" s="31" t="s">
        <v>3114</v>
      </c>
      <c r="R11" s="31" t="s">
        <v>3536</v>
      </c>
      <c r="S11" s="31" t="s">
        <v>3115</v>
      </c>
      <c r="T11" s="31" t="s">
        <v>3537</v>
      </c>
      <c r="U11" s="31" t="s">
        <v>3539</v>
      </c>
      <c r="V11" s="31" t="s">
        <v>3109</v>
      </c>
      <c r="W11" s="31" t="s">
        <v>3538</v>
      </c>
      <c r="X11" s="31" t="s">
        <v>3549</v>
      </c>
    </row>
    <row r="12" spans="1:24" s="30" customFormat="1" ht="187" hidden="1" x14ac:dyDescent="0.2">
      <c r="A12" s="30" t="s">
        <v>3116</v>
      </c>
      <c r="B12" s="30" t="s">
        <v>2683</v>
      </c>
      <c r="C12" s="30" t="s">
        <v>2680</v>
      </c>
      <c r="D12" s="30" t="s">
        <v>146</v>
      </c>
      <c r="E12" s="30" t="s">
        <v>2684</v>
      </c>
      <c r="F12" s="30" t="s">
        <v>2635</v>
      </c>
      <c r="G12" s="30" t="s">
        <v>3117</v>
      </c>
      <c r="H12" s="30" t="s">
        <v>3118</v>
      </c>
      <c r="I12" s="30" t="s">
        <v>3119</v>
      </c>
      <c r="J12" s="30" t="s">
        <v>3120</v>
      </c>
      <c r="K12" s="30" t="s">
        <v>3121</v>
      </c>
      <c r="L12" s="30" t="s">
        <v>3122</v>
      </c>
      <c r="M12" s="30" t="s">
        <v>3540</v>
      </c>
      <c r="N12" s="30" t="s">
        <v>3650</v>
      </c>
      <c r="O12" s="30" t="s">
        <v>3123</v>
      </c>
      <c r="P12" s="30" t="s">
        <v>3124</v>
      </c>
      <c r="Q12" s="30" t="s">
        <v>3125</v>
      </c>
      <c r="R12" s="30" t="s">
        <v>3126</v>
      </c>
      <c r="S12" s="30" t="s">
        <v>3127</v>
      </c>
      <c r="T12" s="30" t="s">
        <v>3128</v>
      </c>
      <c r="U12" s="30" t="s">
        <v>3129</v>
      </c>
      <c r="V12" s="30" t="s">
        <v>3109</v>
      </c>
    </row>
    <row r="13" spans="1:24" s="31" customFormat="1" ht="187" hidden="1" x14ac:dyDescent="0.2">
      <c r="A13" s="31" t="s">
        <v>3130</v>
      </c>
      <c r="B13" s="31" t="s">
        <v>1487</v>
      </c>
      <c r="C13" s="31" t="s">
        <v>1484</v>
      </c>
      <c r="D13" s="31" t="s">
        <v>176</v>
      </c>
      <c r="E13" s="31" t="s">
        <v>1488</v>
      </c>
      <c r="F13" s="31" t="s">
        <v>86</v>
      </c>
      <c r="G13" s="31" t="s">
        <v>3131</v>
      </c>
      <c r="H13" s="31" t="s">
        <v>3541</v>
      </c>
      <c r="I13" s="31" t="s">
        <v>3132</v>
      </c>
      <c r="J13" s="31" t="s">
        <v>3038</v>
      </c>
      <c r="K13" s="31" t="s">
        <v>3542</v>
      </c>
      <c r="L13" s="31" t="s">
        <v>3543</v>
      </c>
      <c r="M13" s="31" t="s">
        <v>3133</v>
      </c>
      <c r="N13" s="31" t="s">
        <v>3134</v>
      </c>
      <c r="O13" s="31" t="s">
        <v>3544</v>
      </c>
      <c r="P13" s="31" t="s">
        <v>3135</v>
      </c>
      <c r="Q13" s="31" t="s">
        <v>3545</v>
      </c>
      <c r="R13" s="31" t="s">
        <v>3546</v>
      </c>
      <c r="S13" s="31" t="s">
        <v>3136</v>
      </c>
      <c r="T13" s="31" t="s">
        <v>3137</v>
      </c>
      <c r="U13" s="31" t="s">
        <v>3547</v>
      </c>
      <c r="V13" s="31" t="s">
        <v>3109</v>
      </c>
      <c r="W13" s="31" t="s">
        <v>3538</v>
      </c>
      <c r="X13" s="31" t="s">
        <v>3548</v>
      </c>
    </row>
    <row r="14" spans="1:24" s="30" customFormat="1" ht="187" hidden="1" x14ac:dyDescent="0.2">
      <c r="A14" s="30" t="s">
        <v>3138</v>
      </c>
      <c r="B14" s="30" t="s">
        <v>339</v>
      </c>
      <c r="C14" s="30" t="s">
        <v>336</v>
      </c>
      <c r="D14" s="30" t="s">
        <v>176</v>
      </c>
      <c r="E14" s="30" t="s">
        <v>340</v>
      </c>
      <c r="F14" s="30" t="s">
        <v>86</v>
      </c>
      <c r="G14" s="30" t="s">
        <v>3139</v>
      </c>
      <c r="H14" s="30" t="s">
        <v>3140</v>
      </c>
      <c r="I14" s="30" t="s">
        <v>3141</v>
      </c>
      <c r="J14" s="30" t="s">
        <v>3142</v>
      </c>
      <c r="K14" s="30" t="s">
        <v>3143</v>
      </c>
      <c r="L14" s="30" t="s">
        <v>3144</v>
      </c>
      <c r="M14" s="30" t="s">
        <v>3145</v>
      </c>
      <c r="N14" s="30" t="s">
        <v>3651</v>
      </c>
      <c r="O14" s="30" t="s">
        <v>3146</v>
      </c>
      <c r="P14" s="30" t="s">
        <v>3147</v>
      </c>
      <c r="Q14" s="30" t="s">
        <v>3148</v>
      </c>
      <c r="R14" s="30" t="s">
        <v>3149</v>
      </c>
      <c r="S14" s="30" t="s">
        <v>3150</v>
      </c>
      <c r="T14" s="30" t="s">
        <v>3152</v>
      </c>
      <c r="U14" s="30" t="s">
        <v>3151</v>
      </c>
      <c r="V14" s="30" t="s">
        <v>3109</v>
      </c>
    </row>
    <row r="15" spans="1:24" s="30" customFormat="1" ht="187" hidden="1" x14ac:dyDescent="0.2">
      <c r="A15" s="30" t="s">
        <v>3153</v>
      </c>
      <c r="B15" s="30" t="s">
        <v>990</v>
      </c>
      <c r="C15" s="30" t="s">
        <v>987</v>
      </c>
      <c r="D15" s="30" t="s">
        <v>176</v>
      </c>
      <c r="E15" s="30" t="s">
        <v>252</v>
      </c>
      <c r="F15" s="30" t="s">
        <v>86</v>
      </c>
      <c r="G15" s="30" t="s">
        <v>3154</v>
      </c>
      <c r="H15" s="30" t="s">
        <v>3155</v>
      </c>
      <c r="I15" s="30" t="s">
        <v>3156</v>
      </c>
      <c r="J15" s="30" t="s">
        <v>3615</v>
      </c>
      <c r="K15" s="30" t="s">
        <v>3158</v>
      </c>
      <c r="L15" s="30" t="s">
        <v>3159</v>
      </c>
      <c r="M15" s="30" t="s">
        <v>3160</v>
      </c>
      <c r="N15" s="30" t="s">
        <v>3161</v>
      </c>
      <c r="O15" s="30" t="s">
        <v>3162</v>
      </c>
      <c r="P15" s="30" t="s">
        <v>3163</v>
      </c>
      <c r="Q15" s="30" t="s">
        <v>3164</v>
      </c>
      <c r="R15" s="30" t="s">
        <v>3165</v>
      </c>
      <c r="S15" s="30" t="s">
        <v>3166</v>
      </c>
      <c r="T15" s="30" t="s">
        <v>3167</v>
      </c>
      <c r="U15" s="30" t="s">
        <v>3168</v>
      </c>
      <c r="V15" s="30" t="s">
        <v>3109</v>
      </c>
    </row>
    <row r="16" spans="1:24" s="31" customFormat="1" ht="187" hidden="1" x14ac:dyDescent="0.2">
      <c r="A16" s="31" t="s">
        <v>3169</v>
      </c>
      <c r="B16" s="31" t="s">
        <v>489</v>
      </c>
      <c r="C16" s="31" t="s">
        <v>486</v>
      </c>
      <c r="D16" s="31" t="s">
        <v>121</v>
      </c>
      <c r="E16" s="31" t="s">
        <v>122</v>
      </c>
      <c r="F16" s="31" t="s">
        <v>86</v>
      </c>
      <c r="G16" s="31" t="s">
        <v>3170</v>
      </c>
      <c r="H16" s="31" t="s">
        <v>3550</v>
      </c>
      <c r="I16" s="31" t="s">
        <v>3171</v>
      </c>
      <c r="J16" s="31" t="s">
        <v>3157</v>
      </c>
      <c r="K16" s="31" t="s">
        <v>3551</v>
      </c>
      <c r="L16" s="31" t="s">
        <v>3552</v>
      </c>
      <c r="M16" s="31" t="s">
        <v>3553</v>
      </c>
      <c r="N16" s="31" t="s">
        <v>3652</v>
      </c>
      <c r="O16" s="31" t="s">
        <v>3172</v>
      </c>
      <c r="P16" s="31" t="s">
        <v>3173</v>
      </c>
      <c r="Q16" s="31" t="s">
        <v>3554</v>
      </c>
      <c r="R16" s="31" t="s">
        <v>3174</v>
      </c>
      <c r="S16" s="31" t="s">
        <v>3175</v>
      </c>
      <c r="T16" s="31" t="s">
        <v>3176</v>
      </c>
      <c r="U16" s="31" t="s">
        <v>3555</v>
      </c>
      <c r="V16" s="31" t="s">
        <v>3109</v>
      </c>
      <c r="W16" s="31" t="s">
        <v>3538</v>
      </c>
      <c r="X16" s="31" t="s">
        <v>3556</v>
      </c>
    </row>
    <row r="17" spans="1:24" s="19" customFormat="1" ht="51" hidden="1" x14ac:dyDescent="0.2">
      <c r="A17" s="19" t="s">
        <v>3177</v>
      </c>
      <c r="B17" s="19" t="s">
        <v>2317</v>
      </c>
      <c r="C17" s="19" t="s">
        <v>2314</v>
      </c>
      <c r="D17" s="19" t="s">
        <v>146</v>
      </c>
      <c r="E17" s="19" t="s">
        <v>830</v>
      </c>
      <c r="F17" s="19" t="s">
        <v>2313</v>
      </c>
      <c r="U17" s="19" t="s">
        <v>2881</v>
      </c>
      <c r="V17" s="19" t="s">
        <v>3109</v>
      </c>
    </row>
    <row r="18" spans="1:24" s="30" customFormat="1" ht="170" hidden="1" x14ac:dyDescent="0.2">
      <c r="A18" s="30" t="s">
        <v>3178</v>
      </c>
      <c r="B18" s="30" t="s">
        <v>1047</v>
      </c>
      <c r="C18" s="30" t="s">
        <v>1044</v>
      </c>
      <c r="D18" s="30" t="s">
        <v>176</v>
      </c>
      <c r="E18" s="30" t="s">
        <v>1048</v>
      </c>
      <c r="F18" s="30" t="s">
        <v>86</v>
      </c>
      <c r="G18" s="30" t="s">
        <v>3179</v>
      </c>
      <c r="H18" s="30" t="s">
        <v>3180</v>
      </c>
      <c r="I18" s="30" t="s">
        <v>3181</v>
      </c>
      <c r="J18" s="30" t="s">
        <v>3184</v>
      </c>
      <c r="K18" s="30" t="s">
        <v>3558</v>
      </c>
      <c r="L18" s="30" t="s">
        <v>3182</v>
      </c>
      <c r="M18" s="30" t="s">
        <v>3183</v>
      </c>
      <c r="N18" s="30" t="s">
        <v>3653</v>
      </c>
      <c r="O18" s="30" t="s">
        <v>3185</v>
      </c>
      <c r="P18" s="30" t="s">
        <v>3186</v>
      </c>
      <c r="Q18" s="30" t="s">
        <v>3557</v>
      </c>
      <c r="R18" s="30" t="s">
        <v>3187</v>
      </c>
      <c r="S18" s="30" t="s">
        <v>3188</v>
      </c>
      <c r="T18" s="30" t="s">
        <v>3189</v>
      </c>
      <c r="U18" s="30" t="s">
        <v>3190</v>
      </c>
      <c r="V18" s="30" t="s">
        <v>3109</v>
      </c>
    </row>
    <row r="19" spans="1:24" s="30" customFormat="1" ht="238" hidden="1" x14ac:dyDescent="0.2">
      <c r="A19" s="30" t="s">
        <v>3191</v>
      </c>
      <c r="B19" s="30" t="s">
        <v>1214</v>
      </c>
      <c r="C19" s="30" t="s">
        <v>1211</v>
      </c>
      <c r="D19" s="30" t="s">
        <v>176</v>
      </c>
      <c r="E19" s="30" t="s">
        <v>368</v>
      </c>
      <c r="F19" s="30" t="s">
        <v>86</v>
      </c>
      <c r="G19" s="30" t="s">
        <v>3192</v>
      </c>
      <c r="H19" s="30" t="s">
        <v>3193</v>
      </c>
      <c r="I19" s="30" t="s">
        <v>3194</v>
      </c>
      <c r="J19" s="30" t="s">
        <v>3195</v>
      </c>
      <c r="K19" s="30" t="s">
        <v>3559</v>
      </c>
      <c r="L19" s="30" t="s">
        <v>3196</v>
      </c>
      <c r="M19" s="30" t="s">
        <v>3197</v>
      </c>
      <c r="N19" s="30" t="s">
        <v>3654</v>
      </c>
      <c r="O19" s="30" t="s">
        <v>3198</v>
      </c>
      <c r="P19" s="30" t="s">
        <v>3199</v>
      </c>
      <c r="Q19" s="30" t="s">
        <v>3200</v>
      </c>
      <c r="R19" s="30" t="s">
        <v>3201</v>
      </c>
      <c r="S19" s="30" t="s">
        <v>3202</v>
      </c>
      <c r="T19" s="30" t="s">
        <v>3203</v>
      </c>
      <c r="U19" s="30" t="s">
        <v>3204</v>
      </c>
      <c r="V19" s="30" t="s">
        <v>3109</v>
      </c>
    </row>
    <row r="20" spans="1:24" s="30" customFormat="1" ht="238" hidden="1" x14ac:dyDescent="0.2">
      <c r="A20" s="30" t="s">
        <v>3205</v>
      </c>
      <c r="B20" s="30" t="s">
        <v>2241</v>
      </c>
      <c r="C20" s="30" t="s">
        <v>2238</v>
      </c>
      <c r="D20" s="30" t="s">
        <v>146</v>
      </c>
      <c r="E20" s="30" t="s">
        <v>2242</v>
      </c>
      <c r="F20" s="30" t="s">
        <v>2260</v>
      </c>
      <c r="G20" s="30" t="s">
        <v>3206</v>
      </c>
      <c r="H20" s="30" t="s">
        <v>3207</v>
      </c>
      <c r="I20" s="30" t="s">
        <v>3208</v>
      </c>
      <c r="J20" s="30" t="s">
        <v>3209</v>
      </c>
      <c r="K20" s="30" t="s">
        <v>3210</v>
      </c>
      <c r="L20" s="30" t="s">
        <v>3211</v>
      </c>
      <c r="M20" s="30" t="s">
        <v>3212</v>
      </c>
      <c r="N20" s="30" t="s">
        <v>3213</v>
      </c>
      <c r="O20" s="30" t="s">
        <v>3214</v>
      </c>
      <c r="P20" s="30" t="s">
        <v>3215</v>
      </c>
      <c r="Q20" s="30" t="s">
        <v>3560</v>
      </c>
      <c r="R20" s="30" t="s">
        <v>3216</v>
      </c>
      <c r="S20" s="30" t="s">
        <v>3217</v>
      </c>
      <c r="T20" s="30" t="s">
        <v>3218</v>
      </c>
      <c r="U20" s="30" t="s">
        <v>3219</v>
      </c>
      <c r="V20" s="30" t="s">
        <v>3109</v>
      </c>
    </row>
    <row r="21" spans="1:24" s="30" customFormat="1" ht="255" hidden="1" x14ac:dyDescent="0.2">
      <c r="A21" s="30" t="s">
        <v>3669</v>
      </c>
      <c r="B21" s="30" t="s">
        <v>2479</v>
      </c>
      <c r="C21" s="30" t="s">
        <v>2476</v>
      </c>
      <c r="D21" s="30" t="s">
        <v>146</v>
      </c>
      <c r="E21" s="30" t="s">
        <v>923</v>
      </c>
      <c r="F21" s="30" t="s">
        <v>2313</v>
      </c>
      <c r="G21" s="30" t="s">
        <v>3220</v>
      </c>
      <c r="H21" s="30" t="s">
        <v>3561</v>
      </c>
      <c r="I21" s="30" t="s">
        <v>3221</v>
      </c>
      <c r="J21" s="30" t="s">
        <v>3222</v>
      </c>
      <c r="K21" s="30" t="s">
        <v>3562</v>
      </c>
      <c r="L21" s="30" t="s">
        <v>3223</v>
      </c>
      <c r="M21" s="30" t="s">
        <v>3224</v>
      </c>
      <c r="N21" s="30" t="s">
        <v>3655</v>
      </c>
      <c r="O21" s="30" t="s">
        <v>3563</v>
      </c>
      <c r="P21" s="30" t="s">
        <v>3225</v>
      </c>
      <c r="Q21" s="30" t="s">
        <v>3226</v>
      </c>
      <c r="R21" s="30" t="s">
        <v>3227</v>
      </c>
      <c r="S21" s="30" t="s">
        <v>3228</v>
      </c>
      <c r="T21" s="30" t="s">
        <v>3229</v>
      </c>
      <c r="U21" s="30" t="s">
        <v>3230</v>
      </c>
      <c r="V21" s="30" t="s">
        <v>3109</v>
      </c>
    </row>
    <row r="22" spans="1:24" s="19" customFormat="1" ht="51" hidden="1" x14ac:dyDescent="0.2">
      <c r="A22" s="19" t="s">
        <v>3231</v>
      </c>
      <c r="B22" s="19" t="s">
        <v>1248</v>
      </c>
      <c r="C22" s="19" t="s">
        <v>1245</v>
      </c>
      <c r="D22" s="19" t="s">
        <v>146</v>
      </c>
      <c r="E22" s="19" t="s">
        <v>56</v>
      </c>
      <c r="F22" s="19" t="s">
        <v>86</v>
      </c>
      <c r="U22" s="19" t="s">
        <v>2836</v>
      </c>
      <c r="V22" s="19" t="s">
        <v>3109</v>
      </c>
    </row>
    <row r="23" spans="1:24" s="30" customFormat="1" ht="170" hidden="1" x14ac:dyDescent="0.2">
      <c r="A23" s="30" t="s">
        <v>3232</v>
      </c>
      <c r="B23" s="30" t="s">
        <v>1399</v>
      </c>
      <c r="C23" s="30" t="s">
        <v>1396</v>
      </c>
      <c r="D23" s="30" t="s">
        <v>92</v>
      </c>
      <c r="E23" s="30" t="s">
        <v>93</v>
      </c>
      <c r="F23" s="30" t="s">
        <v>86</v>
      </c>
      <c r="G23" s="30" t="s">
        <v>3233</v>
      </c>
      <c r="H23" s="30" t="s">
        <v>3234</v>
      </c>
      <c r="I23" s="30" t="s">
        <v>3235</v>
      </c>
      <c r="J23" s="30" t="s">
        <v>3614</v>
      </c>
      <c r="K23" s="30" t="s">
        <v>3236</v>
      </c>
      <c r="L23" s="30" t="s">
        <v>3237</v>
      </c>
      <c r="M23" s="30" t="s">
        <v>3238</v>
      </c>
      <c r="N23" s="30" t="s">
        <v>3239</v>
      </c>
      <c r="O23" s="30" t="s">
        <v>3565</v>
      </c>
      <c r="P23" s="30" t="s">
        <v>3240</v>
      </c>
      <c r="Q23" s="30" t="s">
        <v>3564</v>
      </c>
      <c r="R23" s="30" t="s">
        <v>3241</v>
      </c>
      <c r="S23" s="30" t="s">
        <v>3242</v>
      </c>
      <c r="T23" s="30" t="s">
        <v>3243</v>
      </c>
      <c r="U23" s="30" t="s">
        <v>3244</v>
      </c>
      <c r="V23" s="30" t="s">
        <v>3109</v>
      </c>
    </row>
    <row r="24" spans="1:24" s="30" customFormat="1" ht="204" hidden="1" x14ac:dyDescent="0.2">
      <c r="A24" s="30" t="s">
        <v>3245</v>
      </c>
      <c r="B24" s="30" t="s">
        <v>367</v>
      </c>
      <c r="C24" s="30" t="s">
        <v>364</v>
      </c>
      <c r="D24" s="30" t="s">
        <v>176</v>
      </c>
      <c r="E24" s="30" t="s">
        <v>368</v>
      </c>
      <c r="F24" s="30" t="s">
        <v>86</v>
      </c>
      <c r="G24" s="30" t="s">
        <v>3246</v>
      </c>
      <c r="H24" s="30" t="s">
        <v>3247</v>
      </c>
      <c r="I24" s="30" t="s">
        <v>3248</v>
      </c>
      <c r="J24" s="30" t="s">
        <v>3038</v>
      </c>
      <c r="K24" s="30" t="s">
        <v>3567</v>
      </c>
      <c r="L24" s="30" t="s">
        <v>3249</v>
      </c>
      <c r="M24" s="30" t="s">
        <v>3250</v>
      </c>
      <c r="N24" s="30" t="s">
        <v>3656</v>
      </c>
      <c r="O24" s="30" t="s">
        <v>3251</v>
      </c>
      <c r="P24" s="30" t="s">
        <v>3252</v>
      </c>
      <c r="Q24" s="30" t="s">
        <v>3566</v>
      </c>
      <c r="R24" s="30" t="s">
        <v>3253</v>
      </c>
      <c r="S24" s="30" t="s">
        <v>3254</v>
      </c>
      <c r="T24" s="30" t="s">
        <v>3255</v>
      </c>
      <c r="U24" s="30" t="s">
        <v>3256</v>
      </c>
      <c r="V24" s="30" t="s">
        <v>3109</v>
      </c>
    </row>
    <row r="25" spans="1:24" s="30" customFormat="1" ht="221" hidden="1" x14ac:dyDescent="0.2">
      <c r="A25" s="30" t="s">
        <v>3257</v>
      </c>
      <c r="B25" s="30" t="s">
        <v>762</v>
      </c>
      <c r="C25" s="30" t="s">
        <v>759</v>
      </c>
      <c r="D25" s="30" t="s">
        <v>176</v>
      </c>
      <c r="E25" s="30" t="s">
        <v>252</v>
      </c>
      <c r="F25" s="30" t="s">
        <v>86</v>
      </c>
      <c r="G25" s="30" t="s">
        <v>3258</v>
      </c>
      <c r="H25" s="30" t="s">
        <v>3259</v>
      </c>
      <c r="I25" s="30" t="s">
        <v>3260</v>
      </c>
      <c r="J25" s="30" t="s">
        <v>3261</v>
      </c>
      <c r="K25" s="30" t="s">
        <v>3569</v>
      </c>
      <c r="L25" s="30" t="s">
        <v>3262</v>
      </c>
      <c r="M25" s="30" t="s">
        <v>3263</v>
      </c>
      <c r="N25" s="30" t="s">
        <v>3657</v>
      </c>
      <c r="O25" s="30" t="s">
        <v>3568</v>
      </c>
      <c r="P25" s="30" t="s">
        <v>3264</v>
      </c>
      <c r="Q25" s="30" t="s">
        <v>3265</v>
      </c>
      <c r="R25" s="30" t="s">
        <v>3266</v>
      </c>
      <c r="S25" s="30" t="s">
        <v>3267</v>
      </c>
      <c r="T25" s="30" t="s">
        <v>3268</v>
      </c>
      <c r="U25" s="30" t="s">
        <v>3269</v>
      </c>
      <c r="V25" s="30" t="s">
        <v>3109</v>
      </c>
    </row>
    <row r="26" spans="1:24" s="31" customFormat="1" ht="306" hidden="1" x14ac:dyDescent="0.2">
      <c r="A26" s="31" t="s">
        <v>3270</v>
      </c>
      <c r="B26" s="31" t="s">
        <v>1845</v>
      </c>
      <c r="C26" s="31" t="s">
        <v>1842</v>
      </c>
      <c r="D26" s="31" t="s">
        <v>146</v>
      </c>
      <c r="E26" s="31" t="s">
        <v>923</v>
      </c>
      <c r="F26" s="31" t="s">
        <v>86</v>
      </c>
      <c r="G26" s="31" t="s">
        <v>3271</v>
      </c>
      <c r="H26" s="31" t="s">
        <v>3272</v>
      </c>
      <c r="I26" s="31" t="s">
        <v>3273</v>
      </c>
      <c r="J26" s="31" t="s">
        <v>3274</v>
      </c>
      <c r="K26" s="31" t="s">
        <v>3275</v>
      </c>
      <c r="L26" s="31" t="s">
        <v>3276</v>
      </c>
      <c r="M26" s="31" t="s">
        <v>3277</v>
      </c>
      <c r="N26" s="31" t="s">
        <v>3572</v>
      </c>
      <c r="O26" s="31" t="s">
        <v>3571</v>
      </c>
      <c r="P26" s="31" t="s">
        <v>3278</v>
      </c>
      <c r="Q26" s="31" t="s">
        <v>3279</v>
      </c>
      <c r="R26" s="31" t="s">
        <v>3280</v>
      </c>
      <c r="S26" s="31" t="s">
        <v>3281</v>
      </c>
      <c r="T26" s="31" t="s">
        <v>3282</v>
      </c>
      <c r="U26" s="31" t="s">
        <v>3283</v>
      </c>
      <c r="V26" s="31" t="s">
        <v>3109</v>
      </c>
      <c r="W26" s="31" t="s">
        <v>3538</v>
      </c>
      <c r="X26" s="31" t="s">
        <v>3570</v>
      </c>
    </row>
    <row r="27" spans="1:24" s="30" customFormat="1" ht="221" hidden="1" x14ac:dyDescent="0.2">
      <c r="A27" s="30" t="s">
        <v>3284</v>
      </c>
      <c r="B27" s="30" t="s">
        <v>671</v>
      </c>
      <c r="C27" s="30" t="s">
        <v>668</v>
      </c>
      <c r="D27" s="30" t="s">
        <v>176</v>
      </c>
      <c r="E27" s="30" t="s">
        <v>672</v>
      </c>
      <c r="F27" s="30" t="s">
        <v>86</v>
      </c>
      <c r="G27" s="30" t="s">
        <v>3285</v>
      </c>
      <c r="H27" s="30" t="s">
        <v>3286</v>
      </c>
      <c r="I27" s="30" t="s">
        <v>3287</v>
      </c>
      <c r="J27" s="30" t="s">
        <v>3288</v>
      </c>
      <c r="K27" s="30" t="s">
        <v>3289</v>
      </c>
      <c r="L27" s="30" t="s">
        <v>3290</v>
      </c>
      <c r="M27" s="30" t="s">
        <v>3291</v>
      </c>
      <c r="N27" s="30" t="s">
        <v>3658</v>
      </c>
      <c r="O27" s="30" t="s">
        <v>3292</v>
      </c>
      <c r="P27" s="30" t="s">
        <v>3293</v>
      </c>
      <c r="Q27" s="30" t="s">
        <v>3294</v>
      </c>
      <c r="R27" s="30" t="s">
        <v>3295</v>
      </c>
      <c r="S27" s="30" t="s">
        <v>3296</v>
      </c>
      <c r="T27" s="30" t="s">
        <v>3297</v>
      </c>
      <c r="U27" s="30" t="s">
        <v>3298</v>
      </c>
      <c r="V27" s="30" t="s">
        <v>3109</v>
      </c>
    </row>
    <row r="28" spans="1:24" s="30" customFormat="1" ht="221" hidden="1" x14ac:dyDescent="0.2">
      <c r="A28" s="30" t="s">
        <v>3299</v>
      </c>
      <c r="B28" s="30" t="s">
        <v>1631</v>
      </c>
      <c r="C28" s="30" t="s">
        <v>1628</v>
      </c>
      <c r="D28" s="30" t="s">
        <v>176</v>
      </c>
      <c r="E28" s="30" t="s">
        <v>1632</v>
      </c>
      <c r="F28" s="30" t="s">
        <v>86</v>
      </c>
      <c r="G28" s="30" t="s">
        <v>3300</v>
      </c>
      <c r="H28" s="30" t="s">
        <v>3301</v>
      </c>
      <c r="I28" s="30" t="s">
        <v>3302</v>
      </c>
      <c r="J28" s="30" t="s">
        <v>3303</v>
      </c>
      <c r="K28" s="30" t="s">
        <v>3304</v>
      </c>
      <c r="L28" s="30" t="s">
        <v>3305</v>
      </c>
      <c r="M28" s="30" t="s">
        <v>3306</v>
      </c>
      <c r="N28" s="30" t="s">
        <v>3659</v>
      </c>
      <c r="O28" s="30" t="s">
        <v>3307</v>
      </c>
      <c r="P28" s="30" t="s">
        <v>3313</v>
      </c>
      <c r="Q28" s="30" t="s">
        <v>3308</v>
      </c>
      <c r="R28" s="30" t="s">
        <v>3309</v>
      </c>
      <c r="S28" s="30" t="s">
        <v>3310</v>
      </c>
      <c r="T28" s="30" t="s">
        <v>3311</v>
      </c>
      <c r="U28" s="30" t="s">
        <v>3312</v>
      </c>
      <c r="V28" s="30" t="s">
        <v>3109</v>
      </c>
    </row>
    <row r="29" spans="1:24" s="30" customFormat="1" ht="238" x14ac:dyDescent="0.2">
      <c r="A29" s="30" t="s">
        <v>3314</v>
      </c>
      <c r="B29" s="30" t="s">
        <v>1071</v>
      </c>
      <c r="C29" s="30" t="s">
        <v>1068</v>
      </c>
      <c r="D29" s="30" t="s">
        <v>146</v>
      </c>
      <c r="E29" s="30" t="s">
        <v>923</v>
      </c>
      <c r="F29" s="30" t="s">
        <v>86</v>
      </c>
      <c r="G29" s="30" t="s">
        <v>3315</v>
      </c>
      <c r="H29" s="30" t="s">
        <v>3316</v>
      </c>
      <c r="I29" s="30" t="s">
        <v>3317</v>
      </c>
      <c r="J29" s="30" t="s">
        <v>3318</v>
      </c>
      <c r="K29" s="30" t="s">
        <v>3319</v>
      </c>
      <c r="L29" s="30" t="s">
        <v>3320</v>
      </c>
      <c r="M29" s="30" t="s">
        <v>3321</v>
      </c>
      <c r="N29" s="30" t="s">
        <v>3660</v>
      </c>
      <c r="O29" s="30" t="s">
        <v>3322</v>
      </c>
      <c r="P29" s="30" t="s">
        <v>3573</v>
      </c>
      <c r="Q29" s="30" t="s">
        <v>3323</v>
      </c>
      <c r="R29" s="30" t="s">
        <v>3324</v>
      </c>
      <c r="S29" s="30" t="s">
        <v>3325</v>
      </c>
      <c r="T29" s="30" t="s">
        <v>3326</v>
      </c>
      <c r="U29" s="30" t="s">
        <v>3327</v>
      </c>
      <c r="V29" s="30" t="s">
        <v>3109</v>
      </c>
    </row>
    <row r="30" spans="1:24" s="31" customFormat="1" ht="289" hidden="1" x14ac:dyDescent="0.2">
      <c r="A30" s="31" t="s">
        <v>3328</v>
      </c>
      <c r="B30" s="31" t="s">
        <v>1899</v>
      </c>
      <c r="C30" s="31" t="s">
        <v>1896</v>
      </c>
      <c r="D30" s="31" t="s">
        <v>121</v>
      </c>
      <c r="E30" s="31" t="s">
        <v>1900</v>
      </c>
      <c r="F30" s="31" t="s">
        <v>86</v>
      </c>
      <c r="G30" s="31" t="s">
        <v>3329</v>
      </c>
      <c r="H30" s="31" t="s">
        <v>3574</v>
      </c>
      <c r="I30" s="31" t="s">
        <v>3575</v>
      </c>
      <c r="J30" s="31" t="s">
        <v>3576</v>
      </c>
      <c r="K30" s="31" t="s">
        <v>3577</v>
      </c>
      <c r="L30" s="31" t="s">
        <v>3578</v>
      </c>
      <c r="M30" s="31" t="s">
        <v>3579</v>
      </c>
      <c r="N30" s="31" t="s">
        <v>3580</v>
      </c>
      <c r="O30" s="31" t="s">
        <v>3581</v>
      </c>
      <c r="P30" s="31" t="s">
        <v>3582</v>
      </c>
      <c r="Q30" s="31" t="s">
        <v>3583</v>
      </c>
      <c r="R30" s="31" t="s">
        <v>3584</v>
      </c>
      <c r="S30" s="31" t="s">
        <v>3585</v>
      </c>
      <c r="T30" s="31" t="s">
        <v>3586</v>
      </c>
      <c r="U30" s="31" t="s">
        <v>3587</v>
      </c>
      <c r="V30" s="31" t="s">
        <v>3109</v>
      </c>
      <c r="W30" s="31" t="s">
        <v>3538</v>
      </c>
      <c r="X30" s="31" t="s">
        <v>3588</v>
      </c>
    </row>
    <row r="31" spans="1:24" s="30" customFormat="1" ht="187" x14ac:dyDescent="0.2">
      <c r="A31" s="30" t="s">
        <v>3330</v>
      </c>
      <c r="B31" s="30" t="s">
        <v>2593</v>
      </c>
      <c r="C31" s="30" t="s">
        <v>2590</v>
      </c>
      <c r="D31" s="30" t="s">
        <v>2594</v>
      </c>
      <c r="E31" s="30" t="s">
        <v>2595</v>
      </c>
      <c r="F31" s="30" t="s">
        <v>2551</v>
      </c>
      <c r="G31" s="30" t="s">
        <v>3331</v>
      </c>
      <c r="H31" s="30" t="s">
        <v>3332</v>
      </c>
      <c r="I31" s="30" t="s">
        <v>3333</v>
      </c>
      <c r="J31" s="30" t="s">
        <v>3589</v>
      </c>
      <c r="K31" s="30" t="s">
        <v>3334</v>
      </c>
      <c r="L31" s="30" t="s">
        <v>3335</v>
      </c>
      <c r="M31" s="30" t="s">
        <v>3336</v>
      </c>
      <c r="N31" s="30" t="s">
        <v>3337</v>
      </c>
      <c r="O31" s="30" t="s">
        <v>3338</v>
      </c>
      <c r="P31" s="30" t="s">
        <v>3339</v>
      </c>
      <c r="Q31" s="30" t="s">
        <v>3340</v>
      </c>
      <c r="R31" s="30" t="s">
        <v>3341</v>
      </c>
      <c r="S31" s="30" t="s">
        <v>3342</v>
      </c>
      <c r="T31" s="30" t="s">
        <v>3343</v>
      </c>
      <c r="U31" s="30" t="s">
        <v>3344</v>
      </c>
      <c r="V31" s="30" t="s">
        <v>3109</v>
      </c>
    </row>
    <row r="32" spans="1:24" s="30" customFormat="1" ht="170" hidden="1" x14ac:dyDescent="0.2">
      <c r="A32" s="30" t="s">
        <v>3345</v>
      </c>
      <c r="B32" s="30" t="s">
        <v>1163</v>
      </c>
      <c r="C32" s="30" t="s">
        <v>1160</v>
      </c>
      <c r="D32" s="30" t="s">
        <v>146</v>
      </c>
      <c r="E32" s="30" t="s">
        <v>1164</v>
      </c>
      <c r="F32" s="30" t="s">
        <v>86</v>
      </c>
      <c r="G32" s="30" t="s">
        <v>3346</v>
      </c>
      <c r="H32" s="30" t="s">
        <v>3347</v>
      </c>
      <c r="I32" s="30" t="s">
        <v>3348</v>
      </c>
      <c r="J32" s="30" t="s">
        <v>3081</v>
      </c>
      <c r="K32" s="30" t="s">
        <v>3349</v>
      </c>
      <c r="L32" s="30" t="s">
        <v>3350</v>
      </c>
      <c r="M32" s="30" t="s">
        <v>3351</v>
      </c>
      <c r="N32" s="30" t="s">
        <v>3352</v>
      </c>
      <c r="O32" s="30" t="s">
        <v>3353</v>
      </c>
      <c r="P32" s="30" t="s">
        <v>3354</v>
      </c>
      <c r="Q32" s="30" t="s">
        <v>3355</v>
      </c>
      <c r="R32" s="30" t="s">
        <v>3356</v>
      </c>
      <c r="S32" s="30" t="s">
        <v>3357</v>
      </c>
      <c r="T32" s="30" t="s">
        <v>3358</v>
      </c>
      <c r="U32" s="30" t="s">
        <v>3359</v>
      </c>
      <c r="V32" s="30" t="s">
        <v>3109</v>
      </c>
    </row>
    <row r="33" spans="1:25" s="19" customFormat="1" ht="34" hidden="1" x14ac:dyDescent="0.2">
      <c r="A33" s="19" t="s">
        <v>3360</v>
      </c>
      <c r="B33" s="19" t="s">
        <v>829</v>
      </c>
      <c r="C33" s="19" t="s">
        <v>826</v>
      </c>
      <c r="D33" s="19" t="s">
        <v>176</v>
      </c>
      <c r="E33" s="19" t="s">
        <v>830</v>
      </c>
      <c r="F33" s="19" t="s">
        <v>86</v>
      </c>
      <c r="U33" s="19" t="s">
        <v>2956</v>
      </c>
      <c r="V33" s="19" t="s">
        <v>3109</v>
      </c>
    </row>
    <row r="34" spans="1:25" s="30" customFormat="1" ht="289" hidden="1" x14ac:dyDescent="0.2">
      <c r="A34" s="30" t="s">
        <v>3361</v>
      </c>
      <c r="B34" s="30" t="s">
        <v>175</v>
      </c>
      <c r="C34" s="30" t="s">
        <v>172</v>
      </c>
      <c r="D34" s="30" t="s">
        <v>176</v>
      </c>
      <c r="E34" s="30" t="s">
        <v>177</v>
      </c>
      <c r="F34" s="30" t="s">
        <v>86</v>
      </c>
      <c r="G34" s="30" t="s">
        <v>3362</v>
      </c>
      <c r="H34" s="30" t="s">
        <v>3363</v>
      </c>
      <c r="I34" s="30" t="s">
        <v>3364</v>
      </c>
      <c r="J34" s="30" t="s">
        <v>3038</v>
      </c>
      <c r="K34" s="30" t="s">
        <v>3365</v>
      </c>
      <c r="L34" s="30" t="s">
        <v>3366</v>
      </c>
      <c r="M34" s="30" t="s">
        <v>3590</v>
      </c>
      <c r="N34" s="30" t="s">
        <v>3661</v>
      </c>
      <c r="O34" s="30" t="s">
        <v>3367</v>
      </c>
      <c r="P34" s="30" t="s">
        <v>3368</v>
      </c>
      <c r="Q34" s="30" t="s">
        <v>3369</v>
      </c>
      <c r="R34" s="30" t="s">
        <v>3370</v>
      </c>
      <c r="S34" s="30" t="s">
        <v>3371</v>
      </c>
      <c r="T34" s="30" t="s">
        <v>3372</v>
      </c>
      <c r="U34" s="30" t="s">
        <v>3373</v>
      </c>
      <c r="V34" s="30" t="s">
        <v>3109</v>
      </c>
    </row>
    <row r="35" spans="1:25" s="30" customFormat="1" ht="238" hidden="1" x14ac:dyDescent="0.2">
      <c r="A35" s="30" t="s">
        <v>3374</v>
      </c>
      <c r="B35" s="30" t="s">
        <v>471</v>
      </c>
      <c r="C35" s="30" t="s">
        <v>468</v>
      </c>
      <c r="D35" s="30" t="s">
        <v>176</v>
      </c>
      <c r="E35" s="30" t="s">
        <v>252</v>
      </c>
      <c r="F35" s="30" t="s">
        <v>86</v>
      </c>
      <c r="G35" s="30" t="s">
        <v>3375</v>
      </c>
      <c r="H35" s="30" t="s">
        <v>3376</v>
      </c>
      <c r="I35" s="30" t="s">
        <v>3377</v>
      </c>
      <c r="J35" s="30" t="s">
        <v>3038</v>
      </c>
      <c r="K35" s="30" t="s">
        <v>3378</v>
      </c>
      <c r="L35" s="30" t="s">
        <v>3379</v>
      </c>
      <c r="M35" s="30" t="s">
        <v>3380</v>
      </c>
      <c r="N35" s="30" t="s">
        <v>3662</v>
      </c>
      <c r="O35" s="30" t="s">
        <v>3381</v>
      </c>
      <c r="P35" s="30" t="s">
        <v>3591</v>
      </c>
      <c r="Q35" s="30" t="s">
        <v>3382</v>
      </c>
      <c r="R35" s="30" t="s">
        <v>3383</v>
      </c>
      <c r="S35" s="30" t="s">
        <v>3384</v>
      </c>
      <c r="T35" s="30" t="s">
        <v>3592</v>
      </c>
      <c r="U35" s="30" t="s">
        <v>3385</v>
      </c>
      <c r="V35" s="30" t="s">
        <v>3109</v>
      </c>
    </row>
    <row r="36" spans="1:25" s="30" customFormat="1" ht="238" hidden="1" x14ac:dyDescent="0.2">
      <c r="A36" s="30" t="s">
        <v>3386</v>
      </c>
      <c r="B36" s="30" t="s">
        <v>251</v>
      </c>
      <c r="C36" s="30" t="s">
        <v>248</v>
      </c>
      <c r="D36" s="30" t="s">
        <v>176</v>
      </c>
      <c r="E36" s="30" t="s">
        <v>252</v>
      </c>
      <c r="F36" s="30" t="s">
        <v>86</v>
      </c>
      <c r="G36" s="30" t="s">
        <v>3387</v>
      </c>
      <c r="H36" s="30" t="s">
        <v>3388</v>
      </c>
      <c r="I36" s="30" t="s">
        <v>3389</v>
      </c>
      <c r="J36" s="30" t="s">
        <v>3390</v>
      </c>
      <c r="K36" s="30" t="s">
        <v>3391</v>
      </c>
      <c r="L36" s="30" t="s">
        <v>3392</v>
      </c>
      <c r="M36" s="30" t="s">
        <v>3393</v>
      </c>
      <c r="N36" s="30" t="s">
        <v>3394</v>
      </c>
      <c r="O36" s="30" t="s">
        <v>3663</v>
      </c>
      <c r="P36" s="30" t="s">
        <v>3594</v>
      </c>
      <c r="Q36" s="30" t="s">
        <v>3593</v>
      </c>
      <c r="R36" s="30" t="s">
        <v>3395</v>
      </c>
      <c r="S36" s="30" t="s">
        <v>3396</v>
      </c>
      <c r="T36" s="30" t="s">
        <v>3397</v>
      </c>
      <c r="U36" s="30" t="s">
        <v>3398</v>
      </c>
      <c r="V36" s="30" t="s">
        <v>3109</v>
      </c>
    </row>
    <row r="37" spans="1:25" s="30" customFormat="1" ht="323" hidden="1" x14ac:dyDescent="0.2">
      <c r="A37" s="30" t="s">
        <v>3412</v>
      </c>
      <c r="B37" s="30" t="s">
        <v>2454</v>
      </c>
      <c r="C37" s="30" t="s">
        <v>2451</v>
      </c>
      <c r="D37" s="30" t="s">
        <v>2455</v>
      </c>
      <c r="E37" s="30" t="s">
        <v>2456</v>
      </c>
      <c r="F37" s="30" t="s">
        <v>2313</v>
      </c>
      <c r="G37" s="30" t="s">
        <v>3399</v>
      </c>
      <c r="H37" s="30" t="s">
        <v>3400</v>
      </c>
      <c r="I37" s="30" t="s">
        <v>3401</v>
      </c>
      <c r="J37" s="30" t="s">
        <v>3402</v>
      </c>
      <c r="K37" s="30" t="s">
        <v>3403</v>
      </c>
      <c r="L37" s="30" t="s">
        <v>3404</v>
      </c>
      <c r="M37" s="30" t="s">
        <v>3405</v>
      </c>
      <c r="N37" s="30" t="s">
        <v>3406</v>
      </c>
      <c r="O37" s="30" t="s">
        <v>3407</v>
      </c>
      <c r="P37" s="30" t="s">
        <v>3596</v>
      </c>
      <c r="Q37" s="30" t="s">
        <v>3595</v>
      </c>
      <c r="R37" s="30" t="s">
        <v>3408</v>
      </c>
      <c r="S37" s="30" t="s">
        <v>3409</v>
      </c>
      <c r="T37" s="30" t="s">
        <v>3410</v>
      </c>
      <c r="U37" s="30" t="s">
        <v>3411</v>
      </c>
      <c r="V37" s="30" t="s">
        <v>3109</v>
      </c>
    </row>
    <row r="38" spans="1:25" s="30" customFormat="1" ht="238" hidden="1" x14ac:dyDescent="0.2">
      <c r="A38" s="30" t="s">
        <v>3412</v>
      </c>
      <c r="B38" s="30" t="s">
        <v>91</v>
      </c>
      <c r="C38" s="30" t="s">
        <v>88</v>
      </c>
      <c r="D38" s="30" t="s">
        <v>92</v>
      </c>
      <c r="E38" s="30" t="s">
        <v>93</v>
      </c>
      <c r="F38" s="30" t="s">
        <v>86</v>
      </c>
      <c r="G38" s="30" t="s">
        <v>3413</v>
      </c>
      <c r="H38" s="30" t="s">
        <v>3414</v>
      </c>
      <c r="I38" s="30" t="s">
        <v>3415</v>
      </c>
      <c r="J38" s="30" t="s">
        <v>3038</v>
      </c>
      <c r="K38" s="30" t="s">
        <v>3416</v>
      </c>
      <c r="L38" s="30" t="s">
        <v>3417</v>
      </c>
      <c r="M38" s="30" t="s">
        <v>3418</v>
      </c>
      <c r="N38" s="30" t="s">
        <v>3419</v>
      </c>
      <c r="O38" s="30" t="s">
        <v>3420</v>
      </c>
      <c r="P38" s="30" t="s">
        <v>3421</v>
      </c>
      <c r="Q38" s="30" t="s">
        <v>3422</v>
      </c>
      <c r="R38" s="30" t="s">
        <v>3423</v>
      </c>
      <c r="S38" s="30" t="s">
        <v>3424</v>
      </c>
      <c r="T38" s="30" t="s">
        <v>3425</v>
      </c>
      <c r="U38" s="30" t="s">
        <v>3426</v>
      </c>
      <c r="V38" s="30" t="s">
        <v>3109</v>
      </c>
    </row>
    <row r="39" spans="1:25" s="30" customFormat="1" ht="289" hidden="1" x14ac:dyDescent="0.2">
      <c r="A39" s="30" t="s">
        <v>3427</v>
      </c>
      <c r="B39" s="30" t="s">
        <v>145</v>
      </c>
      <c r="C39" s="30" t="s">
        <v>142</v>
      </c>
      <c r="D39" s="30" t="s">
        <v>146</v>
      </c>
      <c r="E39" s="30" t="s">
        <v>147</v>
      </c>
      <c r="F39" s="30" t="s">
        <v>86</v>
      </c>
      <c r="G39" s="30" t="s">
        <v>3428</v>
      </c>
      <c r="H39" s="30" t="s">
        <v>3429</v>
      </c>
      <c r="I39" s="30" t="s">
        <v>3430</v>
      </c>
      <c r="J39" s="30" t="s">
        <v>3038</v>
      </c>
      <c r="K39" s="30" t="s">
        <v>3599</v>
      </c>
      <c r="L39" s="30" t="s">
        <v>3431</v>
      </c>
      <c r="M39" s="30" t="s">
        <v>3432</v>
      </c>
      <c r="N39" s="30" t="s">
        <v>3664</v>
      </c>
      <c r="O39" s="30" t="s">
        <v>3597</v>
      </c>
      <c r="P39" s="30" t="s">
        <v>3433</v>
      </c>
      <c r="Q39" s="30" t="s">
        <v>3598</v>
      </c>
      <c r="R39" s="30" t="s">
        <v>3434</v>
      </c>
      <c r="S39" s="30" t="s">
        <v>3435</v>
      </c>
      <c r="T39" s="30" t="s">
        <v>3436</v>
      </c>
      <c r="U39" s="30" t="s">
        <v>3437</v>
      </c>
      <c r="V39" s="30" t="s">
        <v>3109</v>
      </c>
    </row>
    <row r="40" spans="1:25" s="30" customFormat="1" ht="221" hidden="1" x14ac:dyDescent="0.2">
      <c r="A40" s="30" t="s">
        <v>3438</v>
      </c>
      <c r="B40" s="30" t="s">
        <v>2662</v>
      </c>
      <c r="C40" s="30" t="s">
        <v>2659</v>
      </c>
      <c r="D40" s="30" t="s">
        <v>146</v>
      </c>
      <c r="E40" s="30" t="s">
        <v>391</v>
      </c>
      <c r="F40" s="30" t="s">
        <v>2635</v>
      </c>
      <c r="G40" s="30" t="s">
        <v>3439</v>
      </c>
      <c r="H40" s="30" t="s">
        <v>3440</v>
      </c>
      <c r="I40" s="30" t="s">
        <v>3441</v>
      </c>
      <c r="J40" s="30" t="s">
        <v>3038</v>
      </c>
      <c r="K40" s="30" t="s">
        <v>3601</v>
      </c>
      <c r="L40" s="30" t="s">
        <v>3442</v>
      </c>
      <c r="M40" s="30" t="s">
        <v>3443</v>
      </c>
      <c r="N40" s="30" t="s">
        <v>3444</v>
      </c>
      <c r="O40" s="30" t="s">
        <v>3445</v>
      </c>
      <c r="P40" s="30" t="s">
        <v>3446</v>
      </c>
      <c r="Q40" s="30" t="s">
        <v>3600</v>
      </c>
      <c r="R40" s="30" t="s">
        <v>3447</v>
      </c>
      <c r="S40" s="30" t="s">
        <v>3448</v>
      </c>
      <c r="T40" s="30" t="s">
        <v>3449</v>
      </c>
      <c r="U40" s="30" t="s">
        <v>3450</v>
      </c>
      <c r="V40" s="30" t="s">
        <v>3109</v>
      </c>
    </row>
    <row r="41" spans="1:25" s="30" customFormat="1" ht="356" hidden="1" x14ac:dyDescent="0.2">
      <c r="A41" s="30" t="s">
        <v>3451</v>
      </c>
      <c r="B41" s="30" t="s">
        <v>1922</v>
      </c>
      <c r="C41" s="30" t="s">
        <v>1919</v>
      </c>
      <c r="D41" s="30" t="s">
        <v>1879</v>
      </c>
      <c r="E41" s="30" t="s">
        <v>1923</v>
      </c>
      <c r="F41" s="30" t="s">
        <v>86</v>
      </c>
      <c r="G41" s="30" t="s">
        <v>3452</v>
      </c>
      <c r="H41" s="30" t="s">
        <v>3453</v>
      </c>
      <c r="I41" s="30" t="s">
        <v>3666</v>
      </c>
      <c r="J41" s="30" t="s">
        <v>3665</v>
      </c>
      <c r="K41" s="30" t="s">
        <v>3454</v>
      </c>
      <c r="L41" s="30" t="s">
        <v>3455</v>
      </c>
      <c r="M41" s="30" t="s">
        <v>3456</v>
      </c>
      <c r="N41" s="30" t="s">
        <v>3457</v>
      </c>
      <c r="O41" s="30" t="s">
        <v>3458</v>
      </c>
      <c r="P41" s="30" t="s">
        <v>3459</v>
      </c>
      <c r="Q41" s="30" t="s">
        <v>3602</v>
      </c>
      <c r="R41" s="30" t="s">
        <v>3460</v>
      </c>
      <c r="S41" s="30" t="s">
        <v>3461</v>
      </c>
      <c r="T41" s="30" t="s">
        <v>3462</v>
      </c>
      <c r="U41" s="30" t="s">
        <v>3463</v>
      </c>
      <c r="V41" s="30" t="s">
        <v>3109</v>
      </c>
      <c r="W41" s="30" t="s">
        <v>3538</v>
      </c>
      <c r="X41" s="30" t="s">
        <v>3667</v>
      </c>
    </row>
    <row r="42" spans="1:25" s="30" customFormat="1" ht="238" hidden="1" x14ac:dyDescent="0.2">
      <c r="A42" s="30" t="s">
        <v>3464</v>
      </c>
      <c r="B42" s="30" t="s">
        <v>1822</v>
      </c>
      <c r="C42" s="30" t="s">
        <v>1819</v>
      </c>
      <c r="D42" s="30" t="s">
        <v>92</v>
      </c>
      <c r="E42" s="30" t="s">
        <v>1164</v>
      </c>
      <c r="F42" s="30" t="s">
        <v>86</v>
      </c>
      <c r="G42" s="30" t="s">
        <v>3465</v>
      </c>
      <c r="H42" s="30" t="s">
        <v>3466</v>
      </c>
      <c r="I42" s="30" t="s">
        <v>3467</v>
      </c>
      <c r="J42" s="30" t="s">
        <v>3468</v>
      </c>
      <c r="K42" s="30" t="s">
        <v>3469</v>
      </c>
      <c r="L42" s="30" t="s">
        <v>3470</v>
      </c>
      <c r="M42" s="30" t="s">
        <v>3471</v>
      </c>
      <c r="N42" s="30" t="s">
        <v>3472</v>
      </c>
      <c r="O42" s="30" t="s">
        <v>3473</v>
      </c>
      <c r="P42" s="30" t="s">
        <v>3474</v>
      </c>
      <c r="Q42" s="30" t="s">
        <v>3603</v>
      </c>
      <c r="R42" s="30" t="s">
        <v>3475</v>
      </c>
      <c r="S42" s="30" t="s">
        <v>3476</v>
      </c>
      <c r="T42" s="30" t="s">
        <v>3477</v>
      </c>
      <c r="U42" s="30" t="s">
        <v>3478</v>
      </c>
      <c r="V42" s="30" t="s">
        <v>3109</v>
      </c>
    </row>
    <row r="43" spans="1:25" s="31" customFormat="1" ht="306" hidden="1" x14ac:dyDescent="0.2">
      <c r="A43" s="31" t="s">
        <v>3479</v>
      </c>
      <c r="B43" s="31" t="s">
        <v>1580</v>
      </c>
      <c r="C43" s="31" t="s">
        <v>1577</v>
      </c>
      <c r="D43" s="31" t="s">
        <v>55</v>
      </c>
      <c r="E43" s="31" t="s">
        <v>1581</v>
      </c>
      <c r="F43" s="31" t="s">
        <v>86</v>
      </c>
      <c r="G43" s="31" t="s">
        <v>3480</v>
      </c>
      <c r="H43" s="31" t="s">
        <v>3481</v>
      </c>
      <c r="I43" s="31" t="s">
        <v>3605</v>
      </c>
      <c r="J43" s="31" t="s">
        <v>3604</v>
      </c>
      <c r="K43" s="31" t="s">
        <v>3606</v>
      </c>
      <c r="L43" s="31" t="s">
        <v>3607</v>
      </c>
      <c r="M43" s="31" t="s">
        <v>3482</v>
      </c>
      <c r="N43" s="31" t="s">
        <v>3608</v>
      </c>
      <c r="O43" s="31" t="s">
        <v>3483</v>
      </c>
      <c r="P43" s="31" t="s">
        <v>3609</v>
      </c>
      <c r="Q43" s="31" t="s">
        <v>3613</v>
      </c>
      <c r="R43" s="31" t="s">
        <v>3610</v>
      </c>
      <c r="S43" s="31" t="s">
        <v>3484</v>
      </c>
      <c r="T43" s="31" t="s">
        <v>3611</v>
      </c>
      <c r="U43" s="31" t="s">
        <v>3485</v>
      </c>
      <c r="V43" s="31" t="s">
        <v>3109</v>
      </c>
      <c r="W43" s="31" t="s">
        <v>3538</v>
      </c>
      <c r="X43" s="31" t="s">
        <v>3612</v>
      </c>
      <c r="Y43" s="33" t="s">
        <v>3620</v>
      </c>
    </row>
    <row r="44" spans="1:25" s="31" customFormat="1" ht="204" hidden="1" x14ac:dyDescent="0.2">
      <c r="A44" s="31" t="s">
        <v>3486</v>
      </c>
      <c r="B44" s="31" t="s">
        <v>1766</v>
      </c>
      <c r="C44" s="31" t="s">
        <v>1577</v>
      </c>
      <c r="D44" s="31" t="s">
        <v>146</v>
      </c>
      <c r="E44" s="31" t="s">
        <v>923</v>
      </c>
      <c r="F44" s="31" t="s">
        <v>86</v>
      </c>
      <c r="G44" s="31" t="s">
        <v>3480</v>
      </c>
      <c r="H44" s="31" t="s">
        <v>3487</v>
      </c>
      <c r="I44" s="31" t="s">
        <v>3616</v>
      </c>
      <c r="J44" s="31" t="s">
        <v>3604</v>
      </c>
      <c r="K44" s="31" t="s">
        <v>3617</v>
      </c>
      <c r="L44" s="31" t="s">
        <v>3488</v>
      </c>
      <c r="M44" s="31" t="s">
        <v>3489</v>
      </c>
      <c r="N44" s="31" t="s">
        <v>3618</v>
      </c>
      <c r="O44" s="31" t="s">
        <v>3490</v>
      </c>
      <c r="P44" s="31" t="s">
        <v>3491</v>
      </c>
      <c r="Q44" s="31" t="s">
        <v>3492</v>
      </c>
      <c r="R44" s="31" t="s">
        <v>3493</v>
      </c>
      <c r="S44" s="31" t="s">
        <v>3494</v>
      </c>
      <c r="T44" s="31" t="s">
        <v>3495</v>
      </c>
      <c r="U44" s="31" t="s">
        <v>3496</v>
      </c>
      <c r="V44" s="31" t="s">
        <v>3109</v>
      </c>
      <c r="W44" s="31" t="s">
        <v>3538</v>
      </c>
      <c r="X44" s="31" t="s">
        <v>3619</v>
      </c>
      <c r="Y44" s="34"/>
    </row>
    <row r="45" spans="1:25" s="31" customFormat="1" ht="289" hidden="1" x14ac:dyDescent="0.2">
      <c r="A45" s="31" t="s">
        <v>3497</v>
      </c>
      <c r="B45" s="31" t="s">
        <v>741</v>
      </c>
      <c r="C45" s="31" t="s">
        <v>738</v>
      </c>
      <c r="D45" s="31" t="s">
        <v>92</v>
      </c>
      <c r="E45" s="31" t="s">
        <v>742</v>
      </c>
      <c r="F45" s="31" t="s">
        <v>86</v>
      </c>
      <c r="G45" s="31" t="s">
        <v>3498</v>
      </c>
      <c r="H45" s="31" t="s">
        <v>3499</v>
      </c>
      <c r="I45" s="31" t="s">
        <v>3623</v>
      </c>
      <c r="J45" s="31" t="s">
        <v>3622</v>
      </c>
      <c r="K45" s="31" t="s">
        <v>3629</v>
      </c>
      <c r="L45" s="31" t="s">
        <v>3624</v>
      </c>
      <c r="M45" s="31" t="s">
        <v>3625</v>
      </c>
      <c r="N45" s="31" t="s">
        <v>3626</v>
      </c>
      <c r="O45" s="31" t="s">
        <v>3500</v>
      </c>
      <c r="P45" s="31" t="s">
        <v>3501</v>
      </c>
      <c r="Q45" s="31" t="s">
        <v>3502</v>
      </c>
      <c r="R45" s="31" t="s">
        <v>3503</v>
      </c>
      <c r="S45" s="31" t="s">
        <v>3627</v>
      </c>
      <c r="T45" s="31" t="s">
        <v>3504</v>
      </c>
      <c r="U45" s="31" t="s">
        <v>3628</v>
      </c>
      <c r="V45" s="31" t="s">
        <v>3109</v>
      </c>
      <c r="W45" s="31" t="s">
        <v>3538</v>
      </c>
      <c r="X45" s="31" t="s">
        <v>3621</v>
      </c>
    </row>
    <row r="46" spans="1:25" s="19" customFormat="1" ht="17" hidden="1" x14ac:dyDescent="0.2">
      <c r="A46" s="19" t="s">
        <v>3505</v>
      </c>
      <c r="B46" s="19" t="s">
        <v>1128</v>
      </c>
      <c r="C46" s="19" t="s">
        <v>1125</v>
      </c>
      <c r="D46" s="19" t="s">
        <v>146</v>
      </c>
      <c r="E46" s="19" t="s">
        <v>1129</v>
      </c>
      <c r="F46" s="19" t="s">
        <v>86</v>
      </c>
      <c r="U46" s="19" t="s">
        <v>2860</v>
      </c>
      <c r="V46" s="19" t="s">
        <v>3109</v>
      </c>
    </row>
    <row r="47" spans="1:25" s="31" customFormat="1" ht="221" hidden="1" x14ac:dyDescent="0.2">
      <c r="A47" s="31" t="s">
        <v>3506</v>
      </c>
      <c r="B47" s="31" t="s">
        <v>1307</v>
      </c>
      <c r="C47" s="31" t="s">
        <v>1304</v>
      </c>
      <c r="D47" s="31" t="s">
        <v>146</v>
      </c>
      <c r="E47" s="31" t="s">
        <v>1308</v>
      </c>
      <c r="F47" s="31" t="s">
        <v>86</v>
      </c>
      <c r="G47" s="31" t="s">
        <v>3507</v>
      </c>
      <c r="H47" s="31" t="s">
        <v>3635</v>
      </c>
      <c r="I47" s="31" t="s">
        <v>3508</v>
      </c>
      <c r="J47" s="31" t="s">
        <v>3038</v>
      </c>
      <c r="K47" s="31" t="s">
        <v>3636</v>
      </c>
      <c r="L47" s="31" t="s">
        <v>3634</v>
      </c>
      <c r="M47" s="31" t="s">
        <v>3509</v>
      </c>
      <c r="N47" s="31" t="s">
        <v>3633</v>
      </c>
      <c r="O47" s="31" t="s">
        <v>3510</v>
      </c>
      <c r="P47" s="31" t="s">
        <v>3511</v>
      </c>
      <c r="Q47" s="31" t="s">
        <v>3630</v>
      </c>
      <c r="R47" s="31" t="s">
        <v>3632</v>
      </c>
      <c r="S47" s="31" t="s">
        <v>3512</v>
      </c>
      <c r="T47" s="31" t="s">
        <v>3513</v>
      </c>
      <c r="U47" s="31" t="s">
        <v>3514</v>
      </c>
      <c r="V47" s="31" t="s">
        <v>3109</v>
      </c>
      <c r="W47" s="31" t="s">
        <v>3538</v>
      </c>
      <c r="X47" s="31" t="s">
        <v>3631</v>
      </c>
    </row>
    <row r="48" spans="1:25" s="30" customFormat="1" ht="187" hidden="1" x14ac:dyDescent="0.2">
      <c r="A48" s="30" t="s">
        <v>3515</v>
      </c>
      <c r="B48" s="30" t="s">
        <v>573</v>
      </c>
      <c r="C48" s="30" t="s">
        <v>570</v>
      </c>
      <c r="D48" s="30" t="s">
        <v>176</v>
      </c>
      <c r="E48" s="30" t="s">
        <v>252</v>
      </c>
      <c r="F48" s="30" t="s">
        <v>86</v>
      </c>
      <c r="G48" s="30" t="s">
        <v>3516</v>
      </c>
      <c r="H48" s="30" t="s">
        <v>3517</v>
      </c>
      <c r="I48" s="30" t="s">
        <v>3518</v>
      </c>
      <c r="J48" s="30" t="s">
        <v>3519</v>
      </c>
      <c r="K48" s="30" t="s">
        <v>3639</v>
      </c>
      <c r="L48" s="30" t="s">
        <v>3520</v>
      </c>
      <c r="M48" s="30" t="s">
        <v>3638</v>
      </c>
      <c r="N48" s="30" t="s">
        <v>3521</v>
      </c>
      <c r="O48" s="30" t="s">
        <v>3522</v>
      </c>
      <c r="P48" s="30" t="s">
        <v>3523</v>
      </c>
      <c r="Q48" s="30" t="s">
        <v>3637</v>
      </c>
      <c r="R48" s="30" t="s">
        <v>3524</v>
      </c>
      <c r="S48" s="30" t="s">
        <v>3525</v>
      </c>
      <c r="T48" s="30" t="s">
        <v>3526</v>
      </c>
      <c r="U48" s="30" t="s">
        <v>3527</v>
      </c>
      <c r="V48" s="30" t="s">
        <v>3109</v>
      </c>
    </row>
  </sheetData>
  <autoFilter ref="A1:A48" xr:uid="{E1C55CAC-BCE0-7842-A5FA-DAD4490DC97C}">
    <filterColumn colId="0">
      <filters>
        <filter val="plum"/>
        <filter val="rocktaschel"/>
      </filters>
    </filterColumn>
  </autoFilter>
  <mergeCells count="1">
    <mergeCell ref="Y43:Y4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AF744-DA82-F746-A216-161C4A07AA9D}">
  <sheetPr filterMode="1"/>
  <dimension ref="A1:Y48"/>
  <sheetViews>
    <sheetView topLeftCell="A15" zoomScale="140" zoomScaleNormal="200" workbookViewId="0">
      <pane xSplit="1" topLeftCell="B1" activePane="topRight" state="frozen"/>
      <selection pane="topRight" activeCell="A22" sqref="A22"/>
    </sheetView>
  </sheetViews>
  <sheetFormatPr baseColWidth="10" defaultRowHeight="16" x14ac:dyDescent="0.2"/>
  <cols>
    <col min="1" max="1" width="13.6640625" style="10" customWidth="1"/>
    <col min="2" max="2" width="105.83203125" style="10" bestFit="1" customWidth="1"/>
    <col min="3" max="3" width="63.83203125" style="10" bestFit="1" customWidth="1"/>
    <col min="4" max="4" width="10.83203125" style="10"/>
    <col min="5" max="5" width="163.6640625" style="10" bestFit="1" customWidth="1"/>
    <col min="6" max="6" width="10.83203125" style="10"/>
    <col min="7" max="7" width="14.5" style="10" customWidth="1"/>
    <col min="8" max="8" width="35.83203125" style="10" customWidth="1"/>
    <col min="9" max="9" width="25.5" style="10" bestFit="1" customWidth="1"/>
    <col min="10" max="10" width="39.6640625" style="10" bestFit="1" customWidth="1"/>
    <col min="11" max="11" width="33.5" style="10" customWidth="1"/>
    <col min="12" max="12" width="51.33203125" style="10" customWidth="1"/>
    <col min="13" max="13" width="36.6640625" style="10" customWidth="1"/>
    <col min="14" max="14" width="103.6640625" style="10" bestFit="1" customWidth="1"/>
    <col min="15" max="15" width="29" style="10" customWidth="1"/>
    <col min="16" max="16" width="18.1640625" style="10" customWidth="1"/>
    <col min="17" max="17" width="23.5" style="10" customWidth="1"/>
    <col min="18" max="18" width="34.5" style="10" customWidth="1"/>
    <col min="19" max="19" width="36.83203125" style="10" customWidth="1"/>
    <col min="20" max="20" width="35.1640625" style="10" customWidth="1"/>
    <col min="21" max="21" width="49.83203125" style="10" customWidth="1"/>
    <col min="22" max="23" width="10.83203125" style="10"/>
    <col min="24" max="24" width="28.83203125" style="10" customWidth="1"/>
    <col min="25" max="16384" width="10.83203125" style="10"/>
  </cols>
  <sheetData>
    <row r="1" spans="1:24" s="29" customFormat="1" ht="34" x14ac:dyDescent="0.2">
      <c r="A1" s="29" t="s">
        <v>2973</v>
      </c>
      <c r="B1" s="29" t="s">
        <v>2974</v>
      </c>
      <c r="C1" s="29" t="s">
        <v>2975</v>
      </c>
      <c r="D1" s="29" t="s">
        <v>2976</v>
      </c>
      <c r="E1" s="29" t="s">
        <v>2977</v>
      </c>
      <c r="F1" s="29" t="s">
        <v>2978</v>
      </c>
      <c r="G1" s="29" t="s">
        <v>2989</v>
      </c>
      <c r="H1" s="29" t="s">
        <v>2980</v>
      </c>
      <c r="I1" s="29" t="s">
        <v>2995</v>
      </c>
      <c r="J1" s="29" t="s">
        <v>2992</v>
      </c>
      <c r="K1" s="29" t="s">
        <v>2981</v>
      </c>
      <c r="L1" s="29" t="s">
        <v>2982</v>
      </c>
      <c r="M1" s="29" t="s">
        <v>2983</v>
      </c>
      <c r="N1" s="29" t="s">
        <v>2993</v>
      </c>
      <c r="O1" s="29" t="s">
        <v>2984</v>
      </c>
      <c r="P1" s="29" t="s">
        <v>2991</v>
      </c>
      <c r="Q1" s="29" t="s">
        <v>2996</v>
      </c>
      <c r="R1" s="29" t="s">
        <v>2985</v>
      </c>
      <c r="S1" s="29" t="s">
        <v>2986</v>
      </c>
      <c r="T1" s="29" t="s">
        <v>2987</v>
      </c>
      <c r="U1" s="29" t="s">
        <v>2979</v>
      </c>
      <c r="V1" s="29" t="s">
        <v>3107</v>
      </c>
    </row>
    <row r="2" spans="1:24" s="30" customFormat="1" ht="170" hidden="1" x14ac:dyDescent="0.2">
      <c r="A2" s="30" t="s">
        <v>2988</v>
      </c>
      <c r="B2" s="30" t="s">
        <v>886</v>
      </c>
      <c r="C2" s="30" t="s">
        <v>883</v>
      </c>
      <c r="D2" s="30" t="s">
        <v>146</v>
      </c>
      <c r="E2" s="30" t="s">
        <v>887</v>
      </c>
      <c r="F2" s="30" t="s">
        <v>86</v>
      </c>
      <c r="G2" s="30" t="s">
        <v>2990</v>
      </c>
      <c r="H2" s="30" t="s">
        <v>2997</v>
      </c>
      <c r="I2" s="30" t="s">
        <v>2998</v>
      </c>
      <c r="J2" s="30" t="s">
        <v>1685</v>
      </c>
      <c r="K2" s="30" t="s">
        <v>3023</v>
      </c>
      <c r="L2" s="30" t="s">
        <v>2999</v>
      </c>
      <c r="M2" s="30" t="s">
        <v>3000</v>
      </c>
      <c r="N2" s="30" t="s">
        <v>3640</v>
      </c>
      <c r="O2" s="30" t="s">
        <v>2994</v>
      </c>
      <c r="P2" s="30" t="s">
        <v>3006</v>
      </c>
      <c r="Q2" s="30" t="s">
        <v>3005</v>
      </c>
      <c r="R2" s="30" t="s">
        <v>3001</v>
      </c>
      <c r="S2" s="30" t="s">
        <v>3002</v>
      </c>
      <c r="T2" s="30" t="s">
        <v>3003</v>
      </c>
      <c r="U2" s="30" t="s">
        <v>3004</v>
      </c>
      <c r="V2" s="30" t="s">
        <v>3108</v>
      </c>
    </row>
    <row r="3" spans="1:24" s="30" customFormat="1" ht="170" hidden="1" x14ac:dyDescent="0.2">
      <c r="A3" s="30" t="s">
        <v>3007</v>
      </c>
      <c r="B3" s="30" t="s">
        <v>1709</v>
      </c>
      <c r="C3" s="30" t="s">
        <v>1706</v>
      </c>
      <c r="D3" s="30" t="s">
        <v>92</v>
      </c>
      <c r="E3" s="30" t="s">
        <v>1710</v>
      </c>
      <c r="F3" s="30" t="s">
        <v>86</v>
      </c>
      <c r="G3" s="30" t="s">
        <v>3008</v>
      </c>
      <c r="H3" s="30" t="s">
        <v>3009</v>
      </c>
      <c r="I3" s="30" t="s">
        <v>3010</v>
      </c>
      <c r="J3" s="30" t="s">
        <v>1685</v>
      </c>
      <c r="K3" s="30" t="s">
        <v>3022</v>
      </c>
      <c r="L3" s="30" t="s">
        <v>3011</v>
      </c>
      <c r="M3" s="30" t="s">
        <v>3012</v>
      </c>
      <c r="N3" s="30" t="s">
        <v>3641</v>
      </c>
      <c r="O3" s="30" t="s">
        <v>3013</v>
      </c>
      <c r="P3" s="30" t="s">
        <v>3014</v>
      </c>
      <c r="Q3" s="30" t="s">
        <v>3020</v>
      </c>
      <c r="R3" s="30" t="s">
        <v>3015</v>
      </c>
      <c r="S3" s="30" t="s">
        <v>3016</v>
      </c>
      <c r="T3" s="30" t="s">
        <v>3017</v>
      </c>
      <c r="U3" s="30" t="s">
        <v>3018</v>
      </c>
      <c r="V3" s="30" t="s">
        <v>3108</v>
      </c>
    </row>
    <row r="4" spans="1:24" s="30" customFormat="1" ht="170" hidden="1" x14ac:dyDescent="0.2">
      <c r="A4" s="30" t="s">
        <v>3019</v>
      </c>
      <c r="B4" s="30" t="s">
        <v>1436</v>
      </c>
      <c r="C4" s="30" t="s">
        <v>1433</v>
      </c>
      <c r="D4" s="30" t="s">
        <v>146</v>
      </c>
      <c r="E4" s="30" t="s">
        <v>1437</v>
      </c>
      <c r="F4" s="30" t="s">
        <v>86</v>
      </c>
      <c r="G4" s="30" t="s">
        <v>3021</v>
      </c>
      <c r="H4" s="30" t="s">
        <v>3024</v>
      </c>
      <c r="I4" s="30" t="s">
        <v>3025</v>
      </c>
      <c r="J4" s="30" t="s">
        <v>1685</v>
      </c>
      <c r="K4" s="30" t="s">
        <v>3026</v>
      </c>
      <c r="L4" s="30" t="s">
        <v>3027</v>
      </c>
      <c r="M4" s="30" t="s">
        <v>3644</v>
      </c>
      <c r="N4" s="30" t="s">
        <v>3642</v>
      </c>
      <c r="O4" s="30" t="s">
        <v>3028</v>
      </c>
      <c r="P4" s="30" t="s">
        <v>3029</v>
      </c>
      <c r="Q4" s="30" t="s">
        <v>3643</v>
      </c>
      <c r="R4" s="30" t="s">
        <v>3030</v>
      </c>
      <c r="S4" s="30" t="s">
        <v>3031</v>
      </c>
      <c r="T4" s="30" t="s">
        <v>3032</v>
      </c>
      <c r="U4" s="30" t="s">
        <v>3033</v>
      </c>
      <c r="V4" s="30" t="s">
        <v>3108</v>
      </c>
    </row>
    <row r="5" spans="1:24" s="30" customFormat="1" ht="136" hidden="1" x14ac:dyDescent="0.2">
      <c r="A5" s="30" t="s">
        <v>3034</v>
      </c>
      <c r="B5" s="30" t="s">
        <v>904</v>
      </c>
      <c r="C5" s="30" t="s">
        <v>901</v>
      </c>
      <c r="D5" s="30" t="s">
        <v>146</v>
      </c>
      <c r="E5" s="30" t="s">
        <v>905</v>
      </c>
      <c r="F5" s="30" t="s">
        <v>86</v>
      </c>
      <c r="G5" s="30" t="s">
        <v>3035</v>
      </c>
      <c r="H5" s="30" t="s">
        <v>3036</v>
      </c>
      <c r="I5" s="30" t="s">
        <v>3037</v>
      </c>
      <c r="J5" s="30" t="s">
        <v>3038</v>
      </c>
      <c r="K5" s="30" t="s">
        <v>3039</v>
      </c>
      <c r="L5" s="30" t="s">
        <v>3040</v>
      </c>
      <c r="M5" s="30" t="s">
        <v>3041</v>
      </c>
      <c r="N5" s="30" t="s">
        <v>3042</v>
      </c>
      <c r="O5" s="30" t="s">
        <v>3043</v>
      </c>
      <c r="P5" s="30" t="s">
        <v>3044</v>
      </c>
      <c r="Q5" s="30" t="s">
        <v>3045</v>
      </c>
      <c r="R5" s="30" t="s">
        <v>3046</v>
      </c>
      <c r="S5" s="30" t="s">
        <v>3047</v>
      </c>
      <c r="T5" s="30" t="s">
        <v>3048</v>
      </c>
      <c r="U5" s="30" t="s">
        <v>3049</v>
      </c>
      <c r="V5" s="30" t="s">
        <v>3108</v>
      </c>
    </row>
    <row r="6" spans="1:24" s="30" customFormat="1" ht="204" hidden="1" x14ac:dyDescent="0.2">
      <c r="A6" s="30" t="s">
        <v>3050</v>
      </c>
      <c r="B6" s="30" t="s">
        <v>2027</v>
      </c>
      <c r="C6" s="30" t="s">
        <v>2024</v>
      </c>
      <c r="D6" s="30" t="s">
        <v>92</v>
      </c>
      <c r="E6" s="30" t="s">
        <v>252</v>
      </c>
      <c r="F6" s="30" t="s">
        <v>86</v>
      </c>
      <c r="G6" s="30" t="s">
        <v>3051</v>
      </c>
      <c r="H6" s="30" t="s">
        <v>3645</v>
      </c>
      <c r="I6" s="30" t="s">
        <v>3052</v>
      </c>
      <c r="J6" s="30" t="s">
        <v>3053</v>
      </c>
      <c r="K6" s="30" t="s">
        <v>3054</v>
      </c>
      <c r="L6" s="30" t="s">
        <v>3055</v>
      </c>
      <c r="M6" s="30" t="s">
        <v>3056</v>
      </c>
      <c r="N6" s="30" t="s">
        <v>3646</v>
      </c>
      <c r="O6" s="30" t="s">
        <v>3057</v>
      </c>
      <c r="P6" s="30" t="s">
        <v>3058</v>
      </c>
      <c r="Q6" s="30" t="s">
        <v>3059</v>
      </c>
      <c r="R6" s="30" t="s">
        <v>3060</v>
      </c>
      <c r="S6" s="30" t="s">
        <v>3061</v>
      </c>
      <c r="T6" s="30" t="s">
        <v>3062</v>
      </c>
      <c r="U6" s="30" t="s">
        <v>3063</v>
      </c>
      <c r="V6" s="30" t="s">
        <v>3108</v>
      </c>
    </row>
    <row r="7" spans="1:24" s="19" customFormat="1" ht="17" hidden="1" x14ac:dyDescent="0.2">
      <c r="A7" s="19" t="s">
        <v>3064</v>
      </c>
      <c r="B7" s="19" t="s">
        <v>1797</v>
      </c>
      <c r="C7" s="19" t="s">
        <v>1794</v>
      </c>
      <c r="D7" s="19" t="s">
        <v>176</v>
      </c>
      <c r="E7" s="19" t="s">
        <v>830</v>
      </c>
      <c r="F7" s="19" t="s">
        <v>86</v>
      </c>
    </row>
    <row r="8" spans="1:24" s="30" customFormat="1" ht="136" hidden="1" x14ac:dyDescent="0.2">
      <c r="A8" s="30" t="s">
        <v>3065</v>
      </c>
      <c r="B8" s="30" t="s">
        <v>2723</v>
      </c>
      <c r="C8" s="30" t="s">
        <v>2720</v>
      </c>
      <c r="D8" s="30" t="s">
        <v>176</v>
      </c>
      <c r="E8" s="30" t="s">
        <v>454</v>
      </c>
      <c r="F8" s="30" t="s">
        <v>2635</v>
      </c>
      <c r="G8" s="30" t="s">
        <v>3066</v>
      </c>
      <c r="H8" s="30" t="s">
        <v>3067</v>
      </c>
      <c r="I8" s="30" t="s">
        <v>3068</v>
      </c>
      <c r="J8" s="30" t="s">
        <v>3038</v>
      </c>
      <c r="K8" s="30" t="s">
        <v>3069</v>
      </c>
      <c r="L8" s="30" t="s">
        <v>3070</v>
      </c>
      <c r="M8" s="30" t="s">
        <v>3529</v>
      </c>
      <c r="N8" s="30" t="s">
        <v>3071</v>
      </c>
      <c r="O8" s="30" t="s">
        <v>3072</v>
      </c>
      <c r="P8" s="30" t="s">
        <v>3528</v>
      </c>
      <c r="Q8" s="30" t="s">
        <v>3073</v>
      </c>
      <c r="R8" s="30" t="s">
        <v>3074</v>
      </c>
      <c r="S8" s="30" t="s">
        <v>3075</v>
      </c>
      <c r="T8" s="30" t="s">
        <v>3076</v>
      </c>
      <c r="U8" s="30" t="s">
        <v>3077</v>
      </c>
      <c r="V8" s="30" t="s">
        <v>3108</v>
      </c>
    </row>
    <row r="9" spans="1:24" s="30" customFormat="1" ht="136" hidden="1" x14ac:dyDescent="0.2">
      <c r="A9" s="30" t="s">
        <v>3078</v>
      </c>
      <c r="B9" s="30" t="s">
        <v>2261</v>
      </c>
      <c r="C9" s="30" t="s">
        <v>553</v>
      </c>
      <c r="D9" s="30" t="s">
        <v>146</v>
      </c>
      <c r="E9" s="30" t="s">
        <v>229</v>
      </c>
      <c r="F9" s="30" t="s">
        <v>2260</v>
      </c>
      <c r="G9" s="30" t="s">
        <v>3079</v>
      </c>
      <c r="H9" s="30" t="s">
        <v>3531</v>
      </c>
      <c r="I9" s="30" t="s">
        <v>3080</v>
      </c>
      <c r="J9" s="30" t="s">
        <v>3081</v>
      </c>
      <c r="K9" s="30" t="s">
        <v>3082</v>
      </c>
      <c r="L9" s="30" t="s">
        <v>3083</v>
      </c>
      <c r="M9" s="30" t="s">
        <v>3084</v>
      </c>
      <c r="N9" s="30" t="s">
        <v>3647</v>
      </c>
      <c r="O9" s="30" t="s">
        <v>3085</v>
      </c>
      <c r="P9" s="30" t="s">
        <v>3086</v>
      </c>
      <c r="Q9" s="30" t="s">
        <v>3087</v>
      </c>
      <c r="R9" s="30" t="s">
        <v>3530</v>
      </c>
      <c r="S9" s="30" t="s">
        <v>3088</v>
      </c>
      <c r="T9" s="30" t="s">
        <v>3089</v>
      </c>
      <c r="U9" s="30" t="s">
        <v>3090</v>
      </c>
      <c r="V9" s="30" t="s">
        <v>3108</v>
      </c>
    </row>
    <row r="10" spans="1:24" s="30" customFormat="1" ht="238" hidden="1" x14ac:dyDescent="0.2">
      <c r="A10" s="30" t="s">
        <v>3091</v>
      </c>
      <c r="B10" s="30" t="s">
        <v>627</v>
      </c>
      <c r="C10" s="30" t="s">
        <v>624</v>
      </c>
      <c r="D10" s="30" t="s">
        <v>176</v>
      </c>
      <c r="E10" s="30" t="s">
        <v>628</v>
      </c>
      <c r="F10" s="30" t="s">
        <v>86</v>
      </c>
      <c r="G10" s="30" t="s">
        <v>3092</v>
      </c>
      <c r="H10" s="30" t="s">
        <v>3093</v>
      </c>
      <c r="I10" s="30" t="s">
        <v>3094</v>
      </c>
      <c r="J10" s="30" t="s">
        <v>3095</v>
      </c>
      <c r="K10" s="30" t="s">
        <v>3096</v>
      </c>
      <c r="L10" s="30" t="s">
        <v>3097</v>
      </c>
      <c r="M10" s="30" t="s">
        <v>3098</v>
      </c>
      <c r="N10" s="30" t="s">
        <v>3648</v>
      </c>
      <c r="O10" s="30" t="s">
        <v>3099</v>
      </c>
      <c r="P10" s="30" t="s">
        <v>3100</v>
      </c>
      <c r="Q10" s="30" t="s">
        <v>3101</v>
      </c>
      <c r="R10" s="30" t="s">
        <v>3102</v>
      </c>
      <c r="S10" s="30" t="s">
        <v>3103</v>
      </c>
      <c r="T10" s="30" t="s">
        <v>3104</v>
      </c>
      <c r="U10" s="30" t="s">
        <v>3105</v>
      </c>
      <c r="V10" s="30" t="s">
        <v>3109</v>
      </c>
    </row>
    <row r="11" spans="1:24" s="31" customFormat="1" ht="255" hidden="1" x14ac:dyDescent="0.2">
      <c r="A11" s="31" t="s">
        <v>3106</v>
      </c>
      <c r="B11" s="31" t="s">
        <v>322</v>
      </c>
      <c r="C11" s="31" t="s">
        <v>319</v>
      </c>
      <c r="D11" s="31" t="s">
        <v>55</v>
      </c>
      <c r="E11" s="31" t="s">
        <v>323</v>
      </c>
      <c r="F11" s="31" t="s">
        <v>86</v>
      </c>
      <c r="G11" s="31" t="s">
        <v>3110</v>
      </c>
      <c r="H11" s="31" t="s">
        <v>3111</v>
      </c>
      <c r="I11" s="31" t="s">
        <v>3112</v>
      </c>
      <c r="J11" s="31" t="s">
        <v>3095</v>
      </c>
      <c r="K11" s="31" t="s">
        <v>3533</v>
      </c>
      <c r="L11" s="31" t="s">
        <v>3534</v>
      </c>
      <c r="M11" s="31" t="s">
        <v>3113</v>
      </c>
      <c r="N11" s="31" t="s">
        <v>3649</v>
      </c>
      <c r="O11" s="31" t="s">
        <v>3532</v>
      </c>
      <c r="P11" s="31" t="s">
        <v>3535</v>
      </c>
      <c r="Q11" s="31" t="s">
        <v>3114</v>
      </c>
      <c r="R11" s="31" t="s">
        <v>3536</v>
      </c>
      <c r="S11" s="31" t="s">
        <v>3115</v>
      </c>
      <c r="T11" s="31" t="s">
        <v>3537</v>
      </c>
      <c r="U11" s="31" t="s">
        <v>3539</v>
      </c>
      <c r="V11" s="31" t="s">
        <v>3109</v>
      </c>
      <c r="W11" s="31" t="s">
        <v>3538</v>
      </c>
      <c r="X11" s="31" t="s">
        <v>3549</v>
      </c>
    </row>
    <row r="12" spans="1:24" s="30" customFormat="1" ht="187" hidden="1" x14ac:dyDescent="0.2">
      <c r="A12" s="30" t="s">
        <v>3116</v>
      </c>
      <c r="B12" s="30" t="s">
        <v>2683</v>
      </c>
      <c r="C12" s="30" t="s">
        <v>2680</v>
      </c>
      <c r="D12" s="30" t="s">
        <v>146</v>
      </c>
      <c r="E12" s="30" t="s">
        <v>2684</v>
      </c>
      <c r="F12" s="30" t="s">
        <v>2635</v>
      </c>
      <c r="G12" s="30" t="s">
        <v>3117</v>
      </c>
      <c r="H12" s="30" t="s">
        <v>3118</v>
      </c>
      <c r="I12" s="30" t="s">
        <v>3119</v>
      </c>
      <c r="J12" s="30" t="s">
        <v>3120</v>
      </c>
      <c r="K12" s="30" t="s">
        <v>3121</v>
      </c>
      <c r="L12" s="30" t="s">
        <v>3122</v>
      </c>
      <c r="M12" s="30" t="s">
        <v>3540</v>
      </c>
      <c r="N12" s="30" t="s">
        <v>3650</v>
      </c>
      <c r="O12" s="30" t="s">
        <v>3123</v>
      </c>
      <c r="P12" s="30" t="s">
        <v>3124</v>
      </c>
      <c r="Q12" s="30" t="s">
        <v>3125</v>
      </c>
      <c r="R12" s="30" t="s">
        <v>3126</v>
      </c>
      <c r="S12" s="30" t="s">
        <v>3127</v>
      </c>
      <c r="T12" s="30" t="s">
        <v>3128</v>
      </c>
      <c r="U12" s="30" t="s">
        <v>3129</v>
      </c>
      <c r="V12" s="30" t="s">
        <v>3109</v>
      </c>
    </row>
    <row r="13" spans="1:24" s="31" customFormat="1" ht="187" hidden="1" x14ac:dyDescent="0.2">
      <c r="A13" s="31" t="s">
        <v>3130</v>
      </c>
      <c r="B13" s="31" t="s">
        <v>1487</v>
      </c>
      <c r="C13" s="31" t="s">
        <v>1484</v>
      </c>
      <c r="D13" s="31" t="s">
        <v>176</v>
      </c>
      <c r="E13" s="31" t="s">
        <v>1488</v>
      </c>
      <c r="F13" s="31" t="s">
        <v>86</v>
      </c>
      <c r="G13" s="31" t="s">
        <v>3131</v>
      </c>
      <c r="H13" s="31" t="s">
        <v>3541</v>
      </c>
      <c r="I13" s="31" t="s">
        <v>3132</v>
      </c>
      <c r="J13" s="31" t="s">
        <v>3038</v>
      </c>
      <c r="K13" s="31" t="s">
        <v>3542</v>
      </c>
      <c r="L13" s="31" t="s">
        <v>3543</v>
      </c>
      <c r="M13" s="31" t="s">
        <v>3133</v>
      </c>
      <c r="N13" s="31" t="s">
        <v>3134</v>
      </c>
      <c r="O13" s="31" t="s">
        <v>3544</v>
      </c>
      <c r="P13" s="31" t="s">
        <v>3135</v>
      </c>
      <c r="Q13" s="31" t="s">
        <v>3545</v>
      </c>
      <c r="R13" s="31" t="s">
        <v>3546</v>
      </c>
      <c r="S13" s="31" t="s">
        <v>3136</v>
      </c>
      <c r="T13" s="31" t="s">
        <v>3137</v>
      </c>
      <c r="U13" s="31" t="s">
        <v>3547</v>
      </c>
      <c r="V13" s="31" t="s">
        <v>3109</v>
      </c>
      <c r="W13" s="31" t="s">
        <v>3538</v>
      </c>
      <c r="X13" s="31" t="s">
        <v>3548</v>
      </c>
    </row>
    <row r="14" spans="1:24" s="30" customFormat="1" ht="187" hidden="1" x14ac:dyDescent="0.2">
      <c r="A14" s="30" t="s">
        <v>3138</v>
      </c>
      <c r="B14" s="30" t="s">
        <v>339</v>
      </c>
      <c r="C14" s="30" t="s">
        <v>336</v>
      </c>
      <c r="D14" s="30" t="s">
        <v>176</v>
      </c>
      <c r="E14" s="30" t="s">
        <v>340</v>
      </c>
      <c r="F14" s="30" t="s">
        <v>86</v>
      </c>
      <c r="G14" s="30" t="s">
        <v>3139</v>
      </c>
      <c r="H14" s="30" t="s">
        <v>3140</v>
      </c>
      <c r="I14" s="30" t="s">
        <v>3141</v>
      </c>
      <c r="J14" s="30" t="s">
        <v>3142</v>
      </c>
      <c r="K14" s="30" t="s">
        <v>3143</v>
      </c>
      <c r="L14" s="30" t="s">
        <v>3144</v>
      </c>
      <c r="M14" s="30" t="s">
        <v>3145</v>
      </c>
      <c r="N14" s="30" t="s">
        <v>3651</v>
      </c>
      <c r="O14" s="30" t="s">
        <v>3146</v>
      </c>
      <c r="P14" s="30" t="s">
        <v>3147</v>
      </c>
      <c r="Q14" s="30" t="s">
        <v>3148</v>
      </c>
      <c r="R14" s="30" t="s">
        <v>3149</v>
      </c>
      <c r="S14" s="30" t="s">
        <v>3150</v>
      </c>
      <c r="T14" s="30" t="s">
        <v>3152</v>
      </c>
      <c r="U14" s="30" t="s">
        <v>3151</v>
      </c>
      <c r="V14" s="30" t="s">
        <v>3109</v>
      </c>
    </row>
    <row r="15" spans="1:24" s="30" customFormat="1" ht="187" x14ac:dyDescent="0.2">
      <c r="A15" s="30" t="s">
        <v>3153</v>
      </c>
      <c r="B15" s="30" t="s">
        <v>990</v>
      </c>
      <c r="C15" s="30" t="s">
        <v>987</v>
      </c>
      <c r="D15" s="30" t="s">
        <v>176</v>
      </c>
      <c r="E15" s="30" t="s">
        <v>252</v>
      </c>
      <c r="F15" s="30" t="s">
        <v>86</v>
      </c>
      <c r="G15" s="30" t="s">
        <v>3154</v>
      </c>
      <c r="H15" s="30" t="s">
        <v>3155</v>
      </c>
      <c r="I15" s="30" t="s">
        <v>3156</v>
      </c>
      <c r="J15" s="30" t="s">
        <v>3615</v>
      </c>
      <c r="K15" s="30" t="s">
        <v>3158</v>
      </c>
      <c r="L15" s="30" t="s">
        <v>3159</v>
      </c>
      <c r="M15" s="30" t="s">
        <v>3160</v>
      </c>
      <c r="N15" s="30" t="s">
        <v>3161</v>
      </c>
      <c r="O15" s="30" t="s">
        <v>3162</v>
      </c>
      <c r="P15" s="30" t="s">
        <v>3163</v>
      </c>
      <c r="Q15" s="30" t="s">
        <v>3164</v>
      </c>
      <c r="R15" s="30" t="s">
        <v>3165</v>
      </c>
      <c r="S15" s="30" t="s">
        <v>3166</v>
      </c>
      <c r="T15" s="30" t="s">
        <v>3167</v>
      </c>
      <c r="U15" s="30" t="s">
        <v>3168</v>
      </c>
      <c r="V15" s="30" t="s">
        <v>3109</v>
      </c>
    </row>
    <row r="16" spans="1:24" s="31" customFormat="1" ht="187" hidden="1" x14ac:dyDescent="0.2">
      <c r="A16" s="31" t="s">
        <v>3169</v>
      </c>
      <c r="B16" s="31" t="s">
        <v>489</v>
      </c>
      <c r="C16" s="31" t="s">
        <v>486</v>
      </c>
      <c r="D16" s="31" t="s">
        <v>121</v>
      </c>
      <c r="E16" s="31" t="s">
        <v>122</v>
      </c>
      <c r="F16" s="31" t="s">
        <v>86</v>
      </c>
      <c r="G16" s="31" t="s">
        <v>3170</v>
      </c>
      <c r="H16" s="31" t="s">
        <v>3550</v>
      </c>
      <c r="I16" s="31" t="s">
        <v>3171</v>
      </c>
      <c r="J16" s="31" t="s">
        <v>3157</v>
      </c>
      <c r="K16" s="31" t="s">
        <v>3551</v>
      </c>
      <c r="L16" s="31" t="s">
        <v>3552</v>
      </c>
      <c r="M16" s="31" t="s">
        <v>3553</v>
      </c>
      <c r="N16" s="31" t="s">
        <v>3652</v>
      </c>
      <c r="O16" s="31" t="s">
        <v>3172</v>
      </c>
      <c r="P16" s="31" t="s">
        <v>3173</v>
      </c>
      <c r="Q16" s="31" t="s">
        <v>3554</v>
      </c>
      <c r="R16" s="31" t="s">
        <v>3174</v>
      </c>
      <c r="S16" s="31" t="s">
        <v>3175</v>
      </c>
      <c r="T16" s="31" t="s">
        <v>3176</v>
      </c>
      <c r="U16" s="31" t="s">
        <v>3555</v>
      </c>
      <c r="V16" s="31" t="s">
        <v>3109</v>
      </c>
      <c r="W16" s="31" t="s">
        <v>3538</v>
      </c>
      <c r="X16" s="31" t="s">
        <v>3556</v>
      </c>
    </row>
    <row r="17" spans="1:24" s="19" customFormat="1" ht="51" hidden="1" x14ac:dyDescent="0.2">
      <c r="A17" s="19" t="s">
        <v>3177</v>
      </c>
      <c r="B17" s="19" t="s">
        <v>2317</v>
      </c>
      <c r="C17" s="19" t="s">
        <v>2314</v>
      </c>
      <c r="D17" s="19" t="s">
        <v>146</v>
      </c>
      <c r="E17" s="19" t="s">
        <v>830</v>
      </c>
      <c r="F17" s="19" t="s">
        <v>2313</v>
      </c>
      <c r="U17" s="19" t="s">
        <v>2881</v>
      </c>
      <c r="V17" s="19" t="s">
        <v>3109</v>
      </c>
    </row>
    <row r="18" spans="1:24" s="30" customFormat="1" ht="170" hidden="1" x14ac:dyDescent="0.2">
      <c r="A18" s="30" t="s">
        <v>3178</v>
      </c>
      <c r="B18" s="30" t="s">
        <v>1047</v>
      </c>
      <c r="C18" s="30" t="s">
        <v>1044</v>
      </c>
      <c r="D18" s="30" t="s">
        <v>176</v>
      </c>
      <c r="E18" s="30" t="s">
        <v>1048</v>
      </c>
      <c r="F18" s="30" t="s">
        <v>86</v>
      </c>
      <c r="G18" s="30" t="s">
        <v>3179</v>
      </c>
      <c r="H18" s="30" t="s">
        <v>3180</v>
      </c>
      <c r="I18" s="30" t="s">
        <v>3181</v>
      </c>
      <c r="J18" s="30" t="s">
        <v>3184</v>
      </c>
      <c r="K18" s="30" t="s">
        <v>3558</v>
      </c>
      <c r="L18" s="30" t="s">
        <v>3182</v>
      </c>
      <c r="M18" s="30" t="s">
        <v>3183</v>
      </c>
      <c r="N18" s="30" t="s">
        <v>3653</v>
      </c>
      <c r="O18" s="30" t="s">
        <v>3185</v>
      </c>
      <c r="P18" s="30" t="s">
        <v>3186</v>
      </c>
      <c r="Q18" s="30" t="s">
        <v>3557</v>
      </c>
      <c r="R18" s="30" t="s">
        <v>3187</v>
      </c>
      <c r="S18" s="30" t="s">
        <v>3188</v>
      </c>
      <c r="T18" s="30" t="s">
        <v>3189</v>
      </c>
      <c r="U18" s="30" t="s">
        <v>3190</v>
      </c>
      <c r="V18" s="30" t="s">
        <v>3109</v>
      </c>
    </row>
    <row r="19" spans="1:24" s="30" customFormat="1" ht="238" hidden="1" x14ac:dyDescent="0.2">
      <c r="A19" s="30" t="s">
        <v>3191</v>
      </c>
      <c r="B19" s="30" t="s">
        <v>1214</v>
      </c>
      <c r="C19" s="30" t="s">
        <v>1211</v>
      </c>
      <c r="D19" s="30" t="s">
        <v>176</v>
      </c>
      <c r="E19" s="30" t="s">
        <v>368</v>
      </c>
      <c r="F19" s="30" t="s">
        <v>86</v>
      </c>
      <c r="G19" s="30" t="s">
        <v>3192</v>
      </c>
      <c r="H19" s="30" t="s">
        <v>3193</v>
      </c>
      <c r="I19" s="30" t="s">
        <v>3194</v>
      </c>
      <c r="J19" s="30" t="s">
        <v>3195</v>
      </c>
      <c r="K19" s="30" t="s">
        <v>3559</v>
      </c>
      <c r="L19" s="30" t="s">
        <v>3196</v>
      </c>
      <c r="M19" s="30" t="s">
        <v>3197</v>
      </c>
      <c r="N19" s="30" t="s">
        <v>3654</v>
      </c>
      <c r="O19" s="30" t="s">
        <v>3198</v>
      </c>
      <c r="P19" s="30" t="s">
        <v>3199</v>
      </c>
      <c r="Q19" s="30" t="s">
        <v>3200</v>
      </c>
      <c r="R19" s="30" t="s">
        <v>3201</v>
      </c>
      <c r="S19" s="30" t="s">
        <v>3202</v>
      </c>
      <c r="T19" s="30" t="s">
        <v>3203</v>
      </c>
      <c r="U19" s="30" t="s">
        <v>3204</v>
      </c>
      <c r="V19" s="30" t="s">
        <v>3109</v>
      </c>
    </row>
    <row r="20" spans="1:24" s="30" customFormat="1" ht="238" hidden="1" x14ac:dyDescent="0.2">
      <c r="A20" s="30" t="s">
        <v>3205</v>
      </c>
      <c r="B20" s="30" t="s">
        <v>2241</v>
      </c>
      <c r="C20" s="30" t="s">
        <v>2238</v>
      </c>
      <c r="D20" s="30" t="s">
        <v>146</v>
      </c>
      <c r="E20" s="30" t="s">
        <v>2242</v>
      </c>
      <c r="F20" s="30" t="s">
        <v>2260</v>
      </c>
      <c r="G20" s="30" t="s">
        <v>3206</v>
      </c>
      <c r="H20" s="30" t="s">
        <v>3207</v>
      </c>
      <c r="I20" s="30" t="s">
        <v>3208</v>
      </c>
      <c r="J20" s="30" t="s">
        <v>3209</v>
      </c>
      <c r="K20" s="30" t="s">
        <v>3210</v>
      </c>
      <c r="L20" s="30" t="s">
        <v>3211</v>
      </c>
      <c r="M20" s="30" t="s">
        <v>3212</v>
      </c>
      <c r="N20" s="30" t="s">
        <v>3213</v>
      </c>
      <c r="O20" s="30" t="s">
        <v>3214</v>
      </c>
      <c r="P20" s="30" t="s">
        <v>3215</v>
      </c>
      <c r="Q20" s="30" t="s">
        <v>3560</v>
      </c>
      <c r="R20" s="30" t="s">
        <v>3216</v>
      </c>
      <c r="S20" s="30" t="s">
        <v>3217</v>
      </c>
      <c r="T20" s="30" t="s">
        <v>3218</v>
      </c>
      <c r="U20" s="30" t="s">
        <v>3219</v>
      </c>
      <c r="V20" s="30" t="s">
        <v>3109</v>
      </c>
    </row>
    <row r="21" spans="1:24" s="30" customFormat="1" ht="255" hidden="1" x14ac:dyDescent="0.2">
      <c r="A21" s="30" t="s">
        <v>3669</v>
      </c>
      <c r="B21" s="30" t="s">
        <v>2479</v>
      </c>
      <c r="C21" s="30" t="s">
        <v>2476</v>
      </c>
      <c r="D21" s="30" t="s">
        <v>146</v>
      </c>
      <c r="E21" s="30" t="s">
        <v>923</v>
      </c>
      <c r="F21" s="30" t="s">
        <v>2313</v>
      </c>
      <c r="G21" s="30" t="s">
        <v>3220</v>
      </c>
      <c r="H21" s="30" t="s">
        <v>3561</v>
      </c>
      <c r="I21" s="30" t="s">
        <v>3221</v>
      </c>
      <c r="J21" s="30" t="s">
        <v>3222</v>
      </c>
      <c r="K21" s="30" t="s">
        <v>3562</v>
      </c>
      <c r="L21" s="30" t="s">
        <v>3223</v>
      </c>
      <c r="M21" s="30" t="s">
        <v>3224</v>
      </c>
      <c r="N21" s="30" t="s">
        <v>3655</v>
      </c>
      <c r="O21" s="30" t="s">
        <v>3563</v>
      </c>
      <c r="P21" s="30" t="s">
        <v>3225</v>
      </c>
      <c r="Q21" s="30" t="s">
        <v>3226</v>
      </c>
      <c r="R21" s="30" t="s">
        <v>3227</v>
      </c>
      <c r="S21" s="30" t="s">
        <v>3228</v>
      </c>
      <c r="T21" s="30" t="s">
        <v>3229</v>
      </c>
      <c r="U21" s="30" t="s">
        <v>3230</v>
      </c>
      <c r="V21" s="30" t="s">
        <v>3109</v>
      </c>
    </row>
    <row r="22" spans="1:24" s="19" customFormat="1" ht="51" hidden="1" x14ac:dyDescent="0.2">
      <c r="A22" s="19" t="s">
        <v>3231</v>
      </c>
      <c r="B22" s="19" t="s">
        <v>1248</v>
      </c>
      <c r="C22" s="19" t="s">
        <v>1245</v>
      </c>
      <c r="D22" s="19" t="s">
        <v>146</v>
      </c>
      <c r="E22" s="19" t="s">
        <v>56</v>
      </c>
      <c r="F22" s="19" t="s">
        <v>86</v>
      </c>
      <c r="U22" s="19" t="s">
        <v>2836</v>
      </c>
      <c r="V22" s="19" t="s">
        <v>3109</v>
      </c>
    </row>
    <row r="23" spans="1:24" s="30" customFormat="1" ht="170" hidden="1" x14ac:dyDescent="0.2">
      <c r="A23" s="30" t="s">
        <v>3232</v>
      </c>
      <c r="B23" s="30" t="s">
        <v>1399</v>
      </c>
      <c r="C23" s="30" t="s">
        <v>1396</v>
      </c>
      <c r="D23" s="30" t="s">
        <v>92</v>
      </c>
      <c r="E23" s="30" t="s">
        <v>93</v>
      </c>
      <c r="F23" s="30" t="s">
        <v>86</v>
      </c>
      <c r="G23" s="30" t="s">
        <v>3233</v>
      </c>
      <c r="H23" s="30" t="s">
        <v>3234</v>
      </c>
      <c r="I23" s="30" t="s">
        <v>3235</v>
      </c>
      <c r="J23" s="30" t="s">
        <v>3614</v>
      </c>
      <c r="K23" s="30" t="s">
        <v>3236</v>
      </c>
      <c r="L23" s="30" t="s">
        <v>3237</v>
      </c>
      <c r="M23" s="30" t="s">
        <v>3238</v>
      </c>
      <c r="N23" s="30" t="s">
        <v>3239</v>
      </c>
      <c r="O23" s="30" t="s">
        <v>3565</v>
      </c>
      <c r="P23" s="30" t="s">
        <v>3240</v>
      </c>
      <c r="Q23" s="30" t="s">
        <v>3564</v>
      </c>
      <c r="R23" s="30" t="s">
        <v>3241</v>
      </c>
      <c r="S23" s="30" t="s">
        <v>3242</v>
      </c>
      <c r="T23" s="30" t="s">
        <v>3243</v>
      </c>
      <c r="U23" s="30" t="s">
        <v>3244</v>
      </c>
      <c r="V23" s="30" t="s">
        <v>3109</v>
      </c>
    </row>
    <row r="24" spans="1:24" s="30" customFormat="1" ht="204" hidden="1" x14ac:dyDescent="0.2">
      <c r="A24" s="30" t="s">
        <v>3245</v>
      </c>
      <c r="B24" s="30" t="s">
        <v>367</v>
      </c>
      <c r="C24" s="30" t="s">
        <v>364</v>
      </c>
      <c r="D24" s="30" t="s">
        <v>176</v>
      </c>
      <c r="E24" s="30" t="s">
        <v>368</v>
      </c>
      <c r="F24" s="30" t="s">
        <v>86</v>
      </c>
      <c r="G24" s="30" t="s">
        <v>3246</v>
      </c>
      <c r="H24" s="30" t="s">
        <v>3247</v>
      </c>
      <c r="I24" s="30" t="s">
        <v>3248</v>
      </c>
      <c r="J24" s="30" t="s">
        <v>3038</v>
      </c>
      <c r="K24" s="30" t="s">
        <v>3567</v>
      </c>
      <c r="L24" s="30" t="s">
        <v>3249</v>
      </c>
      <c r="M24" s="30" t="s">
        <v>3250</v>
      </c>
      <c r="N24" s="30" t="s">
        <v>3656</v>
      </c>
      <c r="O24" s="30" t="s">
        <v>3251</v>
      </c>
      <c r="P24" s="30" t="s">
        <v>3252</v>
      </c>
      <c r="Q24" s="30" t="s">
        <v>3566</v>
      </c>
      <c r="R24" s="30" t="s">
        <v>3253</v>
      </c>
      <c r="S24" s="30" t="s">
        <v>3254</v>
      </c>
      <c r="T24" s="30" t="s">
        <v>3255</v>
      </c>
      <c r="U24" s="30" t="s">
        <v>3256</v>
      </c>
      <c r="V24" s="30" t="s">
        <v>3109</v>
      </c>
    </row>
    <row r="25" spans="1:24" s="30" customFormat="1" ht="221" hidden="1" x14ac:dyDescent="0.2">
      <c r="A25" s="30" t="s">
        <v>3257</v>
      </c>
      <c r="B25" s="30" t="s">
        <v>762</v>
      </c>
      <c r="C25" s="30" t="s">
        <v>759</v>
      </c>
      <c r="D25" s="30" t="s">
        <v>176</v>
      </c>
      <c r="E25" s="30" t="s">
        <v>252</v>
      </c>
      <c r="F25" s="30" t="s">
        <v>86</v>
      </c>
      <c r="G25" s="30" t="s">
        <v>3258</v>
      </c>
      <c r="H25" s="30" t="s">
        <v>3259</v>
      </c>
      <c r="I25" s="30" t="s">
        <v>3260</v>
      </c>
      <c r="J25" s="30" t="s">
        <v>3261</v>
      </c>
      <c r="K25" s="30" t="s">
        <v>3569</v>
      </c>
      <c r="L25" s="30" t="s">
        <v>3262</v>
      </c>
      <c r="M25" s="30" t="s">
        <v>3263</v>
      </c>
      <c r="N25" s="30" t="s">
        <v>3657</v>
      </c>
      <c r="O25" s="30" t="s">
        <v>3568</v>
      </c>
      <c r="P25" s="30" t="s">
        <v>3264</v>
      </c>
      <c r="Q25" s="30" t="s">
        <v>3265</v>
      </c>
      <c r="R25" s="30" t="s">
        <v>3266</v>
      </c>
      <c r="S25" s="30" t="s">
        <v>3267</v>
      </c>
      <c r="T25" s="30" t="s">
        <v>3268</v>
      </c>
      <c r="U25" s="30" t="s">
        <v>3269</v>
      </c>
      <c r="V25" s="30" t="s">
        <v>3109</v>
      </c>
    </row>
    <row r="26" spans="1:24" s="31" customFormat="1" ht="306" hidden="1" x14ac:dyDescent="0.2">
      <c r="A26" s="31" t="s">
        <v>3270</v>
      </c>
      <c r="B26" s="31" t="s">
        <v>1845</v>
      </c>
      <c r="C26" s="31" t="s">
        <v>1842</v>
      </c>
      <c r="D26" s="31" t="s">
        <v>146</v>
      </c>
      <c r="E26" s="31" t="s">
        <v>923</v>
      </c>
      <c r="F26" s="31" t="s">
        <v>86</v>
      </c>
      <c r="G26" s="31" t="s">
        <v>3271</v>
      </c>
      <c r="H26" s="31" t="s">
        <v>3272</v>
      </c>
      <c r="I26" s="31" t="s">
        <v>3273</v>
      </c>
      <c r="J26" s="31" t="s">
        <v>3274</v>
      </c>
      <c r="K26" s="31" t="s">
        <v>3275</v>
      </c>
      <c r="L26" s="31" t="s">
        <v>3276</v>
      </c>
      <c r="M26" s="31" t="s">
        <v>3277</v>
      </c>
      <c r="N26" s="31" t="s">
        <v>3572</v>
      </c>
      <c r="O26" s="31" t="s">
        <v>3571</v>
      </c>
      <c r="P26" s="31" t="s">
        <v>3278</v>
      </c>
      <c r="Q26" s="31" t="s">
        <v>3279</v>
      </c>
      <c r="R26" s="31" t="s">
        <v>3280</v>
      </c>
      <c r="S26" s="31" t="s">
        <v>3281</v>
      </c>
      <c r="T26" s="31" t="s">
        <v>3282</v>
      </c>
      <c r="U26" s="31" t="s">
        <v>3283</v>
      </c>
      <c r="V26" s="31" t="s">
        <v>3109</v>
      </c>
      <c r="W26" s="31" t="s">
        <v>3538</v>
      </c>
      <c r="X26" s="31" t="s">
        <v>3570</v>
      </c>
    </row>
    <row r="27" spans="1:24" s="30" customFormat="1" ht="221" hidden="1" x14ac:dyDescent="0.2">
      <c r="A27" s="30" t="s">
        <v>3284</v>
      </c>
      <c r="B27" s="30" t="s">
        <v>671</v>
      </c>
      <c r="C27" s="30" t="s">
        <v>668</v>
      </c>
      <c r="D27" s="30" t="s">
        <v>176</v>
      </c>
      <c r="E27" s="30" t="s">
        <v>672</v>
      </c>
      <c r="F27" s="30" t="s">
        <v>86</v>
      </c>
      <c r="G27" s="30" t="s">
        <v>3285</v>
      </c>
      <c r="H27" s="30" t="s">
        <v>3286</v>
      </c>
      <c r="I27" s="30" t="s">
        <v>3287</v>
      </c>
      <c r="J27" s="30" t="s">
        <v>3288</v>
      </c>
      <c r="K27" s="30" t="s">
        <v>3289</v>
      </c>
      <c r="L27" s="30" t="s">
        <v>3290</v>
      </c>
      <c r="M27" s="30" t="s">
        <v>3291</v>
      </c>
      <c r="N27" s="30" t="s">
        <v>3658</v>
      </c>
      <c r="O27" s="30" t="s">
        <v>3292</v>
      </c>
      <c r="P27" s="30" t="s">
        <v>3293</v>
      </c>
      <c r="Q27" s="30" t="s">
        <v>3294</v>
      </c>
      <c r="R27" s="30" t="s">
        <v>3295</v>
      </c>
      <c r="S27" s="30" t="s">
        <v>3296</v>
      </c>
      <c r="T27" s="30" t="s">
        <v>3297</v>
      </c>
      <c r="U27" s="30" t="s">
        <v>3298</v>
      </c>
      <c r="V27" s="30" t="s">
        <v>3109</v>
      </c>
    </row>
    <row r="28" spans="1:24" s="30" customFormat="1" ht="221" x14ac:dyDescent="0.2">
      <c r="A28" s="30" t="s">
        <v>3299</v>
      </c>
      <c r="B28" s="30" t="s">
        <v>1631</v>
      </c>
      <c r="C28" s="30" t="s">
        <v>1628</v>
      </c>
      <c r="D28" s="30" t="s">
        <v>176</v>
      </c>
      <c r="E28" s="30" t="s">
        <v>1632</v>
      </c>
      <c r="F28" s="30" t="s">
        <v>86</v>
      </c>
      <c r="G28" s="30" t="s">
        <v>3300</v>
      </c>
      <c r="H28" s="30" t="s">
        <v>3301</v>
      </c>
      <c r="I28" s="30" t="s">
        <v>3302</v>
      </c>
      <c r="J28" s="30" t="s">
        <v>3303</v>
      </c>
      <c r="K28" s="30" t="s">
        <v>3304</v>
      </c>
      <c r="L28" s="30" t="s">
        <v>3305</v>
      </c>
      <c r="M28" s="30" t="s">
        <v>3306</v>
      </c>
      <c r="N28" s="30" t="s">
        <v>3659</v>
      </c>
      <c r="O28" s="30" t="s">
        <v>3307</v>
      </c>
      <c r="P28" s="30" t="s">
        <v>3313</v>
      </c>
      <c r="Q28" s="30" t="s">
        <v>3308</v>
      </c>
      <c r="R28" s="30" t="s">
        <v>3309</v>
      </c>
      <c r="S28" s="30" t="s">
        <v>3310</v>
      </c>
      <c r="T28" s="30" t="s">
        <v>3311</v>
      </c>
      <c r="U28" s="30" t="s">
        <v>3312</v>
      </c>
      <c r="V28" s="30" t="s">
        <v>3109</v>
      </c>
    </row>
    <row r="29" spans="1:24" s="30" customFormat="1" ht="238" hidden="1" x14ac:dyDescent="0.2">
      <c r="A29" s="30" t="s">
        <v>3314</v>
      </c>
      <c r="B29" s="30" t="s">
        <v>1071</v>
      </c>
      <c r="C29" s="30" t="s">
        <v>1068</v>
      </c>
      <c r="D29" s="30" t="s">
        <v>146</v>
      </c>
      <c r="E29" s="30" t="s">
        <v>923</v>
      </c>
      <c r="F29" s="30" t="s">
        <v>86</v>
      </c>
      <c r="G29" s="30" t="s">
        <v>3315</v>
      </c>
      <c r="H29" s="30" t="s">
        <v>3316</v>
      </c>
      <c r="I29" s="30" t="s">
        <v>3317</v>
      </c>
      <c r="J29" s="30" t="s">
        <v>3318</v>
      </c>
      <c r="K29" s="30" t="s">
        <v>3319</v>
      </c>
      <c r="L29" s="30" t="s">
        <v>3320</v>
      </c>
      <c r="M29" s="30" t="s">
        <v>3321</v>
      </c>
      <c r="N29" s="30" t="s">
        <v>3660</v>
      </c>
      <c r="O29" s="30" t="s">
        <v>3322</v>
      </c>
      <c r="P29" s="30" t="s">
        <v>3573</v>
      </c>
      <c r="Q29" s="30" t="s">
        <v>3323</v>
      </c>
      <c r="R29" s="30" t="s">
        <v>3324</v>
      </c>
      <c r="S29" s="30" t="s">
        <v>3325</v>
      </c>
      <c r="T29" s="30" t="s">
        <v>3326</v>
      </c>
      <c r="U29" s="30" t="s">
        <v>3327</v>
      </c>
      <c r="V29" s="30" t="s">
        <v>3109</v>
      </c>
    </row>
    <row r="30" spans="1:24" s="31" customFormat="1" ht="289" hidden="1" x14ac:dyDescent="0.2">
      <c r="A30" s="31" t="s">
        <v>3328</v>
      </c>
      <c r="B30" s="31" t="s">
        <v>1899</v>
      </c>
      <c r="C30" s="31" t="s">
        <v>1896</v>
      </c>
      <c r="D30" s="31" t="s">
        <v>121</v>
      </c>
      <c r="E30" s="31" t="s">
        <v>1900</v>
      </c>
      <c r="F30" s="31" t="s">
        <v>86</v>
      </c>
      <c r="G30" s="31" t="s">
        <v>3329</v>
      </c>
      <c r="H30" s="31" t="s">
        <v>3574</v>
      </c>
      <c r="I30" s="31" t="s">
        <v>3575</v>
      </c>
      <c r="J30" s="31" t="s">
        <v>3576</v>
      </c>
      <c r="K30" s="31" t="s">
        <v>3577</v>
      </c>
      <c r="L30" s="31" t="s">
        <v>3578</v>
      </c>
      <c r="M30" s="31" t="s">
        <v>3579</v>
      </c>
      <c r="N30" s="31" t="s">
        <v>3580</v>
      </c>
      <c r="O30" s="31" t="s">
        <v>3581</v>
      </c>
      <c r="P30" s="31" t="s">
        <v>3582</v>
      </c>
      <c r="Q30" s="31" t="s">
        <v>3583</v>
      </c>
      <c r="R30" s="31" t="s">
        <v>3584</v>
      </c>
      <c r="S30" s="31" t="s">
        <v>3585</v>
      </c>
      <c r="T30" s="31" t="s">
        <v>3586</v>
      </c>
      <c r="U30" s="31" t="s">
        <v>3587</v>
      </c>
      <c r="V30" s="31" t="s">
        <v>3109</v>
      </c>
      <c r="W30" s="31" t="s">
        <v>3538</v>
      </c>
      <c r="X30" s="31" t="s">
        <v>3588</v>
      </c>
    </row>
    <row r="31" spans="1:24" s="30" customFormat="1" ht="187" hidden="1" x14ac:dyDescent="0.2">
      <c r="A31" s="30" t="s">
        <v>3330</v>
      </c>
      <c r="B31" s="30" t="s">
        <v>2593</v>
      </c>
      <c r="C31" s="30" t="s">
        <v>2590</v>
      </c>
      <c r="D31" s="30" t="s">
        <v>2594</v>
      </c>
      <c r="E31" s="30" t="s">
        <v>2595</v>
      </c>
      <c r="F31" s="30" t="s">
        <v>2551</v>
      </c>
      <c r="G31" s="30" t="s">
        <v>3331</v>
      </c>
      <c r="H31" s="30" t="s">
        <v>3332</v>
      </c>
      <c r="I31" s="30" t="s">
        <v>3333</v>
      </c>
      <c r="J31" s="30" t="s">
        <v>3589</v>
      </c>
      <c r="K31" s="30" t="s">
        <v>3334</v>
      </c>
      <c r="L31" s="30" t="s">
        <v>3335</v>
      </c>
      <c r="M31" s="30" t="s">
        <v>3336</v>
      </c>
      <c r="N31" s="30" t="s">
        <v>3337</v>
      </c>
      <c r="O31" s="30" t="s">
        <v>3338</v>
      </c>
      <c r="P31" s="30" t="s">
        <v>3339</v>
      </c>
      <c r="Q31" s="30" t="s">
        <v>3340</v>
      </c>
      <c r="R31" s="30" t="s">
        <v>3341</v>
      </c>
      <c r="S31" s="30" t="s">
        <v>3342</v>
      </c>
      <c r="T31" s="30" t="s">
        <v>3343</v>
      </c>
      <c r="U31" s="30" t="s">
        <v>3344</v>
      </c>
      <c r="V31" s="30" t="s">
        <v>3109</v>
      </c>
    </row>
    <row r="32" spans="1:24" s="30" customFormat="1" ht="170" hidden="1" x14ac:dyDescent="0.2">
      <c r="A32" s="30" t="s">
        <v>3345</v>
      </c>
      <c r="B32" s="30" t="s">
        <v>1163</v>
      </c>
      <c r="C32" s="30" t="s">
        <v>1160</v>
      </c>
      <c r="D32" s="30" t="s">
        <v>146</v>
      </c>
      <c r="E32" s="30" t="s">
        <v>1164</v>
      </c>
      <c r="F32" s="30" t="s">
        <v>86</v>
      </c>
      <c r="G32" s="30" t="s">
        <v>3346</v>
      </c>
      <c r="H32" s="30" t="s">
        <v>3347</v>
      </c>
      <c r="I32" s="30" t="s">
        <v>3348</v>
      </c>
      <c r="J32" s="30" t="s">
        <v>3081</v>
      </c>
      <c r="K32" s="30" t="s">
        <v>3349</v>
      </c>
      <c r="L32" s="30" t="s">
        <v>3350</v>
      </c>
      <c r="M32" s="30" t="s">
        <v>3351</v>
      </c>
      <c r="N32" s="30" t="s">
        <v>3352</v>
      </c>
      <c r="O32" s="30" t="s">
        <v>3353</v>
      </c>
      <c r="P32" s="30" t="s">
        <v>3354</v>
      </c>
      <c r="Q32" s="30" t="s">
        <v>3355</v>
      </c>
      <c r="R32" s="30" t="s">
        <v>3356</v>
      </c>
      <c r="S32" s="30" t="s">
        <v>3357</v>
      </c>
      <c r="T32" s="30" t="s">
        <v>3358</v>
      </c>
      <c r="U32" s="30" t="s">
        <v>3359</v>
      </c>
      <c r="V32" s="30" t="s">
        <v>3109</v>
      </c>
    </row>
    <row r="33" spans="1:25" s="19" customFormat="1" ht="34" hidden="1" x14ac:dyDescent="0.2">
      <c r="A33" s="19" t="s">
        <v>3360</v>
      </c>
      <c r="B33" s="19" t="s">
        <v>829</v>
      </c>
      <c r="C33" s="19" t="s">
        <v>826</v>
      </c>
      <c r="D33" s="19" t="s">
        <v>176</v>
      </c>
      <c r="E33" s="19" t="s">
        <v>830</v>
      </c>
      <c r="F33" s="19" t="s">
        <v>86</v>
      </c>
      <c r="U33" s="19" t="s">
        <v>2956</v>
      </c>
      <c r="V33" s="19" t="s">
        <v>3109</v>
      </c>
    </row>
    <row r="34" spans="1:25" s="30" customFormat="1" ht="289" hidden="1" x14ac:dyDescent="0.2">
      <c r="A34" s="30" t="s">
        <v>3361</v>
      </c>
      <c r="B34" s="30" t="s">
        <v>175</v>
      </c>
      <c r="C34" s="30" t="s">
        <v>172</v>
      </c>
      <c r="D34" s="30" t="s">
        <v>176</v>
      </c>
      <c r="E34" s="30" t="s">
        <v>177</v>
      </c>
      <c r="F34" s="30" t="s">
        <v>86</v>
      </c>
      <c r="G34" s="30" t="s">
        <v>3362</v>
      </c>
      <c r="H34" s="30" t="s">
        <v>3363</v>
      </c>
      <c r="I34" s="30" t="s">
        <v>3364</v>
      </c>
      <c r="J34" s="30" t="s">
        <v>3038</v>
      </c>
      <c r="K34" s="30" t="s">
        <v>3365</v>
      </c>
      <c r="L34" s="30" t="s">
        <v>3366</v>
      </c>
      <c r="M34" s="30" t="s">
        <v>3590</v>
      </c>
      <c r="N34" s="30" t="s">
        <v>3661</v>
      </c>
      <c r="O34" s="30" t="s">
        <v>3367</v>
      </c>
      <c r="P34" s="30" t="s">
        <v>3368</v>
      </c>
      <c r="Q34" s="30" t="s">
        <v>3369</v>
      </c>
      <c r="R34" s="30" t="s">
        <v>3370</v>
      </c>
      <c r="S34" s="30" t="s">
        <v>3371</v>
      </c>
      <c r="T34" s="30" t="s">
        <v>3372</v>
      </c>
      <c r="U34" s="30" t="s">
        <v>3373</v>
      </c>
      <c r="V34" s="30" t="s">
        <v>3109</v>
      </c>
    </row>
    <row r="35" spans="1:25" s="30" customFormat="1" ht="238" hidden="1" x14ac:dyDescent="0.2">
      <c r="A35" s="30" t="s">
        <v>3374</v>
      </c>
      <c r="B35" s="30" t="s">
        <v>471</v>
      </c>
      <c r="C35" s="30" t="s">
        <v>468</v>
      </c>
      <c r="D35" s="30" t="s">
        <v>176</v>
      </c>
      <c r="E35" s="30" t="s">
        <v>252</v>
      </c>
      <c r="F35" s="30" t="s">
        <v>86</v>
      </c>
      <c r="G35" s="30" t="s">
        <v>3375</v>
      </c>
      <c r="H35" s="30" t="s">
        <v>3376</v>
      </c>
      <c r="I35" s="30" t="s">
        <v>3377</v>
      </c>
      <c r="J35" s="30" t="s">
        <v>3038</v>
      </c>
      <c r="K35" s="30" t="s">
        <v>3378</v>
      </c>
      <c r="L35" s="30" t="s">
        <v>3379</v>
      </c>
      <c r="M35" s="30" t="s">
        <v>3380</v>
      </c>
      <c r="N35" s="30" t="s">
        <v>3662</v>
      </c>
      <c r="O35" s="30" t="s">
        <v>3381</v>
      </c>
      <c r="P35" s="30" t="s">
        <v>3591</v>
      </c>
      <c r="Q35" s="30" t="s">
        <v>3382</v>
      </c>
      <c r="R35" s="30" t="s">
        <v>3383</v>
      </c>
      <c r="S35" s="30" t="s">
        <v>3384</v>
      </c>
      <c r="T35" s="30" t="s">
        <v>3592</v>
      </c>
      <c r="U35" s="30" t="s">
        <v>3385</v>
      </c>
      <c r="V35" s="30" t="s">
        <v>3109</v>
      </c>
    </row>
    <row r="36" spans="1:25" s="30" customFormat="1" ht="238" hidden="1" x14ac:dyDescent="0.2">
      <c r="A36" s="30" t="s">
        <v>3386</v>
      </c>
      <c r="B36" s="30" t="s">
        <v>251</v>
      </c>
      <c r="C36" s="30" t="s">
        <v>248</v>
      </c>
      <c r="D36" s="30" t="s">
        <v>176</v>
      </c>
      <c r="E36" s="30" t="s">
        <v>252</v>
      </c>
      <c r="F36" s="30" t="s">
        <v>86</v>
      </c>
      <c r="G36" s="30" t="s">
        <v>3387</v>
      </c>
      <c r="H36" s="30" t="s">
        <v>3388</v>
      </c>
      <c r="I36" s="30" t="s">
        <v>3389</v>
      </c>
      <c r="J36" s="30" t="s">
        <v>3390</v>
      </c>
      <c r="K36" s="30" t="s">
        <v>3391</v>
      </c>
      <c r="L36" s="30" t="s">
        <v>3392</v>
      </c>
      <c r="M36" s="30" t="s">
        <v>3393</v>
      </c>
      <c r="N36" s="30" t="s">
        <v>3394</v>
      </c>
      <c r="O36" s="30" t="s">
        <v>3663</v>
      </c>
      <c r="P36" s="30" t="s">
        <v>3594</v>
      </c>
      <c r="Q36" s="30" t="s">
        <v>3593</v>
      </c>
      <c r="R36" s="30" t="s">
        <v>3395</v>
      </c>
      <c r="S36" s="30" t="s">
        <v>3396</v>
      </c>
      <c r="T36" s="30" t="s">
        <v>3397</v>
      </c>
      <c r="U36" s="30" t="s">
        <v>3398</v>
      </c>
      <c r="V36" s="30" t="s">
        <v>3109</v>
      </c>
    </row>
    <row r="37" spans="1:25" s="30" customFormat="1" ht="323" hidden="1" x14ac:dyDescent="0.2">
      <c r="A37" s="30" t="s">
        <v>3412</v>
      </c>
      <c r="B37" s="30" t="s">
        <v>2454</v>
      </c>
      <c r="C37" s="30" t="s">
        <v>2451</v>
      </c>
      <c r="D37" s="30" t="s">
        <v>2455</v>
      </c>
      <c r="E37" s="30" t="s">
        <v>2456</v>
      </c>
      <c r="F37" s="30" t="s">
        <v>2313</v>
      </c>
      <c r="G37" s="30" t="s">
        <v>3399</v>
      </c>
      <c r="H37" s="30" t="s">
        <v>3400</v>
      </c>
      <c r="I37" s="30" t="s">
        <v>3401</v>
      </c>
      <c r="J37" s="30" t="s">
        <v>3402</v>
      </c>
      <c r="K37" s="30" t="s">
        <v>3403</v>
      </c>
      <c r="L37" s="30" t="s">
        <v>3404</v>
      </c>
      <c r="M37" s="30" t="s">
        <v>3405</v>
      </c>
      <c r="N37" s="30" t="s">
        <v>3406</v>
      </c>
      <c r="O37" s="30" t="s">
        <v>3407</v>
      </c>
      <c r="P37" s="30" t="s">
        <v>3596</v>
      </c>
      <c r="Q37" s="30" t="s">
        <v>3595</v>
      </c>
      <c r="R37" s="30" t="s">
        <v>3408</v>
      </c>
      <c r="S37" s="30" t="s">
        <v>3409</v>
      </c>
      <c r="T37" s="30" t="s">
        <v>3410</v>
      </c>
      <c r="U37" s="30" t="s">
        <v>3411</v>
      </c>
      <c r="V37" s="30" t="s">
        <v>3109</v>
      </c>
    </row>
    <row r="38" spans="1:25" s="30" customFormat="1" ht="238" hidden="1" x14ac:dyDescent="0.2">
      <c r="A38" s="30" t="s">
        <v>3412</v>
      </c>
      <c r="B38" s="30" t="s">
        <v>91</v>
      </c>
      <c r="C38" s="30" t="s">
        <v>88</v>
      </c>
      <c r="D38" s="30" t="s">
        <v>92</v>
      </c>
      <c r="E38" s="30" t="s">
        <v>93</v>
      </c>
      <c r="F38" s="30" t="s">
        <v>86</v>
      </c>
      <c r="G38" s="30" t="s">
        <v>3413</v>
      </c>
      <c r="H38" s="30" t="s">
        <v>3414</v>
      </c>
      <c r="I38" s="30" t="s">
        <v>3415</v>
      </c>
      <c r="J38" s="30" t="s">
        <v>3038</v>
      </c>
      <c r="K38" s="30" t="s">
        <v>3416</v>
      </c>
      <c r="L38" s="30" t="s">
        <v>3417</v>
      </c>
      <c r="M38" s="30" t="s">
        <v>3418</v>
      </c>
      <c r="N38" s="30" t="s">
        <v>3419</v>
      </c>
      <c r="O38" s="30" t="s">
        <v>3420</v>
      </c>
      <c r="P38" s="30" t="s">
        <v>3421</v>
      </c>
      <c r="Q38" s="30" t="s">
        <v>3422</v>
      </c>
      <c r="R38" s="30" t="s">
        <v>3423</v>
      </c>
      <c r="S38" s="30" t="s">
        <v>3424</v>
      </c>
      <c r="T38" s="30" t="s">
        <v>3425</v>
      </c>
      <c r="U38" s="30" t="s">
        <v>3426</v>
      </c>
      <c r="V38" s="30" t="s">
        <v>3109</v>
      </c>
    </row>
    <row r="39" spans="1:25" s="30" customFormat="1" ht="289" hidden="1" x14ac:dyDescent="0.2">
      <c r="A39" s="30" t="s">
        <v>3427</v>
      </c>
      <c r="B39" s="30" t="s">
        <v>145</v>
      </c>
      <c r="C39" s="30" t="s">
        <v>142</v>
      </c>
      <c r="D39" s="30" t="s">
        <v>146</v>
      </c>
      <c r="E39" s="30" t="s">
        <v>147</v>
      </c>
      <c r="F39" s="30" t="s">
        <v>86</v>
      </c>
      <c r="G39" s="30" t="s">
        <v>3428</v>
      </c>
      <c r="H39" s="30" t="s">
        <v>3429</v>
      </c>
      <c r="I39" s="30" t="s">
        <v>3430</v>
      </c>
      <c r="J39" s="30" t="s">
        <v>3038</v>
      </c>
      <c r="K39" s="30" t="s">
        <v>3599</v>
      </c>
      <c r="L39" s="30" t="s">
        <v>3431</v>
      </c>
      <c r="M39" s="30" t="s">
        <v>3432</v>
      </c>
      <c r="N39" s="30" t="s">
        <v>3664</v>
      </c>
      <c r="O39" s="30" t="s">
        <v>3597</v>
      </c>
      <c r="P39" s="30" t="s">
        <v>3433</v>
      </c>
      <c r="Q39" s="30" t="s">
        <v>3598</v>
      </c>
      <c r="R39" s="30" t="s">
        <v>3434</v>
      </c>
      <c r="S39" s="30" t="s">
        <v>3435</v>
      </c>
      <c r="T39" s="30" t="s">
        <v>3436</v>
      </c>
      <c r="U39" s="30" t="s">
        <v>3437</v>
      </c>
      <c r="V39" s="30" t="s">
        <v>3109</v>
      </c>
    </row>
    <row r="40" spans="1:25" s="30" customFormat="1" ht="221" hidden="1" x14ac:dyDescent="0.2">
      <c r="A40" s="30" t="s">
        <v>3438</v>
      </c>
      <c r="B40" s="30" t="s">
        <v>2662</v>
      </c>
      <c r="C40" s="30" t="s">
        <v>2659</v>
      </c>
      <c r="D40" s="30" t="s">
        <v>146</v>
      </c>
      <c r="E40" s="30" t="s">
        <v>391</v>
      </c>
      <c r="F40" s="30" t="s">
        <v>2635</v>
      </c>
      <c r="G40" s="30" t="s">
        <v>3439</v>
      </c>
      <c r="H40" s="30" t="s">
        <v>3440</v>
      </c>
      <c r="I40" s="30" t="s">
        <v>3441</v>
      </c>
      <c r="J40" s="30" t="s">
        <v>3038</v>
      </c>
      <c r="K40" s="30" t="s">
        <v>3601</v>
      </c>
      <c r="L40" s="30" t="s">
        <v>3442</v>
      </c>
      <c r="M40" s="30" t="s">
        <v>3443</v>
      </c>
      <c r="N40" s="30" t="s">
        <v>3444</v>
      </c>
      <c r="O40" s="30" t="s">
        <v>3445</v>
      </c>
      <c r="P40" s="30" t="s">
        <v>3446</v>
      </c>
      <c r="Q40" s="30" t="s">
        <v>3600</v>
      </c>
      <c r="R40" s="30" t="s">
        <v>3447</v>
      </c>
      <c r="S40" s="30" t="s">
        <v>3448</v>
      </c>
      <c r="T40" s="30" t="s">
        <v>3449</v>
      </c>
      <c r="U40" s="30" t="s">
        <v>3450</v>
      </c>
      <c r="V40" s="30" t="s">
        <v>3109</v>
      </c>
    </row>
    <row r="41" spans="1:25" s="30" customFormat="1" ht="356" hidden="1" x14ac:dyDescent="0.2">
      <c r="A41" s="30" t="s">
        <v>3451</v>
      </c>
      <c r="B41" s="30" t="s">
        <v>1922</v>
      </c>
      <c r="C41" s="30" t="s">
        <v>1919</v>
      </c>
      <c r="D41" s="30" t="s">
        <v>1879</v>
      </c>
      <c r="E41" s="30" t="s">
        <v>1923</v>
      </c>
      <c r="F41" s="30" t="s">
        <v>86</v>
      </c>
      <c r="G41" s="30" t="s">
        <v>3452</v>
      </c>
      <c r="H41" s="30" t="s">
        <v>3453</v>
      </c>
      <c r="I41" s="30" t="s">
        <v>3666</v>
      </c>
      <c r="J41" s="30" t="s">
        <v>3665</v>
      </c>
      <c r="K41" s="30" t="s">
        <v>3454</v>
      </c>
      <c r="L41" s="30" t="s">
        <v>3455</v>
      </c>
      <c r="M41" s="30" t="s">
        <v>3456</v>
      </c>
      <c r="N41" s="30" t="s">
        <v>3457</v>
      </c>
      <c r="O41" s="30" t="s">
        <v>3458</v>
      </c>
      <c r="P41" s="30" t="s">
        <v>3459</v>
      </c>
      <c r="Q41" s="30" t="s">
        <v>3602</v>
      </c>
      <c r="R41" s="30" t="s">
        <v>3460</v>
      </c>
      <c r="S41" s="30" t="s">
        <v>3461</v>
      </c>
      <c r="T41" s="30" t="s">
        <v>3462</v>
      </c>
      <c r="U41" s="30" t="s">
        <v>3463</v>
      </c>
      <c r="V41" s="30" t="s">
        <v>3109</v>
      </c>
      <c r="W41" s="30" t="s">
        <v>3538</v>
      </c>
      <c r="X41" s="30" t="s">
        <v>3667</v>
      </c>
    </row>
    <row r="42" spans="1:25" s="30" customFormat="1" ht="238" hidden="1" x14ac:dyDescent="0.2">
      <c r="A42" s="30" t="s">
        <v>3464</v>
      </c>
      <c r="B42" s="30" t="s">
        <v>1822</v>
      </c>
      <c r="C42" s="30" t="s">
        <v>1819</v>
      </c>
      <c r="D42" s="30" t="s">
        <v>92</v>
      </c>
      <c r="E42" s="30" t="s">
        <v>1164</v>
      </c>
      <c r="F42" s="30" t="s">
        <v>86</v>
      </c>
      <c r="G42" s="30" t="s">
        <v>3465</v>
      </c>
      <c r="H42" s="30" t="s">
        <v>3466</v>
      </c>
      <c r="I42" s="30" t="s">
        <v>3467</v>
      </c>
      <c r="J42" s="30" t="s">
        <v>3468</v>
      </c>
      <c r="K42" s="30" t="s">
        <v>3469</v>
      </c>
      <c r="L42" s="30" t="s">
        <v>3470</v>
      </c>
      <c r="M42" s="30" t="s">
        <v>3471</v>
      </c>
      <c r="N42" s="30" t="s">
        <v>3472</v>
      </c>
      <c r="O42" s="30" t="s">
        <v>3473</v>
      </c>
      <c r="P42" s="30" t="s">
        <v>3474</v>
      </c>
      <c r="Q42" s="30" t="s">
        <v>3603</v>
      </c>
      <c r="R42" s="30" t="s">
        <v>3475</v>
      </c>
      <c r="S42" s="30" t="s">
        <v>3476</v>
      </c>
      <c r="T42" s="30" t="s">
        <v>3477</v>
      </c>
      <c r="U42" s="30" t="s">
        <v>3478</v>
      </c>
      <c r="V42" s="30" t="s">
        <v>3109</v>
      </c>
    </row>
    <row r="43" spans="1:25" s="31" customFormat="1" ht="306" hidden="1" x14ac:dyDescent="0.2">
      <c r="A43" s="31" t="s">
        <v>3479</v>
      </c>
      <c r="B43" s="31" t="s">
        <v>1580</v>
      </c>
      <c r="C43" s="31" t="s">
        <v>1577</v>
      </c>
      <c r="D43" s="31" t="s">
        <v>55</v>
      </c>
      <c r="E43" s="31" t="s">
        <v>1581</v>
      </c>
      <c r="F43" s="31" t="s">
        <v>86</v>
      </c>
      <c r="G43" s="31" t="s">
        <v>3480</v>
      </c>
      <c r="H43" s="31" t="s">
        <v>3481</v>
      </c>
      <c r="I43" s="31" t="s">
        <v>3605</v>
      </c>
      <c r="J43" s="31" t="s">
        <v>3604</v>
      </c>
      <c r="K43" s="31" t="s">
        <v>3606</v>
      </c>
      <c r="L43" s="31" t="s">
        <v>3607</v>
      </c>
      <c r="M43" s="31" t="s">
        <v>3482</v>
      </c>
      <c r="N43" s="31" t="s">
        <v>3608</v>
      </c>
      <c r="O43" s="31" t="s">
        <v>3483</v>
      </c>
      <c r="P43" s="31" t="s">
        <v>3609</v>
      </c>
      <c r="Q43" s="31" t="s">
        <v>3613</v>
      </c>
      <c r="R43" s="31" t="s">
        <v>3610</v>
      </c>
      <c r="S43" s="31" t="s">
        <v>3484</v>
      </c>
      <c r="T43" s="31" t="s">
        <v>3611</v>
      </c>
      <c r="U43" s="31" t="s">
        <v>3485</v>
      </c>
      <c r="V43" s="31" t="s">
        <v>3109</v>
      </c>
      <c r="W43" s="31" t="s">
        <v>3538</v>
      </c>
      <c r="X43" s="31" t="s">
        <v>3612</v>
      </c>
      <c r="Y43" s="33" t="s">
        <v>3620</v>
      </c>
    </row>
    <row r="44" spans="1:25" s="31" customFormat="1" ht="204" hidden="1" x14ac:dyDescent="0.2">
      <c r="A44" s="31" t="s">
        <v>3486</v>
      </c>
      <c r="B44" s="31" t="s">
        <v>1766</v>
      </c>
      <c r="C44" s="31" t="s">
        <v>1577</v>
      </c>
      <c r="D44" s="31" t="s">
        <v>146</v>
      </c>
      <c r="E44" s="31" t="s">
        <v>923</v>
      </c>
      <c r="F44" s="31" t="s">
        <v>86</v>
      </c>
      <c r="G44" s="31" t="s">
        <v>3480</v>
      </c>
      <c r="H44" s="31" t="s">
        <v>3487</v>
      </c>
      <c r="I44" s="31" t="s">
        <v>3616</v>
      </c>
      <c r="J44" s="31" t="s">
        <v>3604</v>
      </c>
      <c r="K44" s="31" t="s">
        <v>3617</v>
      </c>
      <c r="L44" s="31" t="s">
        <v>3488</v>
      </c>
      <c r="M44" s="31" t="s">
        <v>3489</v>
      </c>
      <c r="N44" s="31" t="s">
        <v>3618</v>
      </c>
      <c r="O44" s="31" t="s">
        <v>3490</v>
      </c>
      <c r="P44" s="31" t="s">
        <v>3491</v>
      </c>
      <c r="Q44" s="31" t="s">
        <v>3492</v>
      </c>
      <c r="R44" s="31" t="s">
        <v>3493</v>
      </c>
      <c r="S44" s="31" t="s">
        <v>3494</v>
      </c>
      <c r="T44" s="31" t="s">
        <v>3495</v>
      </c>
      <c r="U44" s="31" t="s">
        <v>3496</v>
      </c>
      <c r="V44" s="31" t="s">
        <v>3109</v>
      </c>
      <c r="W44" s="31" t="s">
        <v>3538</v>
      </c>
      <c r="X44" s="31" t="s">
        <v>3619</v>
      </c>
      <c r="Y44" s="34"/>
    </row>
    <row r="45" spans="1:25" s="31" customFormat="1" ht="289" hidden="1" x14ac:dyDescent="0.2">
      <c r="A45" s="31" t="s">
        <v>3497</v>
      </c>
      <c r="B45" s="31" t="s">
        <v>741</v>
      </c>
      <c r="C45" s="31" t="s">
        <v>738</v>
      </c>
      <c r="D45" s="31" t="s">
        <v>92</v>
      </c>
      <c r="E45" s="31" t="s">
        <v>742</v>
      </c>
      <c r="F45" s="31" t="s">
        <v>86</v>
      </c>
      <c r="G45" s="31" t="s">
        <v>3498</v>
      </c>
      <c r="H45" s="31" t="s">
        <v>3499</v>
      </c>
      <c r="I45" s="31" t="s">
        <v>3623</v>
      </c>
      <c r="J45" s="31" t="s">
        <v>3622</v>
      </c>
      <c r="K45" s="31" t="s">
        <v>3629</v>
      </c>
      <c r="L45" s="31" t="s">
        <v>3624</v>
      </c>
      <c r="M45" s="31" t="s">
        <v>3625</v>
      </c>
      <c r="N45" s="31" t="s">
        <v>3626</v>
      </c>
      <c r="O45" s="31" t="s">
        <v>3500</v>
      </c>
      <c r="P45" s="31" t="s">
        <v>3501</v>
      </c>
      <c r="Q45" s="31" t="s">
        <v>3502</v>
      </c>
      <c r="R45" s="31" t="s">
        <v>3503</v>
      </c>
      <c r="S45" s="31" t="s">
        <v>3627</v>
      </c>
      <c r="T45" s="31" t="s">
        <v>3504</v>
      </c>
      <c r="U45" s="31" t="s">
        <v>3628</v>
      </c>
      <c r="V45" s="31" t="s">
        <v>3109</v>
      </c>
      <c r="W45" s="31" t="s">
        <v>3538</v>
      </c>
      <c r="X45" s="31" t="s">
        <v>3621</v>
      </c>
    </row>
    <row r="46" spans="1:25" s="19" customFormat="1" ht="17" hidden="1" x14ac:dyDescent="0.2">
      <c r="A46" s="19" t="s">
        <v>3505</v>
      </c>
      <c r="B46" s="19" t="s">
        <v>1128</v>
      </c>
      <c r="C46" s="19" t="s">
        <v>1125</v>
      </c>
      <c r="D46" s="19" t="s">
        <v>146</v>
      </c>
      <c r="E46" s="19" t="s">
        <v>1129</v>
      </c>
      <c r="F46" s="19" t="s">
        <v>86</v>
      </c>
      <c r="U46" s="19" t="s">
        <v>2860</v>
      </c>
      <c r="V46" s="19" t="s">
        <v>3109</v>
      </c>
    </row>
    <row r="47" spans="1:25" s="31" customFormat="1" ht="221" hidden="1" x14ac:dyDescent="0.2">
      <c r="A47" s="31" t="s">
        <v>3506</v>
      </c>
      <c r="B47" s="31" t="s">
        <v>1307</v>
      </c>
      <c r="C47" s="31" t="s">
        <v>1304</v>
      </c>
      <c r="D47" s="31" t="s">
        <v>146</v>
      </c>
      <c r="E47" s="31" t="s">
        <v>1308</v>
      </c>
      <c r="F47" s="31" t="s">
        <v>86</v>
      </c>
      <c r="G47" s="31" t="s">
        <v>3507</v>
      </c>
      <c r="H47" s="31" t="s">
        <v>3635</v>
      </c>
      <c r="I47" s="31" t="s">
        <v>3508</v>
      </c>
      <c r="J47" s="31" t="s">
        <v>3038</v>
      </c>
      <c r="K47" s="31" t="s">
        <v>3636</v>
      </c>
      <c r="L47" s="31" t="s">
        <v>3634</v>
      </c>
      <c r="M47" s="31" t="s">
        <v>3509</v>
      </c>
      <c r="N47" s="31" t="s">
        <v>3633</v>
      </c>
      <c r="O47" s="31" t="s">
        <v>3510</v>
      </c>
      <c r="P47" s="31" t="s">
        <v>3511</v>
      </c>
      <c r="Q47" s="31" t="s">
        <v>3630</v>
      </c>
      <c r="R47" s="31" t="s">
        <v>3632</v>
      </c>
      <c r="S47" s="31" t="s">
        <v>3512</v>
      </c>
      <c r="T47" s="31" t="s">
        <v>3513</v>
      </c>
      <c r="U47" s="31" t="s">
        <v>3514</v>
      </c>
      <c r="V47" s="31" t="s">
        <v>3109</v>
      </c>
      <c r="W47" s="31" t="s">
        <v>3538</v>
      </c>
      <c r="X47" s="31" t="s">
        <v>3631</v>
      </c>
    </row>
    <row r="48" spans="1:25" s="30" customFormat="1" ht="187" x14ac:dyDescent="0.2">
      <c r="A48" s="30" t="s">
        <v>3515</v>
      </c>
      <c r="B48" s="30" t="s">
        <v>573</v>
      </c>
      <c r="C48" s="30" t="s">
        <v>570</v>
      </c>
      <c r="D48" s="30" t="s">
        <v>176</v>
      </c>
      <c r="E48" s="30" t="s">
        <v>252</v>
      </c>
      <c r="F48" s="30" t="s">
        <v>86</v>
      </c>
      <c r="G48" s="30" t="s">
        <v>3516</v>
      </c>
      <c r="H48" s="30" t="s">
        <v>3517</v>
      </c>
      <c r="I48" s="30" t="s">
        <v>3518</v>
      </c>
      <c r="J48" s="30" t="s">
        <v>3519</v>
      </c>
      <c r="K48" s="30" t="s">
        <v>3639</v>
      </c>
      <c r="L48" s="30" t="s">
        <v>3520</v>
      </c>
      <c r="M48" s="30" t="s">
        <v>3638</v>
      </c>
      <c r="N48" s="30" t="s">
        <v>3521</v>
      </c>
      <c r="O48" s="30" t="s">
        <v>3522</v>
      </c>
      <c r="P48" s="30" t="s">
        <v>3523</v>
      </c>
      <c r="Q48" s="30" t="s">
        <v>3637</v>
      </c>
      <c r="R48" s="30" t="s">
        <v>3524</v>
      </c>
      <c r="S48" s="30" t="s">
        <v>3525</v>
      </c>
      <c r="T48" s="30" t="s">
        <v>3526</v>
      </c>
      <c r="U48" s="30" t="s">
        <v>3527</v>
      </c>
      <c r="V48" s="30" t="s">
        <v>3109</v>
      </c>
    </row>
  </sheetData>
  <autoFilter ref="A1:A48" xr:uid="{E1C55CAC-BCE0-7842-A5FA-DAD4490DC97C}">
    <filterColumn colId="0">
      <filters>
        <filter val="hu"/>
        <filter val="moscato"/>
        <filter val="zhou2"/>
      </filters>
    </filterColumn>
  </autoFilter>
  <mergeCells count="1">
    <mergeCell ref="Y43:Y4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50D9F-F7C9-7C4E-9356-9597A790C599}">
  <sheetPr filterMode="1"/>
  <dimension ref="A1:Y48"/>
  <sheetViews>
    <sheetView zoomScale="140" zoomScaleNormal="200" workbookViewId="0">
      <pane xSplit="1" topLeftCell="B1" activePane="topRight" state="frozen"/>
      <selection pane="topRight" activeCell="A22" sqref="A22"/>
    </sheetView>
  </sheetViews>
  <sheetFormatPr baseColWidth="10" defaultRowHeight="16" x14ac:dyDescent="0.2"/>
  <cols>
    <col min="1" max="1" width="13.6640625" style="10" customWidth="1"/>
    <col min="2" max="2" width="105.83203125" style="10" bestFit="1" customWidth="1"/>
    <col min="3" max="3" width="63.83203125" style="10" bestFit="1" customWidth="1"/>
    <col min="4" max="4" width="10.83203125" style="10"/>
    <col min="5" max="5" width="163.6640625" style="10" bestFit="1" customWidth="1"/>
    <col min="6" max="6" width="10.83203125" style="10"/>
    <col min="7" max="7" width="14.5" style="10" customWidth="1"/>
    <col min="8" max="8" width="35.83203125" style="10" customWidth="1"/>
    <col min="9" max="9" width="25.5" style="10" bestFit="1" customWidth="1"/>
    <col min="10" max="10" width="39.6640625" style="10" bestFit="1" customWidth="1"/>
    <col min="11" max="11" width="33.5" style="10" customWidth="1"/>
    <col min="12" max="12" width="51.33203125" style="10" customWidth="1"/>
    <col min="13" max="13" width="36.6640625" style="10" customWidth="1"/>
    <col min="14" max="14" width="103.6640625" style="10" bestFit="1" customWidth="1"/>
    <col min="15" max="15" width="29" style="10" customWidth="1"/>
    <col min="16" max="16" width="18.1640625" style="10" customWidth="1"/>
    <col min="17" max="17" width="23.5" style="10" customWidth="1"/>
    <col min="18" max="18" width="34.5" style="10" customWidth="1"/>
    <col min="19" max="19" width="36.83203125" style="10" customWidth="1"/>
    <col min="20" max="20" width="35.1640625" style="10" customWidth="1"/>
    <col min="21" max="21" width="49.83203125" style="10" customWidth="1"/>
    <col min="22" max="23" width="10.83203125" style="10"/>
    <col min="24" max="24" width="28.83203125" style="10" customWidth="1"/>
    <col min="25" max="16384" width="10.83203125" style="10"/>
  </cols>
  <sheetData>
    <row r="1" spans="1:24" s="29" customFormat="1" ht="34" x14ac:dyDescent="0.2">
      <c r="A1" s="29" t="s">
        <v>2973</v>
      </c>
      <c r="B1" s="29" t="s">
        <v>2974</v>
      </c>
      <c r="C1" s="29" t="s">
        <v>2975</v>
      </c>
      <c r="D1" s="29" t="s">
        <v>2976</v>
      </c>
      <c r="E1" s="29" t="s">
        <v>2977</v>
      </c>
      <c r="F1" s="29" t="s">
        <v>2978</v>
      </c>
      <c r="G1" s="29" t="s">
        <v>2989</v>
      </c>
      <c r="H1" s="29" t="s">
        <v>2980</v>
      </c>
      <c r="I1" s="29" t="s">
        <v>2995</v>
      </c>
      <c r="J1" s="29" t="s">
        <v>2992</v>
      </c>
      <c r="K1" s="29" t="s">
        <v>2981</v>
      </c>
      <c r="L1" s="29" t="s">
        <v>2982</v>
      </c>
      <c r="M1" s="29" t="s">
        <v>2983</v>
      </c>
      <c r="N1" s="29" t="s">
        <v>2993</v>
      </c>
      <c r="O1" s="29" t="s">
        <v>2984</v>
      </c>
      <c r="P1" s="29" t="s">
        <v>2991</v>
      </c>
      <c r="Q1" s="29" t="s">
        <v>2996</v>
      </c>
      <c r="R1" s="29" t="s">
        <v>2985</v>
      </c>
      <c r="S1" s="29" t="s">
        <v>2986</v>
      </c>
      <c r="T1" s="29" t="s">
        <v>2987</v>
      </c>
      <c r="U1" s="29" t="s">
        <v>2979</v>
      </c>
      <c r="V1" s="29" t="s">
        <v>3107</v>
      </c>
    </row>
    <row r="2" spans="1:24" s="30" customFormat="1" ht="170" hidden="1" x14ac:dyDescent="0.2">
      <c r="A2" s="30" t="s">
        <v>2988</v>
      </c>
      <c r="B2" s="30" t="s">
        <v>886</v>
      </c>
      <c r="C2" s="30" t="s">
        <v>883</v>
      </c>
      <c r="D2" s="30" t="s">
        <v>146</v>
      </c>
      <c r="E2" s="30" t="s">
        <v>887</v>
      </c>
      <c r="F2" s="30" t="s">
        <v>86</v>
      </c>
      <c r="G2" s="30" t="s">
        <v>2990</v>
      </c>
      <c r="H2" s="30" t="s">
        <v>2997</v>
      </c>
      <c r="I2" s="30" t="s">
        <v>2998</v>
      </c>
      <c r="J2" s="30" t="s">
        <v>1685</v>
      </c>
      <c r="K2" s="30" t="s">
        <v>3023</v>
      </c>
      <c r="L2" s="30" t="s">
        <v>2999</v>
      </c>
      <c r="M2" s="30" t="s">
        <v>3000</v>
      </c>
      <c r="N2" s="30" t="s">
        <v>3640</v>
      </c>
      <c r="O2" s="30" t="s">
        <v>2994</v>
      </c>
      <c r="P2" s="30" t="s">
        <v>3006</v>
      </c>
      <c r="Q2" s="30" t="s">
        <v>3005</v>
      </c>
      <c r="R2" s="30" t="s">
        <v>3001</v>
      </c>
      <c r="S2" s="30" t="s">
        <v>3002</v>
      </c>
      <c r="T2" s="30" t="s">
        <v>3003</v>
      </c>
      <c r="U2" s="30" t="s">
        <v>3004</v>
      </c>
      <c r="V2" s="30" t="s">
        <v>3108</v>
      </c>
    </row>
    <row r="3" spans="1:24" s="30" customFormat="1" ht="170" hidden="1" x14ac:dyDescent="0.2">
      <c r="A3" s="30" t="s">
        <v>3007</v>
      </c>
      <c r="B3" s="30" t="s">
        <v>1709</v>
      </c>
      <c r="C3" s="30" t="s">
        <v>1706</v>
      </c>
      <c r="D3" s="30" t="s">
        <v>92</v>
      </c>
      <c r="E3" s="30" t="s">
        <v>1710</v>
      </c>
      <c r="F3" s="30" t="s">
        <v>86</v>
      </c>
      <c r="G3" s="30" t="s">
        <v>3008</v>
      </c>
      <c r="H3" s="30" t="s">
        <v>3009</v>
      </c>
      <c r="I3" s="30" t="s">
        <v>3010</v>
      </c>
      <c r="J3" s="30" t="s">
        <v>1685</v>
      </c>
      <c r="K3" s="30" t="s">
        <v>3022</v>
      </c>
      <c r="L3" s="30" t="s">
        <v>3011</v>
      </c>
      <c r="M3" s="30" t="s">
        <v>3012</v>
      </c>
      <c r="N3" s="30" t="s">
        <v>3641</v>
      </c>
      <c r="O3" s="30" t="s">
        <v>3013</v>
      </c>
      <c r="P3" s="30" t="s">
        <v>3014</v>
      </c>
      <c r="Q3" s="30" t="s">
        <v>3020</v>
      </c>
      <c r="R3" s="30" t="s">
        <v>3015</v>
      </c>
      <c r="S3" s="30" t="s">
        <v>3016</v>
      </c>
      <c r="T3" s="30" t="s">
        <v>3017</v>
      </c>
      <c r="U3" s="30" t="s">
        <v>3018</v>
      </c>
      <c r="V3" s="30" t="s">
        <v>3108</v>
      </c>
    </row>
    <row r="4" spans="1:24" s="30" customFormat="1" ht="170" hidden="1" x14ac:dyDescent="0.2">
      <c r="A4" s="30" t="s">
        <v>3019</v>
      </c>
      <c r="B4" s="30" t="s">
        <v>1436</v>
      </c>
      <c r="C4" s="30" t="s">
        <v>1433</v>
      </c>
      <c r="D4" s="30" t="s">
        <v>146</v>
      </c>
      <c r="E4" s="30" t="s">
        <v>1437</v>
      </c>
      <c r="F4" s="30" t="s">
        <v>86</v>
      </c>
      <c r="G4" s="30" t="s">
        <v>3021</v>
      </c>
      <c r="H4" s="30" t="s">
        <v>3024</v>
      </c>
      <c r="I4" s="30" t="s">
        <v>3025</v>
      </c>
      <c r="J4" s="30" t="s">
        <v>1685</v>
      </c>
      <c r="K4" s="30" t="s">
        <v>3026</v>
      </c>
      <c r="L4" s="30" t="s">
        <v>3027</v>
      </c>
      <c r="M4" s="30" t="s">
        <v>3644</v>
      </c>
      <c r="N4" s="30" t="s">
        <v>3642</v>
      </c>
      <c r="O4" s="30" t="s">
        <v>3028</v>
      </c>
      <c r="P4" s="30" t="s">
        <v>3029</v>
      </c>
      <c r="Q4" s="30" t="s">
        <v>3643</v>
      </c>
      <c r="R4" s="30" t="s">
        <v>3030</v>
      </c>
      <c r="S4" s="30" t="s">
        <v>3031</v>
      </c>
      <c r="T4" s="30" t="s">
        <v>3032</v>
      </c>
      <c r="U4" s="30" t="s">
        <v>3033</v>
      </c>
      <c r="V4" s="30" t="s">
        <v>3108</v>
      </c>
    </row>
    <row r="5" spans="1:24" s="30" customFormat="1" ht="136" hidden="1" x14ac:dyDescent="0.2">
      <c r="A5" s="30" t="s">
        <v>3034</v>
      </c>
      <c r="B5" s="30" t="s">
        <v>904</v>
      </c>
      <c r="C5" s="30" t="s">
        <v>901</v>
      </c>
      <c r="D5" s="30" t="s">
        <v>146</v>
      </c>
      <c r="E5" s="30" t="s">
        <v>905</v>
      </c>
      <c r="F5" s="30" t="s">
        <v>86</v>
      </c>
      <c r="G5" s="30" t="s">
        <v>3035</v>
      </c>
      <c r="H5" s="30" t="s">
        <v>3036</v>
      </c>
      <c r="I5" s="30" t="s">
        <v>3037</v>
      </c>
      <c r="J5" s="30" t="s">
        <v>3038</v>
      </c>
      <c r="K5" s="30" t="s">
        <v>3039</v>
      </c>
      <c r="L5" s="30" t="s">
        <v>3040</v>
      </c>
      <c r="M5" s="30" t="s">
        <v>3041</v>
      </c>
      <c r="N5" s="30" t="s">
        <v>3042</v>
      </c>
      <c r="O5" s="30" t="s">
        <v>3043</v>
      </c>
      <c r="P5" s="30" t="s">
        <v>3044</v>
      </c>
      <c r="Q5" s="30" t="s">
        <v>3045</v>
      </c>
      <c r="R5" s="30" t="s">
        <v>3046</v>
      </c>
      <c r="S5" s="30" t="s">
        <v>3047</v>
      </c>
      <c r="T5" s="30" t="s">
        <v>3048</v>
      </c>
      <c r="U5" s="30" t="s">
        <v>3049</v>
      </c>
      <c r="V5" s="30" t="s">
        <v>3108</v>
      </c>
    </row>
    <row r="6" spans="1:24" s="30" customFormat="1" ht="204" hidden="1" x14ac:dyDescent="0.2">
      <c r="A6" s="30" t="s">
        <v>3050</v>
      </c>
      <c r="B6" s="30" t="s">
        <v>2027</v>
      </c>
      <c r="C6" s="30" t="s">
        <v>2024</v>
      </c>
      <c r="D6" s="30" t="s">
        <v>92</v>
      </c>
      <c r="E6" s="30" t="s">
        <v>252</v>
      </c>
      <c r="F6" s="30" t="s">
        <v>86</v>
      </c>
      <c r="G6" s="30" t="s">
        <v>3051</v>
      </c>
      <c r="H6" s="30" t="s">
        <v>3645</v>
      </c>
      <c r="I6" s="30" t="s">
        <v>3052</v>
      </c>
      <c r="J6" s="30" t="s">
        <v>3053</v>
      </c>
      <c r="K6" s="30" t="s">
        <v>3054</v>
      </c>
      <c r="L6" s="30" t="s">
        <v>3055</v>
      </c>
      <c r="M6" s="30" t="s">
        <v>3056</v>
      </c>
      <c r="N6" s="30" t="s">
        <v>3646</v>
      </c>
      <c r="O6" s="30" t="s">
        <v>3057</v>
      </c>
      <c r="P6" s="30" t="s">
        <v>3058</v>
      </c>
      <c r="Q6" s="30" t="s">
        <v>3059</v>
      </c>
      <c r="R6" s="30" t="s">
        <v>3060</v>
      </c>
      <c r="S6" s="30" t="s">
        <v>3061</v>
      </c>
      <c r="T6" s="30" t="s">
        <v>3062</v>
      </c>
      <c r="U6" s="30" t="s">
        <v>3063</v>
      </c>
      <c r="V6" s="30" t="s">
        <v>3108</v>
      </c>
    </row>
    <row r="7" spans="1:24" s="19" customFormat="1" ht="17" hidden="1" x14ac:dyDescent="0.2">
      <c r="A7" s="19" t="s">
        <v>3064</v>
      </c>
      <c r="B7" s="19" t="s">
        <v>1797</v>
      </c>
      <c r="C7" s="19" t="s">
        <v>1794</v>
      </c>
      <c r="D7" s="19" t="s">
        <v>176</v>
      </c>
      <c r="E7" s="19" t="s">
        <v>830</v>
      </c>
      <c r="F7" s="19" t="s">
        <v>86</v>
      </c>
    </row>
    <row r="8" spans="1:24" s="30" customFormat="1" ht="136" x14ac:dyDescent="0.2">
      <c r="A8" s="30" t="s">
        <v>3065</v>
      </c>
      <c r="B8" s="30" t="s">
        <v>2723</v>
      </c>
      <c r="C8" s="30" t="s">
        <v>2720</v>
      </c>
      <c r="D8" s="30" t="s">
        <v>176</v>
      </c>
      <c r="E8" s="30" t="s">
        <v>454</v>
      </c>
      <c r="F8" s="30" t="s">
        <v>2635</v>
      </c>
      <c r="G8" s="30" t="s">
        <v>3066</v>
      </c>
      <c r="H8" s="30" t="s">
        <v>3067</v>
      </c>
      <c r="I8" s="30" t="s">
        <v>3068</v>
      </c>
      <c r="J8" s="30" t="s">
        <v>3038</v>
      </c>
      <c r="K8" s="30" t="s">
        <v>3069</v>
      </c>
      <c r="L8" s="30" t="s">
        <v>3070</v>
      </c>
      <c r="M8" s="30" t="s">
        <v>3529</v>
      </c>
      <c r="N8" s="30" t="s">
        <v>3071</v>
      </c>
      <c r="O8" s="30" t="s">
        <v>3072</v>
      </c>
      <c r="P8" s="30" t="s">
        <v>3528</v>
      </c>
      <c r="Q8" s="30" t="s">
        <v>3073</v>
      </c>
      <c r="R8" s="30" t="s">
        <v>3074</v>
      </c>
      <c r="S8" s="30" t="s">
        <v>3075</v>
      </c>
      <c r="T8" s="30" t="s">
        <v>3076</v>
      </c>
      <c r="U8" s="30" t="s">
        <v>3077</v>
      </c>
      <c r="V8" s="30" t="s">
        <v>3108</v>
      </c>
    </row>
    <row r="9" spans="1:24" s="30" customFormat="1" ht="136" hidden="1" x14ac:dyDescent="0.2">
      <c r="A9" s="30" t="s">
        <v>3078</v>
      </c>
      <c r="B9" s="30" t="s">
        <v>2261</v>
      </c>
      <c r="C9" s="30" t="s">
        <v>553</v>
      </c>
      <c r="D9" s="30" t="s">
        <v>146</v>
      </c>
      <c r="E9" s="30" t="s">
        <v>229</v>
      </c>
      <c r="F9" s="30" t="s">
        <v>2260</v>
      </c>
      <c r="G9" s="30" t="s">
        <v>3079</v>
      </c>
      <c r="H9" s="30" t="s">
        <v>3531</v>
      </c>
      <c r="I9" s="30" t="s">
        <v>3080</v>
      </c>
      <c r="J9" s="30" t="s">
        <v>3081</v>
      </c>
      <c r="K9" s="30" t="s">
        <v>3082</v>
      </c>
      <c r="L9" s="30" t="s">
        <v>3083</v>
      </c>
      <c r="M9" s="30" t="s">
        <v>3084</v>
      </c>
      <c r="N9" s="30" t="s">
        <v>3647</v>
      </c>
      <c r="O9" s="30" t="s">
        <v>3085</v>
      </c>
      <c r="P9" s="30" t="s">
        <v>3086</v>
      </c>
      <c r="Q9" s="30" t="s">
        <v>3087</v>
      </c>
      <c r="R9" s="30" t="s">
        <v>3530</v>
      </c>
      <c r="S9" s="30" t="s">
        <v>3088</v>
      </c>
      <c r="T9" s="30" t="s">
        <v>3089</v>
      </c>
      <c r="U9" s="30" t="s">
        <v>3090</v>
      </c>
      <c r="V9" s="30" t="s">
        <v>3108</v>
      </c>
    </row>
    <row r="10" spans="1:24" s="30" customFormat="1" ht="238" hidden="1" x14ac:dyDescent="0.2">
      <c r="A10" s="30" t="s">
        <v>3091</v>
      </c>
      <c r="B10" s="30" t="s">
        <v>627</v>
      </c>
      <c r="C10" s="30" t="s">
        <v>624</v>
      </c>
      <c r="D10" s="30" t="s">
        <v>176</v>
      </c>
      <c r="E10" s="30" t="s">
        <v>628</v>
      </c>
      <c r="F10" s="30" t="s">
        <v>86</v>
      </c>
      <c r="G10" s="30" t="s">
        <v>3092</v>
      </c>
      <c r="H10" s="30" t="s">
        <v>3093</v>
      </c>
      <c r="I10" s="30" t="s">
        <v>3094</v>
      </c>
      <c r="J10" s="30" t="s">
        <v>3095</v>
      </c>
      <c r="K10" s="30" t="s">
        <v>3096</v>
      </c>
      <c r="L10" s="30" t="s">
        <v>3097</v>
      </c>
      <c r="M10" s="30" t="s">
        <v>3098</v>
      </c>
      <c r="N10" s="30" t="s">
        <v>3648</v>
      </c>
      <c r="O10" s="30" t="s">
        <v>3099</v>
      </c>
      <c r="P10" s="30" t="s">
        <v>3100</v>
      </c>
      <c r="Q10" s="30" t="s">
        <v>3101</v>
      </c>
      <c r="R10" s="30" t="s">
        <v>3102</v>
      </c>
      <c r="S10" s="30" t="s">
        <v>3103</v>
      </c>
      <c r="T10" s="30" t="s">
        <v>3104</v>
      </c>
      <c r="U10" s="30" t="s">
        <v>3105</v>
      </c>
      <c r="V10" s="30" t="s">
        <v>3109</v>
      </c>
    </row>
    <row r="11" spans="1:24" s="31" customFormat="1" ht="255" hidden="1" x14ac:dyDescent="0.2">
      <c r="A11" s="31" t="s">
        <v>3106</v>
      </c>
      <c r="B11" s="31" t="s">
        <v>322</v>
      </c>
      <c r="C11" s="31" t="s">
        <v>319</v>
      </c>
      <c r="D11" s="31" t="s">
        <v>55</v>
      </c>
      <c r="E11" s="31" t="s">
        <v>323</v>
      </c>
      <c r="F11" s="31" t="s">
        <v>86</v>
      </c>
      <c r="G11" s="31" t="s">
        <v>3110</v>
      </c>
      <c r="H11" s="31" t="s">
        <v>3111</v>
      </c>
      <c r="I11" s="31" t="s">
        <v>3112</v>
      </c>
      <c r="J11" s="31" t="s">
        <v>3095</v>
      </c>
      <c r="K11" s="31" t="s">
        <v>3533</v>
      </c>
      <c r="L11" s="31" t="s">
        <v>3534</v>
      </c>
      <c r="M11" s="31" t="s">
        <v>3113</v>
      </c>
      <c r="N11" s="31" t="s">
        <v>3649</v>
      </c>
      <c r="O11" s="31" t="s">
        <v>3532</v>
      </c>
      <c r="P11" s="31" t="s">
        <v>3535</v>
      </c>
      <c r="Q11" s="31" t="s">
        <v>3114</v>
      </c>
      <c r="R11" s="31" t="s">
        <v>3536</v>
      </c>
      <c r="S11" s="31" t="s">
        <v>3115</v>
      </c>
      <c r="T11" s="31" t="s">
        <v>3537</v>
      </c>
      <c r="U11" s="31" t="s">
        <v>3539</v>
      </c>
      <c r="V11" s="31" t="s">
        <v>3109</v>
      </c>
      <c r="W11" s="31" t="s">
        <v>3538</v>
      </c>
      <c r="X11" s="31" t="s">
        <v>3549</v>
      </c>
    </row>
    <row r="12" spans="1:24" s="30" customFormat="1" ht="187" hidden="1" x14ac:dyDescent="0.2">
      <c r="A12" s="30" t="s">
        <v>3116</v>
      </c>
      <c r="B12" s="30" t="s">
        <v>2683</v>
      </c>
      <c r="C12" s="30" t="s">
        <v>2680</v>
      </c>
      <c r="D12" s="30" t="s">
        <v>146</v>
      </c>
      <c r="E12" s="30" t="s">
        <v>2684</v>
      </c>
      <c r="F12" s="30" t="s">
        <v>2635</v>
      </c>
      <c r="G12" s="30" t="s">
        <v>3117</v>
      </c>
      <c r="H12" s="30" t="s">
        <v>3118</v>
      </c>
      <c r="I12" s="30" t="s">
        <v>3119</v>
      </c>
      <c r="J12" s="30" t="s">
        <v>3120</v>
      </c>
      <c r="K12" s="30" t="s">
        <v>3121</v>
      </c>
      <c r="L12" s="30" t="s">
        <v>3122</v>
      </c>
      <c r="M12" s="30" t="s">
        <v>3540</v>
      </c>
      <c r="N12" s="30" t="s">
        <v>3650</v>
      </c>
      <c r="O12" s="30" t="s">
        <v>3123</v>
      </c>
      <c r="P12" s="30" t="s">
        <v>3124</v>
      </c>
      <c r="Q12" s="30" t="s">
        <v>3125</v>
      </c>
      <c r="R12" s="30" t="s">
        <v>3126</v>
      </c>
      <c r="S12" s="30" t="s">
        <v>3127</v>
      </c>
      <c r="T12" s="30" t="s">
        <v>3128</v>
      </c>
      <c r="U12" s="30" t="s">
        <v>3129</v>
      </c>
      <c r="V12" s="30" t="s">
        <v>3109</v>
      </c>
    </row>
    <row r="13" spans="1:24" s="31" customFormat="1" ht="187" hidden="1" x14ac:dyDescent="0.2">
      <c r="A13" s="31" t="s">
        <v>3130</v>
      </c>
      <c r="B13" s="31" t="s">
        <v>1487</v>
      </c>
      <c r="C13" s="31" t="s">
        <v>1484</v>
      </c>
      <c r="D13" s="31" t="s">
        <v>176</v>
      </c>
      <c r="E13" s="31" t="s">
        <v>1488</v>
      </c>
      <c r="F13" s="31" t="s">
        <v>86</v>
      </c>
      <c r="G13" s="31" t="s">
        <v>3131</v>
      </c>
      <c r="H13" s="31" t="s">
        <v>3541</v>
      </c>
      <c r="I13" s="31" t="s">
        <v>3132</v>
      </c>
      <c r="J13" s="31" t="s">
        <v>3038</v>
      </c>
      <c r="K13" s="31" t="s">
        <v>3542</v>
      </c>
      <c r="L13" s="31" t="s">
        <v>3543</v>
      </c>
      <c r="M13" s="31" t="s">
        <v>3133</v>
      </c>
      <c r="N13" s="31" t="s">
        <v>3134</v>
      </c>
      <c r="O13" s="31" t="s">
        <v>3544</v>
      </c>
      <c r="P13" s="31" t="s">
        <v>3135</v>
      </c>
      <c r="Q13" s="31" t="s">
        <v>3545</v>
      </c>
      <c r="R13" s="31" t="s">
        <v>3546</v>
      </c>
      <c r="S13" s="31" t="s">
        <v>3136</v>
      </c>
      <c r="T13" s="31" t="s">
        <v>3137</v>
      </c>
      <c r="U13" s="31" t="s">
        <v>3547</v>
      </c>
      <c r="V13" s="31" t="s">
        <v>3109</v>
      </c>
      <c r="W13" s="31" t="s">
        <v>3538</v>
      </c>
      <c r="X13" s="31" t="s">
        <v>3548</v>
      </c>
    </row>
    <row r="14" spans="1:24" s="30" customFormat="1" ht="187" x14ac:dyDescent="0.2">
      <c r="A14" s="30" t="s">
        <v>3138</v>
      </c>
      <c r="B14" s="30" t="s">
        <v>339</v>
      </c>
      <c r="C14" s="30" t="s">
        <v>336</v>
      </c>
      <c r="D14" s="30" t="s">
        <v>176</v>
      </c>
      <c r="E14" s="30" t="s">
        <v>340</v>
      </c>
      <c r="F14" s="30" t="s">
        <v>86</v>
      </c>
      <c r="G14" s="30" t="s">
        <v>3139</v>
      </c>
      <c r="H14" s="30" t="s">
        <v>3140</v>
      </c>
      <c r="I14" s="30" t="s">
        <v>3141</v>
      </c>
      <c r="J14" s="30" t="s">
        <v>3142</v>
      </c>
      <c r="K14" s="30" t="s">
        <v>3143</v>
      </c>
      <c r="L14" s="30" t="s">
        <v>3144</v>
      </c>
      <c r="M14" s="30" t="s">
        <v>3145</v>
      </c>
      <c r="N14" s="30" t="s">
        <v>3651</v>
      </c>
      <c r="O14" s="30" t="s">
        <v>3146</v>
      </c>
      <c r="P14" s="30" t="s">
        <v>3147</v>
      </c>
      <c r="Q14" s="30" t="s">
        <v>3148</v>
      </c>
      <c r="R14" s="30" t="s">
        <v>3149</v>
      </c>
      <c r="S14" s="30" t="s">
        <v>3150</v>
      </c>
      <c r="T14" s="30" t="s">
        <v>3152</v>
      </c>
      <c r="U14" s="30" t="s">
        <v>3151</v>
      </c>
      <c r="V14" s="30" t="s">
        <v>3109</v>
      </c>
    </row>
    <row r="15" spans="1:24" s="30" customFormat="1" ht="187" hidden="1" x14ac:dyDescent="0.2">
      <c r="A15" s="30" t="s">
        <v>3153</v>
      </c>
      <c r="B15" s="30" t="s">
        <v>990</v>
      </c>
      <c r="C15" s="30" t="s">
        <v>987</v>
      </c>
      <c r="D15" s="30" t="s">
        <v>176</v>
      </c>
      <c r="E15" s="30" t="s">
        <v>252</v>
      </c>
      <c r="F15" s="30" t="s">
        <v>86</v>
      </c>
      <c r="G15" s="30" t="s">
        <v>3154</v>
      </c>
      <c r="H15" s="30" t="s">
        <v>3155</v>
      </c>
      <c r="I15" s="30" t="s">
        <v>3156</v>
      </c>
      <c r="J15" s="30" t="s">
        <v>3615</v>
      </c>
      <c r="K15" s="30" t="s">
        <v>3158</v>
      </c>
      <c r="L15" s="30" t="s">
        <v>3159</v>
      </c>
      <c r="M15" s="30" t="s">
        <v>3160</v>
      </c>
      <c r="N15" s="30" t="s">
        <v>3161</v>
      </c>
      <c r="O15" s="30" t="s">
        <v>3162</v>
      </c>
      <c r="P15" s="30" t="s">
        <v>3163</v>
      </c>
      <c r="Q15" s="30" t="s">
        <v>3164</v>
      </c>
      <c r="R15" s="30" t="s">
        <v>3165</v>
      </c>
      <c r="S15" s="30" t="s">
        <v>3166</v>
      </c>
      <c r="T15" s="30" t="s">
        <v>3167</v>
      </c>
      <c r="U15" s="30" t="s">
        <v>3168</v>
      </c>
      <c r="V15" s="30" t="s">
        <v>3109</v>
      </c>
    </row>
    <row r="16" spans="1:24" s="31" customFormat="1" ht="187" x14ac:dyDescent="0.2">
      <c r="A16" s="31" t="s">
        <v>3169</v>
      </c>
      <c r="B16" s="31" t="s">
        <v>489</v>
      </c>
      <c r="C16" s="31" t="s">
        <v>486</v>
      </c>
      <c r="D16" s="31" t="s">
        <v>121</v>
      </c>
      <c r="E16" s="31" t="s">
        <v>122</v>
      </c>
      <c r="F16" s="31" t="s">
        <v>86</v>
      </c>
      <c r="G16" s="31" t="s">
        <v>3170</v>
      </c>
      <c r="H16" s="31" t="s">
        <v>3550</v>
      </c>
      <c r="I16" s="31" t="s">
        <v>3171</v>
      </c>
      <c r="J16" s="31" t="s">
        <v>3157</v>
      </c>
      <c r="K16" s="31" t="s">
        <v>3551</v>
      </c>
      <c r="L16" s="31" t="s">
        <v>3552</v>
      </c>
      <c r="M16" s="31" t="s">
        <v>3553</v>
      </c>
      <c r="N16" s="31" t="s">
        <v>3652</v>
      </c>
      <c r="O16" s="31" t="s">
        <v>3172</v>
      </c>
      <c r="P16" s="31" t="s">
        <v>3173</v>
      </c>
      <c r="Q16" s="31" t="s">
        <v>3554</v>
      </c>
      <c r="R16" s="31" t="s">
        <v>3174</v>
      </c>
      <c r="S16" s="31" t="s">
        <v>3175</v>
      </c>
      <c r="T16" s="31" t="s">
        <v>3176</v>
      </c>
      <c r="U16" s="31" t="s">
        <v>3555</v>
      </c>
      <c r="V16" s="31" t="s">
        <v>3109</v>
      </c>
      <c r="W16" s="31" t="s">
        <v>3538</v>
      </c>
      <c r="X16" s="31" t="s">
        <v>3556</v>
      </c>
    </row>
    <row r="17" spans="1:24" s="19" customFormat="1" ht="51" hidden="1" x14ac:dyDescent="0.2">
      <c r="A17" s="19" t="s">
        <v>3177</v>
      </c>
      <c r="B17" s="19" t="s">
        <v>2317</v>
      </c>
      <c r="C17" s="19" t="s">
        <v>2314</v>
      </c>
      <c r="D17" s="19" t="s">
        <v>146</v>
      </c>
      <c r="E17" s="19" t="s">
        <v>830</v>
      </c>
      <c r="F17" s="19" t="s">
        <v>2313</v>
      </c>
      <c r="U17" s="19" t="s">
        <v>2881</v>
      </c>
      <c r="V17" s="19" t="s">
        <v>3109</v>
      </c>
    </row>
    <row r="18" spans="1:24" s="30" customFormat="1" ht="170" x14ac:dyDescent="0.2">
      <c r="A18" s="30" t="s">
        <v>3178</v>
      </c>
      <c r="B18" s="30" t="s">
        <v>1047</v>
      </c>
      <c r="C18" s="30" t="s">
        <v>1044</v>
      </c>
      <c r="D18" s="30" t="s">
        <v>176</v>
      </c>
      <c r="E18" s="30" t="s">
        <v>1048</v>
      </c>
      <c r="F18" s="30" t="s">
        <v>86</v>
      </c>
      <c r="G18" s="30" t="s">
        <v>3179</v>
      </c>
      <c r="H18" s="30" t="s">
        <v>3180</v>
      </c>
      <c r="I18" s="30" t="s">
        <v>3181</v>
      </c>
      <c r="J18" s="30" t="s">
        <v>3184</v>
      </c>
      <c r="K18" s="30" t="s">
        <v>3558</v>
      </c>
      <c r="L18" s="30" t="s">
        <v>3182</v>
      </c>
      <c r="M18" s="30" t="s">
        <v>3183</v>
      </c>
      <c r="N18" s="30" t="s">
        <v>3653</v>
      </c>
      <c r="O18" s="30" t="s">
        <v>3185</v>
      </c>
      <c r="P18" s="30" t="s">
        <v>3186</v>
      </c>
      <c r="Q18" s="30" t="s">
        <v>3557</v>
      </c>
      <c r="R18" s="30" t="s">
        <v>3187</v>
      </c>
      <c r="S18" s="30" t="s">
        <v>3188</v>
      </c>
      <c r="T18" s="30" t="s">
        <v>3189</v>
      </c>
      <c r="U18" s="30" t="s">
        <v>3190</v>
      </c>
      <c r="V18" s="30" t="s">
        <v>3109</v>
      </c>
    </row>
    <row r="19" spans="1:24" s="30" customFormat="1" ht="238" hidden="1" x14ac:dyDescent="0.2">
      <c r="A19" s="30" t="s">
        <v>3191</v>
      </c>
      <c r="B19" s="30" t="s">
        <v>1214</v>
      </c>
      <c r="C19" s="30" t="s">
        <v>1211</v>
      </c>
      <c r="D19" s="30" t="s">
        <v>176</v>
      </c>
      <c r="E19" s="30" t="s">
        <v>368</v>
      </c>
      <c r="F19" s="30" t="s">
        <v>86</v>
      </c>
      <c r="G19" s="30" t="s">
        <v>3192</v>
      </c>
      <c r="H19" s="30" t="s">
        <v>3193</v>
      </c>
      <c r="I19" s="30" t="s">
        <v>3194</v>
      </c>
      <c r="J19" s="30" t="s">
        <v>3195</v>
      </c>
      <c r="K19" s="30" t="s">
        <v>3559</v>
      </c>
      <c r="L19" s="30" t="s">
        <v>3196</v>
      </c>
      <c r="M19" s="30" t="s">
        <v>3197</v>
      </c>
      <c r="N19" s="30" t="s">
        <v>3654</v>
      </c>
      <c r="O19" s="30" t="s">
        <v>3198</v>
      </c>
      <c r="P19" s="30" t="s">
        <v>3199</v>
      </c>
      <c r="Q19" s="30" t="s">
        <v>3200</v>
      </c>
      <c r="R19" s="30" t="s">
        <v>3201</v>
      </c>
      <c r="S19" s="30" t="s">
        <v>3202</v>
      </c>
      <c r="T19" s="30" t="s">
        <v>3203</v>
      </c>
      <c r="U19" s="30" t="s">
        <v>3204</v>
      </c>
      <c r="V19" s="30" t="s">
        <v>3109</v>
      </c>
    </row>
    <row r="20" spans="1:24" s="30" customFormat="1" ht="238" hidden="1" x14ac:dyDescent="0.2">
      <c r="A20" s="30" t="s">
        <v>3205</v>
      </c>
      <c r="B20" s="30" t="s">
        <v>2241</v>
      </c>
      <c r="C20" s="30" t="s">
        <v>2238</v>
      </c>
      <c r="D20" s="30" t="s">
        <v>146</v>
      </c>
      <c r="E20" s="30" t="s">
        <v>2242</v>
      </c>
      <c r="F20" s="30" t="s">
        <v>2260</v>
      </c>
      <c r="G20" s="30" t="s">
        <v>3206</v>
      </c>
      <c r="H20" s="30" t="s">
        <v>3207</v>
      </c>
      <c r="I20" s="30" t="s">
        <v>3208</v>
      </c>
      <c r="J20" s="30" t="s">
        <v>3209</v>
      </c>
      <c r="K20" s="30" t="s">
        <v>3210</v>
      </c>
      <c r="L20" s="30" t="s">
        <v>3211</v>
      </c>
      <c r="M20" s="30" t="s">
        <v>3212</v>
      </c>
      <c r="N20" s="30" t="s">
        <v>3213</v>
      </c>
      <c r="O20" s="30" t="s">
        <v>3214</v>
      </c>
      <c r="P20" s="30" t="s">
        <v>3215</v>
      </c>
      <c r="Q20" s="30" t="s">
        <v>3560</v>
      </c>
      <c r="R20" s="30" t="s">
        <v>3216</v>
      </c>
      <c r="S20" s="30" t="s">
        <v>3217</v>
      </c>
      <c r="T20" s="30" t="s">
        <v>3218</v>
      </c>
      <c r="U20" s="30" t="s">
        <v>3219</v>
      </c>
      <c r="V20" s="30" t="s">
        <v>3109</v>
      </c>
    </row>
    <row r="21" spans="1:24" s="30" customFormat="1" ht="255" hidden="1" x14ac:dyDescent="0.2">
      <c r="A21" s="30" t="s">
        <v>3669</v>
      </c>
      <c r="B21" s="30" t="s">
        <v>2479</v>
      </c>
      <c r="C21" s="30" t="s">
        <v>2476</v>
      </c>
      <c r="D21" s="30" t="s">
        <v>146</v>
      </c>
      <c r="E21" s="30" t="s">
        <v>923</v>
      </c>
      <c r="F21" s="30" t="s">
        <v>2313</v>
      </c>
      <c r="G21" s="30" t="s">
        <v>3220</v>
      </c>
      <c r="H21" s="30" t="s">
        <v>3561</v>
      </c>
      <c r="I21" s="30" t="s">
        <v>3221</v>
      </c>
      <c r="J21" s="30" t="s">
        <v>3222</v>
      </c>
      <c r="K21" s="30" t="s">
        <v>3562</v>
      </c>
      <c r="L21" s="30" t="s">
        <v>3223</v>
      </c>
      <c r="M21" s="30" t="s">
        <v>3224</v>
      </c>
      <c r="N21" s="30" t="s">
        <v>3655</v>
      </c>
      <c r="O21" s="30" t="s">
        <v>3563</v>
      </c>
      <c r="P21" s="30" t="s">
        <v>3225</v>
      </c>
      <c r="Q21" s="30" t="s">
        <v>3226</v>
      </c>
      <c r="R21" s="30" t="s">
        <v>3227</v>
      </c>
      <c r="S21" s="30" t="s">
        <v>3228</v>
      </c>
      <c r="T21" s="30" t="s">
        <v>3229</v>
      </c>
      <c r="U21" s="30" t="s">
        <v>3230</v>
      </c>
      <c r="V21" s="30" t="s">
        <v>3109</v>
      </c>
    </row>
    <row r="22" spans="1:24" s="19" customFormat="1" ht="51" hidden="1" x14ac:dyDescent="0.2">
      <c r="A22" s="19" t="s">
        <v>3231</v>
      </c>
      <c r="B22" s="19" t="s">
        <v>1248</v>
      </c>
      <c r="C22" s="19" t="s">
        <v>1245</v>
      </c>
      <c r="D22" s="19" t="s">
        <v>146</v>
      </c>
      <c r="E22" s="19" t="s">
        <v>56</v>
      </c>
      <c r="F22" s="19" t="s">
        <v>86</v>
      </c>
      <c r="U22" s="19" t="s">
        <v>2836</v>
      </c>
      <c r="V22" s="19" t="s">
        <v>3109</v>
      </c>
    </row>
    <row r="23" spans="1:24" s="30" customFormat="1" ht="170" hidden="1" x14ac:dyDescent="0.2">
      <c r="A23" s="30" t="s">
        <v>3232</v>
      </c>
      <c r="B23" s="30" t="s">
        <v>1399</v>
      </c>
      <c r="C23" s="30" t="s">
        <v>1396</v>
      </c>
      <c r="D23" s="30" t="s">
        <v>92</v>
      </c>
      <c r="E23" s="30" t="s">
        <v>93</v>
      </c>
      <c r="F23" s="30" t="s">
        <v>86</v>
      </c>
      <c r="G23" s="30" t="s">
        <v>3233</v>
      </c>
      <c r="H23" s="30" t="s">
        <v>3234</v>
      </c>
      <c r="I23" s="30" t="s">
        <v>3235</v>
      </c>
      <c r="J23" s="30" t="s">
        <v>3614</v>
      </c>
      <c r="K23" s="30" t="s">
        <v>3236</v>
      </c>
      <c r="L23" s="30" t="s">
        <v>3237</v>
      </c>
      <c r="M23" s="30" t="s">
        <v>3238</v>
      </c>
      <c r="N23" s="30" t="s">
        <v>3239</v>
      </c>
      <c r="O23" s="30" t="s">
        <v>3565</v>
      </c>
      <c r="P23" s="30" t="s">
        <v>3240</v>
      </c>
      <c r="Q23" s="30" t="s">
        <v>3564</v>
      </c>
      <c r="R23" s="30" t="s">
        <v>3241</v>
      </c>
      <c r="S23" s="30" t="s">
        <v>3242</v>
      </c>
      <c r="T23" s="30" t="s">
        <v>3243</v>
      </c>
      <c r="U23" s="30" t="s">
        <v>3244</v>
      </c>
      <c r="V23" s="30" t="s">
        <v>3109</v>
      </c>
    </row>
    <row r="24" spans="1:24" s="30" customFormat="1" ht="204" hidden="1" x14ac:dyDescent="0.2">
      <c r="A24" s="30" t="s">
        <v>3245</v>
      </c>
      <c r="B24" s="30" t="s">
        <v>367</v>
      </c>
      <c r="C24" s="30" t="s">
        <v>364</v>
      </c>
      <c r="D24" s="30" t="s">
        <v>176</v>
      </c>
      <c r="E24" s="30" t="s">
        <v>368</v>
      </c>
      <c r="F24" s="30" t="s">
        <v>86</v>
      </c>
      <c r="G24" s="30" t="s">
        <v>3246</v>
      </c>
      <c r="H24" s="30" t="s">
        <v>3247</v>
      </c>
      <c r="I24" s="30" t="s">
        <v>3248</v>
      </c>
      <c r="J24" s="30" t="s">
        <v>3038</v>
      </c>
      <c r="K24" s="30" t="s">
        <v>3567</v>
      </c>
      <c r="L24" s="30" t="s">
        <v>3249</v>
      </c>
      <c r="M24" s="30" t="s">
        <v>3250</v>
      </c>
      <c r="N24" s="30" t="s">
        <v>3656</v>
      </c>
      <c r="O24" s="30" t="s">
        <v>3251</v>
      </c>
      <c r="P24" s="30" t="s">
        <v>3252</v>
      </c>
      <c r="Q24" s="30" t="s">
        <v>3566</v>
      </c>
      <c r="R24" s="30" t="s">
        <v>3253</v>
      </c>
      <c r="S24" s="30" t="s">
        <v>3254</v>
      </c>
      <c r="T24" s="30" t="s">
        <v>3255</v>
      </c>
      <c r="U24" s="30" t="s">
        <v>3256</v>
      </c>
      <c r="V24" s="30" t="s">
        <v>3109</v>
      </c>
    </row>
    <row r="25" spans="1:24" s="30" customFormat="1" ht="221" hidden="1" x14ac:dyDescent="0.2">
      <c r="A25" s="30" t="s">
        <v>3257</v>
      </c>
      <c r="B25" s="30" t="s">
        <v>762</v>
      </c>
      <c r="C25" s="30" t="s">
        <v>759</v>
      </c>
      <c r="D25" s="30" t="s">
        <v>176</v>
      </c>
      <c r="E25" s="30" t="s">
        <v>252</v>
      </c>
      <c r="F25" s="30" t="s">
        <v>86</v>
      </c>
      <c r="G25" s="30" t="s">
        <v>3258</v>
      </c>
      <c r="H25" s="30" t="s">
        <v>3259</v>
      </c>
      <c r="I25" s="30" t="s">
        <v>3260</v>
      </c>
      <c r="J25" s="30" t="s">
        <v>3261</v>
      </c>
      <c r="K25" s="30" t="s">
        <v>3569</v>
      </c>
      <c r="L25" s="30" t="s">
        <v>3262</v>
      </c>
      <c r="M25" s="30" t="s">
        <v>3263</v>
      </c>
      <c r="N25" s="30" t="s">
        <v>3657</v>
      </c>
      <c r="O25" s="30" t="s">
        <v>3568</v>
      </c>
      <c r="P25" s="30" t="s">
        <v>3264</v>
      </c>
      <c r="Q25" s="30" t="s">
        <v>3265</v>
      </c>
      <c r="R25" s="30" t="s">
        <v>3266</v>
      </c>
      <c r="S25" s="30" t="s">
        <v>3267</v>
      </c>
      <c r="T25" s="30" t="s">
        <v>3268</v>
      </c>
      <c r="U25" s="30" t="s">
        <v>3269</v>
      </c>
      <c r="V25" s="30" t="s">
        <v>3109</v>
      </c>
    </row>
    <row r="26" spans="1:24" s="31" customFormat="1" ht="306" x14ac:dyDescent="0.2">
      <c r="A26" s="31" t="s">
        <v>3270</v>
      </c>
      <c r="B26" s="31" t="s">
        <v>1845</v>
      </c>
      <c r="C26" s="31" t="s">
        <v>1842</v>
      </c>
      <c r="D26" s="31" t="s">
        <v>146</v>
      </c>
      <c r="E26" s="31" t="s">
        <v>923</v>
      </c>
      <c r="F26" s="31" t="s">
        <v>86</v>
      </c>
      <c r="G26" s="31" t="s">
        <v>3271</v>
      </c>
      <c r="H26" s="31" t="s">
        <v>3272</v>
      </c>
      <c r="I26" s="31" t="s">
        <v>3273</v>
      </c>
      <c r="J26" s="31" t="s">
        <v>3274</v>
      </c>
      <c r="K26" s="31" t="s">
        <v>3275</v>
      </c>
      <c r="L26" s="31" t="s">
        <v>3276</v>
      </c>
      <c r="M26" s="31" t="s">
        <v>3277</v>
      </c>
      <c r="N26" s="31" t="s">
        <v>3572</v>
      </c>
      <c r="O26" s="31" t="s">
        <v>3571</v>
      </c>
      <c r="P26" s="31" t="s">
        <v>3278</v>
      </c>
      <c r="Q26" s="31" t="s">
        <v>3279</v>
      </c>
      <c r="R26" s="31" t="s">
        <v>3280</v>
      </c>
      <c r="S26" s="31" t="s">
        <v>3281</v>
      </c>
      <c r="T26" s="31" t="s">
        <v>3282</v>
      </c>
      <c r="U26" s="31" t="s">
        <v>3283</v>
      </c>
      <c r="V26" s="31" t="s">
        <v>3109</v>
      </c>
      <c r="W26" s="31" t="s">
        <v>3538</v>
      </c>
      <c r="X26" s="31" t="s">
        <v>3570</v>
      </c>
    </row>
    <row r="27" spans="1:24" s="30" customFormat="1" ht="221" hidden="1" x14ac:dyDescent="0.2">
      <c r="A27" s="30" t="s">
        <v>3284</v>
      </c>
      <c r="B27" s="30" t="s">
        <v>671</v>
      </c>
      <c r="C27" s="30" t="s">
        <v>668</v>
      </c>
      <c r="D27" s="30" t="s">
        <v>176</v>
      </c>
      <c r="E27" s="30" t="s">
        <v>672</v>
      </c>
      <c r="F27" s="30" t="s">
        <v>86</v>
      </c>
      <c r="G27" s="30" t="s">
        <v>3285</v>
      </c>
      <c r="H27" s="30" t="s">
        <v>3286</v>
      </c>
      <c r="I27" s="30" t="s">
        <v>3287</v>
      </c>
      <c r="J27" s="30" t="s">
        <v>3288</v>
      </c>
      <c r="K27" s="30" t="s">
        <v>3289</v>
      </c>
      <c r="L27" s="30" t="s">
        <v>3290</v>
      </c>
      <c r="M27" s="30" t="s">
        <v>3291</v>
      </c>
      <c r="N27" s="30" t="s">
        <v>3658</v>
      </c>
      <c r="O27" s="30" t="s">
        <v>3292</v>
      </c>
      <c r="P27" s="30" t="s">
        <v>3293</v>
      </c>
      <c r="Q27" s="30" t="s">
        <v>3294</v>
      </c>
      <c r="R27" s="30" t="s">
        <v>3295</v>
      </c>
      <c r="S27" s="30" t="s">
        <v>3296</v>
      </c>
      <c r="T27" s="30" t="s">
        <v>3297</v>
      </c>
      <c r="U27" s="30" t="s">
        <v>3298</v>
      </c>
      <c r="V27" s="30" t="s">
        <v>3109</v>
      </c>
    </row>
    <row r="28" spans="1:24" s="30" customFormat="1" ht="221" hidden="1" x14ac:dyDescent="0.2">
      <c r="A28" s="30" t="s">
        <v>3299</v>
      </c>
      <c r="B28" s="30" t="s">
        <v>1631</v>
      </c>
      <c r="C28" s="30" t="s">
        <v>1628</v>
      </c>
      <c r="D28" s="30" t="s">
        <v>176</v>
      </c>
      <c r="E28" s="30" t="s">
        <v>1632</v>
      </c>
      <c r="F28" s="30" t="s">
        <v>86</v>
      </c>
      <c r="G28" s="30" t="s">
        <v>3300</v>
      </c>
      <c r="H28" s="30" t="s">
        <v>3301</v>
      </c>
      <c r="I28" s="30" t="s">
        <v>3302</v>
      </c>
      <c r="J28" s="30" t="s">
        <v>3303</v>
      </c>
      <c r="K28" s="30" t="s">
        <v>3304</v>
      </c>
      <c r="L28" s="30" t="s">
        <v>3305</v>
      </c>
      <c r="M28" s="30" t="s">
        <v>3306</v>
      </c>
      <c r="N28" s="30" t="s">
        <v>3659</v>
      </c>
      <c r="O28" s="30" t="s">
        <v>3307</v>
      </c>
      <c r="P28" s="30" t="s">
        <v>3313</v>
      </c>
      <c r="Q28" s="30" t="s">
        <v>3308</v>
      </c>
      <c r="R28" s="30" t="s">
        <v>3309</v>
      </c>
      <c r="S28" s="30" t="s">
        <v>3310</v>
      </c>
      <c r="T28" s="30" t="s">
        <v>3311</v>
      </c>
      <c r="U28" s="30" t="s">
        <v>3312</v>
      </c>
      <c r="V28" s="30" t="s">
        <v>3109</v>
      </c>
    </row>
    <row r="29" spans="1:24" s="30" customFormat="1" ht="238" hidden="1" x14ac:dyDescent="0.2">
      <c r="A29" s="30" t="s">
        <v>3314</v>
      </c>
      <c r="B29" s="30" t="s">
        <v>1071</v>
      </c>
      <c r="C29" s="30" t="s">
        <v>1068</v>
      </c>
      <c r="D29" s="30" t="s">
        <v>146</v>
      </c>
      <c r="E29" s="30" t="s">
        <v>923</v>
      </c>
      <c r="F29" s="30" t="s">
        <v>86</v>
      </c>
      <c r="G29" s="30" t="s">
        <v>3315</v>
      </c>
      <c r="H29" s="30" t="s">
        <v>3316</v>
      </c>
      <c r="I29" s="30" t="s">
        <v>3317</v>
      </c>
      <c r="J29" s="30" t="s">
        <v>3318</v>
      </c>
      <c r="K29" s="30" t="s">
        <v>3319</v>
      </c>
      <c r="L29" s="30" t="s">
        <v>3320</v>
      </c>
      <c r="M29" s="30" t="s">
        <v>3321</v>
      </c>
      <c r="N29" s="30" t="s">
        <v>3660</v>
      </c>
      <c r="O29" s="30" t="s">
        <v>3322</v>
      </c>
      <c r="P29" s="30" t="s">
        <v>3573</v>
      </c>
      <c r="Q29" s="30" t="s">
        <v>3323</v>
      </c>
      <c r="R29" s="30" t="s">
        <v>3324</v>
      </c>
      <c r="S29" s="30" t="s">
        <v>3325</v>
      </c>
      <c r="T29" s="30" t="s">
        <v>3326</v>
      </c>
      <c r="U29" s="30" t="s">
        <v>3327</v>
      </c>
      <c r="V29" s="30" t="s">
        <v>3109</v>
      </c>
    </row>
    <row r="30" spans="1:24" s="31" customFormat="1" ht="289" x14ac:dyDescent="0.2">
      <c r="A30" s="31" t="s">
        <v>3328</v>
      </c>
      <c r="B30" s="31" t="s">
        <v>1899</v>
      </c>
      <c r="C30" s="31" t="s">
        <v>1896</v>
      </c>
      <c r="D30" s="31" t="s">
        <v>121</v>
      </c>
      <c r="E30" s="31" t="s">
        <v>1900</v>
      </c>
      <c r="F30" s="31" t="s">
        <v>86</v>
      </c>
      <c r="G30" s="31" t="s">
        <v>3329</v>
      </c>
      <c r="H30" s="31" t="s">
        <v>3574</v>
      </c>
      <c r="I30" s="31" t="s">
        <v>3575</v>
      </c>
      <c r="J30" s="31" t="s">
        <v>3576</v>
      </c>
      <c r="K30" s="31" t="s">
        <v>3577</v>
      </c>
      <c r="L30" s="31" t="s">
        <v>3578</v>
      </c>
      <c r="M30" s="31" t="s">
        <v>3579</v>
      </c>
      <c r="N30" s="31" t="s">
        <v>3580</v>
      </c>
      <c r="O30" s="31" t="s">
        <v>3581</v>
      </c>
      <c r="P30" s="31" t="s">
        <v>3582</v>
      </c>
      <c r="Q30" s="31" t="s">
        <v>3583</v>
      </c>
      <c r="R30" s="31" t="s">
        <v>3584</v>
      </c>
      <c r="S30" s="31" t="s">
        <v>3585</v>
      </c>
      <c r="T30" s="31" t="s">
        <v>3586</v>
      </c>
      <c r="U30" s="31" t="s">
        <v>3587</v>
      </c>
      <c r="V30" s="31" t="s">
        <v>3109</v>
      </c>
      <c r="W30" s="31" t="s">
        <v>3538</v>
      </c>
      <c r="X30" s="31" t="s">
        <v>3588</v>
      </c>
    </row>
    <row r="31" spans="1:24" s="30" customFormat="1" ht="187" hidden="1" x14ac:dyDescent="0.2">
      <c r="A31" s="30" t="s">
        <v>3330</v>
      </c>
      <c r="B31" s="30" t="s">
        <v>2593</v>
      </c>
      <c r="C31" s="30" t="s">
        <v>2590</v>
      </c>
      <c r="D31" s="30" t="s">
        <v>2594</v>
      </c>
      <c r="E31" s="30" t="s">
        <v>2595</v>
      </c>
      <c r="F31" s="30" t="s">
        <v>2551</v>
      </c>
      <c r="G31" s="30" t="s">
        <v>3331</v>
      </c>
      <c r="H31" s="30" t="s">
        <v>3332</v>
      </c>
      <c r="I31" s="30" t="s">
        <v>3333</v>
      </c>
      <c r="J31" s="30" t="s">
        <v>3589</v>
      </c>
      <c r="K31" s="30" t="s">
        <v>3334</v>
      </c>
      <c r="L31" s="30" t="s">
        <v>3335</v>
      </c>
      <c r="M31" s="30" t="s">
        <v>3336</v>
      </c>
      <c r="N31" s="30" t="s">
        <v>3337</v>
      </c>
      <c r="O31" s="30" t="s">
        <v>3338</v>
      </c>
      <c r="P31" s="30" t="s">
        <v>3339</v>
      </c>
      <c r="Q31" s="30" t="s">
        <v>3340</v>
      </c>
      <c r="R31" s="30" t="s">
        <v>3341</v>
      </c>
      <c r="S31" s="30" t="s">
        <v>3342</v>
      </c>
      <c r="T31" s="30" t="s">
        <v>3343</v>
      </c>
      <c r="U31" s="30" t="s">
        <v>3344</v>
      </c>
      <c r="V31" s="30" t="s">
        <v>3109</v>
      </c>
    </row>
    <row r="32" spans="1:24" s="30" customFormat="1" ht="170" hidden="1" x14ac:dyDescent="0.2">
      <c r="A32" s="30" t="s">
        <v>3345</v>
      </c>
      <c r="B32" s="30" t="s">
        <v>1163</v>
      </c>
      <c r="C32" s="30" t="s">
        <v>1160</v>
      </c>
      <c r="D32" s="30" t="s">
        <v>146</v>
      </c>
      <c r="E32" s="30" t="s">
        <v>1164</v>
      </c>
      <c r="F32" s="30" t="s">
        <v>86</v>
      </c>
      <c r="G32" s="30" t="s">
        <v>3346</v>
      </c>
      <c r="H32" s="30" t="s">
        <v>3347</v>
      </c>
      <c r="I32" s="30" t="s">
        <v>3348</v>
      </c>
      <c r="J32" s="30" t="s">
        <v>3081</v>
      </c>
      <c r="K32" s="30" t="s">
        <v>3349</v>
      </c>
      <c r="L32" s="30" t="s">
        <v>3350</v>
      </c>
      <c r="M32" s="30" t="s">
        <v>3351</v>
      </c>
      <c r="N32" s="30" t="s">
        <v>3352</v>
      </c>
      <c r="O32" s="30" t="s">
        <v>3353</v>
      </c>
      <c r="P32" s="30" t="s">
        <v>3354</v>
      </c>
      <c r="Q32" s="30" t="s">
        <v>3355</v>
      </c>
      <c r="R32" s="30" t="s">
        <v>3356</v>
      </c>
      <c r="S32" s="30" t="s">
        <v>3357</v>
      </c>
      <c r="T32" s="30" t="s">
        <v>3358</v>
      </c>
      <c r="U32" s="30" t="s">
        <v>3359</v>
      </c>
      <c r="V32" s="30" t="s">
        <v>3109</v>
      </c>
    </row>
    <row r="33" spans="1:25" s="19" customFormat="1" ht="34" hidden="1" x14ac:dyDescent="0.2">
      <c r="A33" s="19" t="s">
        <v>3360</v>
      </c>
      <c r="B33" s="19" t="s">
        <v>829</v>
      </c>
      <c r="C33" s="19" t="s">
        <v>826</v>
      </c>
      <c r="D33" s="19" t="s">
        <v>176</v>
      </c>
      <c r="E33" s="19" t="s">
        <v>830</v>
      </c>
      <c r="F33" s="19" t="s">
        <v>86</v>
      </c>
      <c r="U33" s="19" t="s">
        <v>2956</v>
      </c>
      <c r="V33" s="19" t="s">
        <v>3109</v>
      </c>
    </row>
    <row r="34" spans="1:25" s="30" customFormat="1" ht="289" x14ac:dyDescent="0.2">
      <c r="A34" s="30" t="s">
        <v>3361</v>
      </c>
      <c r="B34" s="30" t="s">
        <v>175</v>
      </c>
      <c r="C34" s="30" t="s">
        <v>172</v>
      </c>
      <c r="D34" s="30" t="s">
        <v>176</v>
      </c>
      <c r="E34" s="30" t="s">
        <v>177</v>
      </c>
      <c r="F34" s="30" t="s">
        <v>86</v>
      </c>
      <c r="G34" s="30" t="s">
        <v>3362</v>
      </c>
      <c r="H34" s="30" t="s">
        <v>3363</v>
      </c>
      <c r="I34" s="30" t="s">
        <v>3364</v>
      </c>
      <c r="J34" s="30" t="s">
        <v>3038</v>
      </c>
      <c r="K34" s="30" t="s">
        <v>3365</v>
      </c>
      <c r="L34" s="30" t="s">
        <v>3366</v>
      </c>
      <c r="M34" s="30" t="s">
        <v>3590</v>
      </c>
      <c r="N34" s="30" t="s">
        <v>3661</v>
      </c>
      <c r="O34" s="30" t="s">
        <v>3367</v>
      </c>
      <c r="P34" s="30" t="s">
        <v>3368</v>
      </c>
      <c r="Q34" s="30" t="s">
        <v>3369</v>
      </c>
      <c r="R34" s="30" t="s">
        <v>3370</v>
      </c>
      <c r="S34" s="30" t="s">
        <v>3371</v>
      </c>
      <c r="T34" s="30" t="s">
        <v>3372</v>
      </c>
      <c r="U34" s="30" t="s">
        <v>3373</v>
      </c>
      <c r="V34" s="30" t="s">
        <v>3109</v>
      </c>
    </row>
    <row r="35" spans="1:25" s="30" customFormat="1" ht="238" x14ac:dyDescent="0.2">
      <c r="A35" s="30" t="s">
        <v>3374</v>
      </c>
      <c r="B35" s="30" t="s">
        <v>471</v>
      </c>
      <c r="C35" s="30" t="s">
        <v>468</v>
      </c>
      <c r="D35" s="30" t="s">
        <v>176</v>
      </c>
      <c r="E35" s="30" t="s">
        <v>252</v>
      </c>
      <c r="F35" s="30" t="s">
        <v>86</v>
      </c>
      <c r="G35" s="30" t="s">
        <v>3375</v>
      </c>
      <c r="H35" s="30" t="s">
        <v>3376</v>
      </c>
      <c r="I35" s="30" t="s">
        <v>3377</v>
      </c>
      <c r="J35" s="30" t="s">
        <v>3038</v>
      </c>
      <c r="K35" s="30" t="s">
        <v>3378</v>
      </c>
      <c r="L35" s="30" t="s">
        <v>3379</v>
      </c>
      <c r="M35" s="30" t="s">
        <v>3380</v>
      </c>
      <c r="N35" s="30" t="s">
        <v>3662</v>
      </c>
      <c r="O35" s="30" t="s">
        <v>3381</v>
      </c>
      <c r="P35" s="30" t="s">
        <v>3591</v>
      </c>
      <c r="Q35" s="30" t="s">
        <v>3382</v>
      </c>
      <c r="R35" s="30" t="s">
        <v>3383</v>
      </c>
      <c r="S35" s="30" t="s">
        <v>3384</v>
      </c>
      <c r="T35" s="30" t="s">
        <v>3592</v>
      </c>
      <c r="U35" s="30" t="s">
        <v>3385</v>
      </c>
      <c r="V35" s="30" t="s">
        <v>3109</v>
      </c>
    </row>
    <row r="36" spans="1:25" s="30" customFormat="1" ht="238" hidden="1" x14ac:dyDescent="0.2">
      <c r="A36" s="30" t="s">
        <v>3386</v>
      </c>
      <c r="B36" s="30" t="s">
        <v>251</v>
      </c>
      <c r="C36" s="30" t="s">
        <v>248</v>
      </c>
      <c r="D36" s="30" t="s">
        <v>176</v>
      </c>
      <c r="E36" s="30" t="s">
        <v>252</v>
      </c>
      <c r="F36" s="30" t="s">
        <v>86</v>
      </c>
      <c r="G36" s="30" t="s">
        <v>3387</v>
      </c>
      <c r="H36" s="30" t="s">
        <v>3388</v>
      </c>
      <c r="I36" s="30" t="s">
        <v>3389</v>
      </c>
      <c r="J36" s="30" t="s">
        <v>3390</v>
      </c>
      <c r="K36" s="30" t="s">
        <v>3391</v>
      </c>
      <c r="L36" s="30" t="s">
        <v>3392</v>
      </c>
      <c r="M36" s="30" t="s">
        <v>3393</v>
      </c>
      <c r="N36" s="30" t="s">
        <v>3394</v>
      </c>
      <c r="O36" s="30" t="s">
        <v>3663</v>
      </c>
      <c r="P36" s="30" t="s">
        <v>3594</v>
      </c>
      <c r="Q36" s="30" t="s">
        <v>3593</v>
      </c>
      <c r="R36" s="30" t="s">
        <v>3395</v>
      </c>
      <c r="S36" s="30" t="s">
        <v>3396</v>
      </c>
      <c r="T36" s="30" t="s">
        <v>3397</v>
      </c>
      <c r="U36" s="30" t="s">
        <v>3398</v>
      </c>
      <c r="V36" s="30" t="s">
        <v>3109</v>
      </c>
    </row>
    <row r="37" spans="1:25" s="30" customFormat="1" ht="323" hidden="1" x14ac:dyDescent="0.2">
      <c r="A37" s="30" t="s">
        <v>3412</v>
      </c>
      <c r="B37" s="30" t="s">
        <v>2454</v>
      </c>
      <c r="C37" s="30" t="s">
        <v>2451</v>
      </c>
      <c r="D37" s="30" t="s">
        <v>2455</v>
      </c>
      <c r="E37" s="30" t="s">
        <v>2456</v>
      </c>
      <c r="F37" s="30" t="s">
        <v>2313</v>
      </c>
      <c r="G37" s="30" t="s">
        <v>3399</v>
      </c>
      <c r="H37" s="30" t="s">
        <v>3400</v>
      </c>
      <c r="I37" s="30" t="s">
        <v>3401</v>
      </c>
      <c r="J37" s="30" t="s">
        <v>3402</v>
      </c>
      <c r="K37" s="30" t="s">
        <v>3403</v>
      </c>
      <c r="L37" s="30" t="s">
        <v>3404</v>
      </c>
      <c r="M37" s="30" t="s">
        <v>3405</v>
      </c>
      <c r="N37" s="30" t="s">
        <v>3406</v>
      </c>
      <c r="O37" s="30" t="s">
        <v>3407</v>
      </c>
      <c r="P37" s="30" t="s">
        <v>3596</v>
      </c>
      <c r="Q37" s="30" t="s">
        <v>3595</v>
      </c>
      <c r="R37" s="30" t="s">
        <v>3408</v>
      </c>
      <c r="S37" s="30" t="s">
        <v>3409</v>
      </c>
      <c r="T37" s="30" t="s">
        <v>3410</v>
      </c>
      <c r="U37" s="30" t="s">
        <v>3411</v>
      </c>
      <c r="V37" s="30" t="s">
        <v>3109</v>
      </c>
    </row>
    <row r="38" spans="1:25" s="30" customFormat="1" ht="238" hidden="1" x14ac:dyDescent="0.2">
      <c r="A38" s="30" t="s">
        <v>3412</v>
      </c>
      <c r="B38" s="30" t="s">
        <v>91</v>
      </c>
      <c r="C38" s="30" t="s">
        <v>88</v>
      </c>
      <c r="D38" s="30" t="s">
        <v>92</v>
      </c>
      <c r="E38" s="30" t="s">
        <v>93</v>
      </c>
      <c r="F38" s="30" t="s">
        <v>86</v>
      </c>
      <c r="G38" s="30" t="s">
        <v>3413</v>
      </c>
      <c r="H38" s="30" t="s">
        <v>3414</v>
      </c>
      <c r="I38" s="30" t="s">
        <v>3415</v>
      </c>
      <c r="J38" s="30" t="s">
        <v>3038</v>
      </c>
      <c r="K38" s="30" t="s">
        <v>3416</v>
      </c>
      <c r="L38" s="30" t="s">
        <v>3417</v>
      </c>
      <c r="M38" s="30" t="s">
        <v>3418</v>
      </c>
      <c r="N38" s="30" t="s">
        <v>3419</v>
      </c>
      <c r="O38" s="30" t="s">
        <v>3420</v>
      </c>
      <c r="P38" s="30" t="s">
        <v>3421</v>
      </c>
      <c r="Q38" s="30" t="s">
        <v>3422</v>
      </c>
      <c r="R38" s="30" t="s">
        <v>3423</v>
      </c>
      <c r="S38" s="30" t="s">
        <v>3424</v>
      </c>
      <c r="T38" s="30" t="s">
        <v>3425</v>
      </c>
      <c r="U38" s="30" t="s">
        <v>3426</v>
      </c>
      <c r="V38" s="30" t="s">
        <v>3109</v>
      </c>
    </row>
    <row r="39" spans="1:25" s="30" customFormat="1" ht="289" hidden="1" x14ac:dyDescent="0.2">
      <c r="A39" s="30" t="s">
        <v>3427</v>
      </c>
      <c r="B39" s="30" t="s">
        <v>145</v>
      </c>
      <c r="C39" s="30" t="s">
        <v>142</v>
      </c>
      <c r="D39" s="30" t="s">
        <v>146</v>
      </c>
      <c r="E39" s="30" t="s">
        <v>147</v>
      </c>
      <c r="F39" s="30" t="s">
        <v>86</v>
      </c>
      <c r="G39" s="30" t="s">
        <v>3428</v>
      </c>
      <c r="H39" s="30" t="s">
        <v>3429</v>
      </c>
      <c r="I39" s="30" t="s">
        <v>3430</v>
      </c>
      <c r="J39" s="30" t="s">
        <v>3038</v>
      </c>
      <c r="K39" s="30" t="s">
        <v>3599</v>
      </c>
      <c r="L39" s="30" t="s">
        <v>3431</v>
      </c>
      <c r="M39" s="30" t="s">
        <v>3432</v>
      </c>
      <c r="N39" s="30" t="s">
        <v>3664</v>
      </c>
      <c r="O39" s="30" t="s">
        <v>3597</v>
      </c>
      <c r="P39" s="30" t="s">
        <v>3433</v>
      </c>
      <c r="Q39" s="30" t="s">
        <v>3598</v>
      </c>
      <c r="R39" s="30" t="s">
        <v>3434</v>
      </c>
      <c r="S39" s="30" t="s">
        <v>3435</v>
      </c>
      <c r="T39" s="30" t="s">
        <v>3436</v>
      </c>
      <c r="U39" s="30" t="s">
        <v>3437</v>
      </c>
      <c r="V39" s="30" t="s">
        <v>3109</v>
      </c>
    </row>
    <row r="40" spans="1:25" s="30" customFormat="1" ht="221" hidden="1" x14ac:dyDescent="0.2">
      <c r="A40" s="30" t="s">
        <v>3438</v>
      </c>
      <c r="B40" s="30" t="s">
        <v>2662</v>
      </c>
      <c r="C40" s="30" t="s">
        <v>2659</v>
      </c>
      <c r="D40" s="30" t="s">
        <v>146</v>
      </c>
      <c r="E40" s="30" t="s">
        <v>391</v>
      </c>
      <c r="F40" s="30" t="s">
        <v>2635</v>
      </c>
      <c r="G40" s="30" t="s">
        <v>3439</v>
      </c>
      <c r="H40" s="30" t="s">
        <v>3440</v>
      </c>
      <c r="I40" s="30" t="s">
        <v>3441</v>
      </c>
      <c r="J40" s="30" t="s">
        <v>3038</v>
      </c>
      <c r="K40" s="30" t="s">
        <v>3601</v>
      </c>
      <c r="L40" s="30" t="s">
        <v>3442</v>
      </c>
      <c r="M40" s="30" t="s">
        <v>3443</v>
      </c>
      <c r="N40" s="30" t="s">
        <v>3444</v>
      </c>
      <c r="O40" s="30" t="s">
        <v>3445</v>
      </c>
      <c r="P40" s="30" t="s">
        <v>3446</v>
      </c>
      <c r="Q40" s="30" t="s">
        <v>3600</v>
      </c>
      <c r="R40" s="30" t="s">
        <v>3447</v>
      </c>
      <c r="S40" s="30" t="s">
        <v>3448</v>
      </c>
      <c r="T40" s="30" t="s">
        <v>3449</v>
      </c>
      <c r="U40" s="30" t="s">
        <v>3450</v>
      </c>
      <c r="V40" s="30" t="s">
        <v>3109</v>
      </c>
    </row>
    <row r="41" spans="1:25" s="30" customFormat="1" ht="356" hidden="1" x14ac:dyDescent="0.2">
      <c r="A41" s="30" t="s">
        <v>3451</v>
      </c>
      <c r="B41" s="30" t="s">
        <v>1922</v>
      </c>
      <c r="C41" s="30" t="s">
        <v>1919</v>
      </c>
      <c r="D41" s="30" t="s">
        <v>1879</v>
      </c>
      <c r="E41" s="30" t="s">
        <v>1923</v>
      </c>
      <c r="F41" s="30" t="s">
        <v>86</v>
      </c>
      <c r="G41" s="30" t="s">
        <v>3452</v>
      </c>
      <c r="H41" s="30" t="s">
        <v>3453</v>
      </c>
      <c r="I41" s="30" t="s">
        <v>3666</v>
      </c>
      <c r="J41" s="30" t="s">
        <v>3665</v>
      </c>
      <c r="K41" s="30" t="s">
        <v>3454</v>
      </c>
      <c r="L41" s="30" t="s">
        <v>3455</v>
      </c>
      <c r="M41" s="30" t="s">
        <v>3456</v>
      </c>
      <c r="N41" s="30" t="s">
        <v>3457</v>
      </c>
      <c r="O41" s="30" t="s">
        <v>3458</v>
      </c>
      <c r="P41" s="30" t="s">
        <v>3459</v>
      </c>
      <c r="Q41" s="30" t="s">
        <v>3602</v>
      </c>
      <c r="R41" s="30" t="s">
        <v>3460</v>
      </c>
      <c r="S41" s="30" t="s">
        <v>3461</v>
      </c>
      <c r="T41" s="30" t="s">
        <v>3462</v>
      </c>
      <c r="U41" s="30" t="s">
        <v>3463</v>
      </c>
      <c r="V41" s="30" t="s">
        <v>3109</v>
      </c>
      <c r="W41" s="30" t="s">
        <v>3538</v>
      </c>
      <c r="X41" s="30" t="s">
        <v>3667</v>
      </c>
    </row>
    <row r="42" spans="1:25" s="30" customFormat="1" ht="238" x14ac:dyDescent="0.2">
      <c r="A42" s="30" t="s">
        <v>3464</v>
      </c>
      <c r="B42" s="30" t="s">
        <v>1822</v>
      </c>
      <c r="C42" s="30" t="s">
        <v>1819</v>
      </c>
      <c r="D42" s="30" t="s">
        <v>92</v>
      </c>
      <c r="E42" s="30" t="s">
        <v>1164</v>
      </c>
      <c r="F42" s="30" t="s">
        <v>86</v>
      </c>
      <c r="G42" s="30" t="s">
        <v>3465</v>
      </c>
      <c r="H42" s="30" t="s">
        <v>3466</v>
      </c>
      <c r="I42" s="30" t="s">
        <v>3467</v>
      </c>
      <c r="J42" s="30" t="s">
        <v>3468</v>
      </c>
      <c r="K42" s="30" t="s">
        <v>3469</v>
      </c>
      <c r="L42" s="30" t="s">
        <v>3470</v>
      </c>
      <c r="M42" s="30" t="s">
        <v>3471</v>
      </c>
      <c r="N42" s="30" t="s">
        <v>3472</v>
      </c>
      <c r="O42" s="30" t="s">
        <v>3473</v>
      </c>
      <c r="P42" s="30" t="s">
        <v>3474</v>
      </c>
      <c r="Q42" s="30" t="s">
        <v>3603</v>
      </c>
      <c r="R42" s="30" t="s">
        <v>3475</v>
      </c>
      <c r="S42" s="30" t="s">
        <v>3476</v>
      </c>
      <c r="T42" s="30" t="s">
        <v>3477</v>
      </c>
      <c r="U42" s="30" t="s">
        <v>3478</v>
      </c>
      <c r="V42" s="30" t="s">
        <v>3109</v>
      </c>
    </row>
    <row r="43" spans="1:25" s="31" customFormat="1" ht="306" hidden="1" x14ac:dyDescent="0.2">
      <c r="A43" s="31" t="s">
        <v>3479</v>
      </c>
      <c r="B43" s="31" t="s">
        <v>1580</v>
      </c>
      <c r="C43" s="31" t="s">
        <v>1577</v>
      </c>
      <c r="D43" s="31" t="s">
        <v>55</v>
      </c>
      <c r="E43" s="31" t="s">
        <v>1581</v>
      </c>
      <c r="F43" s="31" t="s">
        <v>86</v>
      </c>
      <c r="G43" s="31" t="s">
        <v>3480</v>
      </c>
      <c r="H43" s="31" t="s">
        <v>3481</v>
      </c>
      <c r="I43" s="31" t="s">
        <v>3605</v>
      </c>
      <c r="J43" s="31" t="s">
        <v>3604</v>
      </c>
      <c r="K43" s="31" t="s">
        <v>3606</v>
      </c>
      <c r="L43" s="31" t="s">
        <v>3607</v>
      </c>
      <c r="M43" s="31" t="s">
        <v>3482</v>
      </c>
      <c r="N43" s="31" t="s">
        <v>3608</v>
      </c>
      <c r="O43" s="31" t="s">
        <v>3483</v>
      </c>
      <c r="P43" s="31" t="s">
        <v>3609</v>
      </c>
      <c r="Q43" s="31" t="s">
        <v>3613</v>
      </c>
      <c r="R43" s="31" t="s">
        <v>3610</v>
      </c>
      <c r="S43" s="31" t="s">
        <v>3484</v>
      </c>
      <c r="T43" s="31" t="s">
        <v>3611</v>
      </c>
      <c r="U43" s="31" t="s">
        <v>3485</v>
      </c>
      <c r="V43" s="31" t="s">
        <v>3109</v>
      </c>
      <c r="W43" s="31" t="s">
        <v>3538</v>
      </c>
      <c r="X43" s="31" t="s">
        <v>3612</v>
      </c>
      <c r="Y43" s="33" t="s">
        <v>3620</v>
      </c>
    </row>
    <row r="44" spans="1:25" s="31" customFormat="1" ht="204" hidden="1" x14ac:dyDescent="0.2">
      <c r="A44" s="31" t="s">
        <v>3486</v>
      </c>
      <c r="B44" s="31" t="s">
        <v>1766</v>
      </c>
      <c r="C44" s="31" t="s">
        <v>1577</v>
      </c>
      <c r="D44" s="31" t="s">
        <v>146</v>
      </c>
      <c r="E44" s="31" t="s">
        <v>923</v>
      </c>
      <c r="F44" s="31" t="s">
        <v>86</v>
      </c>
      <c r="G44" s="31" t="s">
        <v>3480</v>
      </c>
      <c r="H44" s="31" t="s">
        <v>3487</v>
      </c>
      <c r="I44" s="31" t="s">
        <v>3616</v>
      </c>
      <c r="J44" s="31" t="s">
        <v>3604</v>
      </c>
      <c r="K44" s="31" t="s">
        <v>3617</v>
      </c>
      <c r="L44" s="31" t="s">
        <v>3488</v>
      </c>
      <c r="M44" s="31" t="s">
        <v>3489</v>
      </c>
      <c r="N44" s="31" t="s">
        <v>3618</v>
      </c>
      <c r="O44" s="31" t="s">
        <v>3490</v>
      </c>
      <c r="P44" s="31" t="s">
        <v>3491</v>
      </c>
      <c r="Q44" s="31" t="s">
        <v>3492</v>
      </c>
      <c r="R44" s="31" t="s">
        <v>3493</v>
      </c>
      <c r="S44" s="31" t="s">
        <v>3494</v>
      </c>
      <c r="T44" s="31" t="s">
        <v>3495</v>
      </c>
      <c r="U44" s="31" t="s">
        <v>3496</v>
      </c>
      <c r="V44" s="31" t="s">
        <v>3109</v>
      </c>
      <c r="W44" s="31" t="s">
        <v>3538</v>
      </c>
      <c r="X44" s="31" t="s">
        <v>3619</v>
      </c>
      <c r="Y44" s="34"/>
    </row>
    <row r="45" spans="1:25" s="31" customFormat="1" ht="289" hidden="1" x14ac:dyDescent="0.2">
      <c r="A45" s="31" t="s">
        <v>3497</v>
      </c>
      <c r="B45" s="31" t="s">
        <v>741</v>
      </c>
      <c r="C45" s="31" t="s">
        <v>738</v>
      </c>
      <c r="D45" s="31" t="s">
        <v>92</v>
      </c>
      <c r="E45" s="31" t="s">
        <v>742</v>
      </c>
      <c r="F45" s="31" t="s">
        <v>86</v>
      </c>
      <c r="G45" s="31" t="s">
        <v>3498</v>
      </c>
      <c r="H45" s="31" t="s">
        <v>3499</v>
      </c>
      <c r="I45" s="31" t="s">
        <v>3623</v>
      </c>
      <c r="J45" s="31" t="s">
        <v>3622</v>
      </c>
      <c r="K45" s="31" t="s">
        <v>3629</v>
      </c>
      <c r="L45" s="31" t="s">
        <v>3624</v>
      </c>
      <c r="M45" s="31" t="s">
        <v>3625</v>
      </c>
      <c r="N45" s="31" t="s">
        <v>3626</v>
      </c>
      <c r="O45" s="31" t="s">
        <v>3500</v>
      </c>
      <c r="P45" s="31" t="s">
        <v>3501</v>
      </c>
      <c r="Q45" s="31" t="s">
        <v>3502</v>
      </c>
      <c r="R45" s="31" t="s">
        <v>3503</v>
      </c>
      <c r="S45" s="31" t="s">
        <v>3627</v>
      </c>
      <c r="T45" s="31" t="s">
        <v>3504</v>
      </c>
      <c r="U45" s="31" t="s">
        <v>3628</v>
      </c>
      <c r="V45" s="31" t="s">
        <v>3109</v>
      </c>
      <c r="W45" s="31" t="s">
        <v>3538</v>
      </c>
      <c r="X45" s="31" t="s">
        <v>3621</v>
      </c>
    </row>
    <row r="46" spans="1:25" s="19" customFormat="1" ht="17" hidden="1" x14ac:dyDescent="0.2">
      <c r="A46" s="19" t="s">
        <v>3505</v>
      </c>
      <c r="B46" s="19" t="s">
        <v>1128</v>
      </c>
      <c r="C46" s="19" t="s">
        <v>1125</v>
      </c>
      <c r="D46" s="19" t="s">
        <v>146</v>
      </c>
      <c r="E46" s="19" t="s">
        <v>1129</v>
      </c>
      <c r="F46" s="19" t="s">
        <v>86</v>
      </c>
      <c r="U46" s="19" t="s">
        <v>2860</v>
      </c>
      <c r="V46" s="19" t="s">
        <v>3109</v>
      </c>
    </row>
    <row r="47" spans="1:25" s="31" customFormat="1" ht="221" hidden="1" x14ac:dyDescent="0.2">
      <c r="A47" s="31" t="s">
        <v>3506</v>
      </c>
      <c r="B47" s="31" t="s">
        <v>1307</v>
      </c>
      <c r="C47" s="31" t="s">
        <v>1304</v>
      </c>
      <c r="D47" s="31" t="s">
        <v>146</v>
      </c>
      <c r="E47" s="31" t="s">
        <v>1308</v>
      </c>
      <c r="F47" s="31" t="s">
        <v>86</v>
      </c>
      <c r="G47" s="31" t="s">
        <v>3507</v>
      </c>
      <c r="H47" s="31" t="s">
        <v>3635</v>
      </c>
      <c r="I47" s="31" t="s">
        <v>3508</v>
      </c>
      <c r="J47" s="31" t="s">
        <v>3038</v>
      </c>
      <c r="K47" s="31" t="s">
        <v>3636</v>
      </c>
      <c r="L47" s="31" t="s">
        <v>3634</v>
      </c>
      <c r="M47" s="31" t="s">
        <v>3509</v>
      </c>
      <c r="N47" s="31" t="s">
        <v>3633</v>
      </c>
      <c r="O47" s="31" t="s">
        <v>3510</v>
      </c>
      <c r="P47" s="31" t="s">
        <v>3511</v>
      </c>
      <c r="Q47" s="31" t="s">
        <v>3630</v>
      </c>
      <c r="R47" s="31" t="s">
        <v>3632</v>
      </c>
      <c r="S47" s="31" t="s">
        <v>3512</v>
      </c>
      <c r="T47" s="31" t="s">
        <v>3513</v>
      </c>
      <c r="U47" s="31" t="s">
        <v>3514</v>
      </c>
      <c r="V47" s="31" t="s">
        <v>3109</v>
      </c>
      <c r="W47" s="31" t="s">
        <v>3538</v>
      </c>
      <c r="X47" s="31" t="s">
        <v>3631</v>
      </c>
    </row>
    <row r="48" spans="1:25" s="30" customFormat="1" ht="187" hidden="1" x14ac:dyDescent="0.2">
      <c r="A48" s="30" t="s">
        <v>3515</v>
      </c>
      <c r="B48" s="30" t="s">
        <v>573</v>
      </c>
      <c r="C48" s="30" t="s">
        <v>570</v>
      </c>
      <c r="D48" s="30" t="s">
        <v>176</v>
      </c>
      <c r="E48" s="30" t="s">
        <v>252</v>
      </c>
      <c r="F48" s="30" t="s">
        <v>86</v>
      </c>
      <c r="G48" s="30" t="s">
        <v>3516</v>
      </c>
      <c r="H48" s="30" t="s">
        <v>3517</v>
      </c>
      <c r="I48" s="30" t="s">
        <v>3518</v>
      </c>
      <c r="J48" s="30" t="s">
        <v>3519</v>
      </c>
      <c r="K48" s="30" t="s">
        <v>3639</v>
      </c>
      <c r="L48" s="30" t="s">
        <v>3520</v>
      </c>
      <c r="M48" s="30" t="s">
        <v>3638</v>
      </c>
      <c r="N48" s="30" t="s">
        <v>3521</v>
      </c>
      <c r="O48" s="30" t="s">
        <v>3522</v>
      </c>
      <c r="P48" s="30" t="s">
        <v>3523</v>
      </c>
      <c r="Q48" s="30" t="s">
        <v>3637</v>
      </c>
      <c r="R48" s="30" t="s">
        <v>3524</v>
      </c>
      <c r="S48" s="30" t="s">
        <v>3525</v>
      </c>
      <c r="T48" s="30" t="s">
        <v>3526</v>
      </c>
      <c r="U48" s="30" t="s">
        <v>3527</v>
      </c>
      <c r="V48" s="30" t="s">
        <v>3109</v>
      </c>
    </row>
  </sheetData>
  <autoFilter ref="A1:A48" xr:uid="{E1C55CAC-BCE0-7842-A5FA-DAD4490DC97C}">
    <filterColumn colId="0">
      <filters>
        <filter val="gao"/>
        <filter val="hu2"/>
        <filter val="hu3"/>
        <filter val="li2"/>
        <filter val="ma"/>
        <filter val="qin"/>
        <filter val="wang4"/>
        <filter val="xu5"/>
        <filter val="zhang3"/>
      </filters>
    </filterColumn>
  </autoFilter>
  <mergeCells count="1">
    <mergeCell ref="Y43:Y4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F40D9-ACD8-9B4D-86FF-2EB76C0C68AA}">
  <sheetPr filterMode="1"/>
  <dimension ref="A1:Y48"/>
  <sheetViews>
    <sheetView zoomScale="140" zoomScaleNormal="200" workbookViewId="0">
      <pane xSplit="1" topLeftCell="B1" activePane="topRight" state="frozen"/>
      <selection pane="topRight" activeCell="B38" sqref="B38"/>
    </sheetView>
  </sheetViews>
  <sheetFormatPr baseColWidth="10" defaultRowHeight="16" x14ac:dyDescent="0.2"/>
  <cols>
    <col min="1" max="1" width="13.6640625" style="10" customWidth="1"/>
    <col min="2" max="2" width="105.83203125" style="10" bestFit="1" customWidth="1"/>
    <col min="3" max="3" width="63.83203125" style="10" bestFit="1" customWidth="1"/>
    <col min="4" max="4" width="10.83203125" style="10"/>
    <col min="5" max="5" width="163.6640625" style="10" bestFit="1" customWidth="1"/>
    <col min="6" max="6" width="10.83203125" style="10"/>
    <col min="7" max="7" width="14.5" style="10" customWidth="1"/>
    <col min="8" max="8" width="35.83203125" style="10" customWidth="1"/>
    <col min="9" max="9" width="25.5" style="10" bestFit="1" customWidth="1"/>
    <col min="10" max="10" width="39.6640625" style="10" bestFit="1" customWidth="1"/>
    <col min="11" max="11" width="33.5" style="10" customWidth="1"/>
    <col min="12" max="12" width="51.33203125" style="10" customWidth="1"/>
    <col min="13" max="13" width="36.6640625" style="10" customWidth="1"/>
    <col min="14" max="14" width="103.6640625" style="10" bestFit="1" customWidth="1"/>
    <col min="15" max="15" width="29" style="10" customWidth="1"/>
    <col min="16" max="16" width="18.1640625" style="10" customWidth="1"/>
    <col min="17" max="17" width="23.5" style="10" customWidth="1"/>
    <col min="18" max="18" width="34.5" style="10" customWidth="1"/>
    <col min="19" max="19" width="36.83203125" style="10" customWidth="1"/>
    <col min="20" max="20" width="35.1640625" style="10" customWidth="1"/>
    <col min="21" max="21" width="49.83203125" style="10" customWidth="1"/>
    <col min="22" max="23" width="10.83203125" style="10"/>
    <col min="24" max="24" width="28.83203125" style="10" customWidth="1"/>
    <col min="25" max="16384" width="10.83203125" style="10"/>
  </cols>
  <sheetData>
    <row r="1" spans="1:24" s="29" customFormat="1" ht="34" x14ac:dyDescent="0.2">
      <c r="A1" s="29" t="s">
        <v>2973</v>
      </c>
      <c r="B1" s="29" t="s">
        <v>2974</v>
      </c>
      <c r="C1" s="29" t="s">
        <v>2975</v>
      </c>
      <c r="D1" s="29" t="s">
        <v>2976</v>
      </c>
      <c r="E1" s="29" t="s">
        <v>2977</v>
      </c>
      <c r="F1" s="29" t="s">
        <v>2978</v>
      </c>
      <c r="G1" s="29" t="s">
        <v>2989</v>
      </c>
      <c r="H1" s="29" t="s">
        <v>2980</v>
      </c>
      <c r="I1" s="29" t="s">
        <v>2995</v>
      </c>
      <c r="J1" s="29" t="s">
        <v>2992</v>
      </c>
      <c r="K1" s="29" t="s">
        <v>2981</v>
      </c>
      <c r="L1" s="29" t="s">
        <v>2982</v>
      </c>
      <c r="M1" s="29" t="s">
        <v>2983</v>
      </c>
      <c r="N1" s="29" t="s">
        <v>2993</v>
      </c>
      <c r="O1" s="29" t="s">
        <v>2984</v>
      </c>
      <c r="P1" s="29" t="s">
        <v>2991</v>
      </c>
      <c r="Q1" s="29" t="s">
        <v>2996</v>
      </c>
      <c r="R1" s="29" t="s">
        <v>2985</v>
      </c>
      <c r="S1" s="29" t="s">
        <v>2986</v>
      </c>
      <c r="T1" s="29" t="s">
        <v>2987</v>
      </c>
      <c r="U1" s="29" t="s">
        <v>2979</v>
      </c>
      <c r="V1" s="29" t="s">
        <v>3107</v>
      </c>
    </row>
    <row r="2" spans="1:24" s="30" customFormat="1" ht="170" hidden="1" x14ac:dyDescent="0.2">
      <c r="A2" s="30" t="s">
        <v>2988</v>
      </c>
      <c r="B2" s="30" t="s">
        <v>886</v>
      </c>
      <c r="C2" s="30" t="s">
        <v>883</v>
      </c>
      <c r="D2" s="30" t="s">
        <v>146</v>
      </c>
      <c r="E2" s="30" t="s">
        <v>887</v>
      </c>
      <c r="F2" s="30" t="s">
        <v>86</v>
      </c>
      <c r="G2" s="30" t="s">
        <v>2990</v>
      </c>
      <c r="H2" s="30" t="s">
        <v>2997</v>
      </c>
      <c r="I2" s="30" t="s">
        <v>2998</v>
      </c>
      <c r="J2" s="30" t="s">
        <v>1685</v>
      </c>
      <c r="K2" s="30" t="s">
        <v>3023</v>
      </c>
      <c r="L2" s="30" t="s">
        <v>2999</v>
      </c>
      <c r="M2" s="30" t="s">
        <v>3000</v>
      </c>
      <c r="N2" s="30" t="s">
        <v>3640</v>
      </c>
      <c r="O2" s="30" t="s">
        <v>2994</v>
      </c>
      <c r="P2" s="30" t="s">
        <v>3006</v>
      </c>
      <c r="Q2" s="30" t="s">
        <v>3005</v>
      </c>
      <c r="R2" s="30" t="s">
        <v>3001</v>
      </c>
      <c r="S2" s="30" t="s">
        <v>3002</v>
      </c>
      <c r="T2" s="30" t="s">
        <v>3003</v>
      </c>
      <c r="U2" s="30" t="s">
        <v>3004</v>
      </c>
      <c r="V2" s="30" t="s">
        <v>3108</v>
      </c>
    </row>
    <row r="3" spans="1:24" s="30" customFormat="1" ht="170" hidden="1" x14ac:dyDescent="0.2">
      <c r="A3" s="30" t="s">
        <v>3007</v>
      </c>
      <c r="B3" s="30" t="s">
        <v>1709</v>
      </c>
      <c r="C3" s="30" t="s">
        <v>1706</v>
      </c>
      <c r="D3" s="30" t="s">
        <v>92</v>
      </c>
      <c r="E3" s="30" t="s">
        <v>1710</v>
      </c>
      <c r="F3" s="30" t="s">
        <v>86</v>
      </c>
      <c r="G3" s="30" t="s">
        <v>3008</v>
      </c>
      <c r="H3" s="30" t="s">
        <v>3009</v>
      </c>
      <c r="I3" s="30" t="s">
        <v>3010</v>
      </c>
      <c r="J3" s="30" t="s">
        <v>1685</v>
      </c>
      <c r="K3" s="30" t="s">
        <v>3022</v>
      </c>
      <c r="L3" s="30" t="s">
        <v>3011</v>
      </c>
      <c r="M3" s="30" t="s">
        <v>3012</v>
      </c>
      <c r="N3" s="30" t="s">
        <v>3641</v>
      </c>
      <c r="O3" s="30" t="s">
        <v>3013</v>
      </c>
      <c r="P3" s="30" t="s">
        <v>3014</v>
      </c>
      <c r="Q3" s="30" t="s">
        <v>3020</v>
      </c>
      <c r="R3" s="30" t="s">
        <v>3015</v>
      </c>
      <c r="S3" s="30" t="s">
        <v>3016</v>
      </c>
      <c r="T3" s="30" t="s">
        <v>3017</v>
      </c>
      <c r="U3" s="30" t="s">
        <v>3018</v>
      </c>
      <c r="V3" s="30" t="s">
        <v>3108</v>
      </c>
    </row>
    <row r="4" spans="1:24" s="30" customFormat="1" ht="170" hidden="1" x14ac:dyDescent="0.2">
      <c r="A4" s="30" t="s">
        <v>3019</v>
      </c>
      <c r="B4" s="30" t="s">
        <v>1436</v>
      </c>
      <c r="C4" s="30" t="s">
        <v>1433</v>
      </c>
      <c r="D4" s="30" t="s">
        <v>146</v>
      </c>
      <c r="E4" s="30" t="s">
        <v>1437</v>
      </c>
      <c r="F4" s="30" t="s">
        <v>86</v>
      </c>
      <c r="G4" s="30" t="s">
        <v>3021</v>
      </c>
      <c r="H4" s="30" t="s">
        <v>3024</v>
      </c>
      <c r="I4" s="30" t="s">
        <v>3025</v>
      </c>
      <c r="J4" s="30" t="s">
        <v>1685</v>
      </c>
      <c r="K4" s="30" t="s">
        <v>3026</v>
      </c>
      <c r="L4" s="30" t="s">
        <v>3027</v>
      </c>
      <c r="M4" s="30" t="s">
        <v>3644</v>
      </c>
      <c r="N4" s="30" t="s">
        <v>3642</v>
      </c>
      <c r="O4" s="30" t="s">
        <v>3028</v>
      </c>
      <c r="P4" s="30" t="s">
        <v>3029</v>
      </c>
      <c r="Q4" s="30" t="s">
        <v>3643</v>
      </c>
      <c r="R4" s="30" t="s">
        <v>3030</v>
      </c>
      <c r="S4" s="30" t="s">
        <v>3031</v>
      </c>
      <c r="T4" s="30" t="s">
        <v>3032</v>
      </c>
      <c r="U4" s="30" t="s">
        <v>3033</v>
      </c>
      <c r="V4" s="30" t="s">
        <v>3108</v>
      </c>
    </row>
    <row r="5" spans="1:24" s="30" customFormat="1" ht="136" hidden="1" x14ac:dyDescent="0.2">
      <c r="A5" s="30" t="s">
        <v>3034</v>
      </c>
      <c r="B5" s="30" t="s">
        <v>904</v>
      </c>
      <c r="C5" s="30" t="s">
        <v>901</v>
      </c>
      <c r="D5" s="30" t="s">
        <v>146</v>
      </c>
      <c r="E5" s="30" t="s">
        <v>905</v>
      </c>
      <c r="F5" s="30" t="s">
        <v>86</v>
      </c>
      <c r="G5" s="30" t="s">
        <v>3035</v>
      </c>
      <c r="H5" s="30" t="s">
        <v>3036</v>
      </c>
      <c r="I5" s="30" t="s">
        <v>3037</v>
      </c>
      <c r="J5" s="30" t="s">
        <v>3038</v>
      </c>
      <c r="K5" s="30" t="s">
        <v>3039</v>
      </c>
      <c r="L5" s="30" t="s">
        <v>3040</v>
      </c>
      <c r="M5" s="30" t="s">
        <v>3041</v>
      </c>
      <c r="N5" s="30" t="s">
        <v>3042</v>
      </c>
      <c r="O5" s="30" t="s">
        <v>3043</v>
      </c>
      <c r="P5" s="30" t="s">
        <v>3044</v>
      </c>
      <c r="Q5" s="30" t="s">
        <v>3045</v>
      </c>
      <c r="R5" s="30" t="s">
        <v>3046</v>
      </c>
      <c r="S5" s="30" t="s">
        <v>3047</v>
      </c>
      <c r="T5" s="30" t="s">
        <v>3048</v>
      </c>
      <c r="U5" s="30" t="s">
        <v>3049</v>
      </c>
      <c r="V5" s="30" t="s">
        <v>3108</v>
      </c>
    </row>
    <row r="6" spans="1:24" s="30" customFormat="1" ht="204" hidden="1" x14ac:dyDescent="0.2">
      <c r="A6" s="30" t="s">
        <v>3050</v>
      </c>
      <c r="B6" s="30" t="s">
        <v>2027</v>
      </c>
      <c r="C6" s="30" t="s">
        <v>2024</v>
      </c>
      <c r="D6" s="30" t="s">
        <v>92</v>
      </c>
      <c r="E6" s="30" t="s">
        <v>252</v>
      </c>
      <c r="F6" s="30" t="s">
        <v>86</v>
      </c>
      <c r="G6" s="30" t="s">
        <v>3051</v>
      </c>
      <c r="H6" s="30" t="s">
        <v>3645</v>
      </c>
      <c r="I6" s="30" t="s">
        <v>3052</v>
      </c>
      <c r="J6" s="30" t="s">
        <v>3053</v>
      </c>
      <c r="K6" s="30" t="s">
        <v>3054</v>
      </c>
      <c r="L6" s="30" t="s">
        <v>3055</v>
      </c>
      <c r="M6" s="30" t="s">
        <v>3056</v>
      </c>
      <c r="N6" s="30" t="s">
        <v>3646</v>
      </c>
      <c r="O6" s="30" t="s">
        <v>3057</v>
      </c>
      <c r="P6" s="30" t="s">
        <v>3058</v>
      </c>
      <c r="Q6" s="30" t="s">
        <v>3059</v>
      </c>
      <c r="R6" s="30" t="s">
        <v>3060</v>
      </c>
      <c r="S6" s="30" t="s">
        <v>3061</v>
      </c>
      <c r="T6" s="30" t="s">
        <v>3062</v>
      </c>
      <c r="U6" s="30" t="s">
        <v>3063</v>
      </c>
      <c r="V6" s="30" t="s">
        <v>3108</v>
      </c>
    </row>
    <row r="7" spans="1:24" s="19" customFormat="1" ht="17" hidden="1" x14ac:dyDescent="0.2">
      <c r="A7" s="19" t="s">
        <v>3064</v>
      </c>
      <c r="B7" s="19" t="s">
        <v>1797</v>
      </c>
      <c r="C7" s="19" t="s">
        <v>1794</v>
      </c>
      <c r="D7" s="19" t="s">
        <v>176</v>
      </c>
      <c r="E7" s="19" t="s">
        <v>830</v>
      </c>
      <c r="F7" s="19" t="s">
        <v>86</v>
      </c>
    </row>
    <row r="8" spans="1:24" s="30" customFormat="1" ht="136" hidden="1" x14ac:dyDescent="0.2">
      <c r="A8" s="30" t="s">
        <v>3065</v>
      </c>
      <c r="B8" s="30" t="s">
        <v>2723</v>
      </c>
      <c r="C8" s="30" t="s">
        <v>2720</v>
      </c>
      <c r="D8" s="30" t="s">
        <v>176</v>
      </c>
      <c r="E8" s="30" t="s">
        <v>454</v>
      </c>
      <c r="F8" s="30" t="s">
        <v>2635</v>
      </c>
      <c r="G8" s="30" t="s">
        <v>3066</v>
      </c>
      <c r="H8" s="30" t="s">
        <v>3067</v>
      </c>
      <c r="I8" s="30" t="s">
        <v>3068</v>
      </c>
      <c r="J8" s="30" t="s">
        <v>3038</v>
      </c>
      <c r="K8" s="30" t="s">
        <v>3069</v>
      </c>
      <c r="L8" s="30" t="s">
        <v>3070</v>
      </c>
      <c r="M8" s="30" t="s">
        <v>3529</v>
      </c>
      <c r="N8" s="30" t="s">
        <v>3071</v>
      </c>
      <c r="O8" s="30" t="s">
        <v>3072</v>
      </c>
      <c r="P8" s="30" t="s">
        <v>3528</v>
      </c>
      <c r="Q8" s="30" t="s">
        <v>3073</v>
      </c>
      <c r="R8" s="30" t="s">
        <v>3074</v>
      </c>
      <c r="S8" s="30" t="s">
        <v>3075</v>
      </c>
      <c r="T8" s="30" t="s">
        <v>3076</v>
      </c>
      <c r="U8" s="30" t="s">
        <v>3077</v>
      </c>
      <c r="V8" s="30" t="s">
        <v>3108</v>
      </c>
    </row>
    <row r="9" spans="1:24" s="30" customFormat="1" ht="136" hidden="1" x14ac:dyDescent="0.2">
      <c r="A9" s="30" t="s">
        <v>3078</v>
      </c>
      <c r="B9" s="30" t="s">
        <v>2261</v>
      </c>
      <c r="C9" s="30" t="s">
        <v>553</v>
      </c>
      <c r="D9" s="30" t="s">
        <v>146</v>
      </c>
      <c r="E9" s="30" t="s">
        <v>229</v>
      </c>
      <c r="F9" s="30" t="s">
        <v>2260</v>
      </c>
      <c r="G9" s="30" t="s">
        <v>3079</v>
      </c>
      <c r="H9" s="30" t="s">
        <v>3531</v>
      </c>
      <c r="I9" s="30" t="s">
        <v>3080</v>
      </c>
      <c r="J9" s="30" t="s">
        <v>3081</v>
      </c>
      <c r="K9" s="30" t="s">
        <v>3082</v>
      </c>
      <c r="L9" s="30" t="s">
        <v>3083</v>
      </c>
      <c r="M9" s="30" t="s">
        <v>3084</v>
      </c>
      <c r="N9" s="30" t="s">
        <v>3647</v>
      </c>
      <c r="O9" s="30" t="s">
        <v>3085</v>
      </c>
      <c r="P9" s="30" t="s">
        <v>3086</v>
      </c>
      <c r="Q9" s="30" t="s">
        <v>3087</v>
      </c>
      <c r="R9" s="30" t="s">
        <v>3530</v>
      </c>
      <c r="S9" s="30" t="s">
        <v>3088</v>
      </c>
      <c r="T9" s="30" t="s">
        <v>3089</v>
      </c>
      <c r="U9" s="30" t="s">
        <v>3090</v>
      </c>
      <c r="V9" s="30" t="s">
        <v>3108</v>
      </c>
    </row>
    <row r="10" spans="1:24" s="30" customFormat="1" ht="238" hidden="1" x14ac:dyDescent="0.2">
      <c r="A10" s="30" t="s">
        <v>3091</v>
      </c>
      <c r="B10" s="30" t="s">
        <v>627</v>
      </c>
      <c r="C10" s="30" t="s">
        <v>624</v>
      </c>
      <c r="D10" s="30" t="s">
        <v>176</v>
      </c>
      <c r="E10" s="30" t="s">
        <v>628</v>
      </c>
      <c r="F10" s="30" t="s">
        <v>86</v>
      </c>
      <c r="G10" s="30" t="s">
        <v>3092</v>
      </c>
      <c r="H10" s="30" t="s">
        <v>3093</v>
      </c>
      <c r="I10" s="30" t="s">
        <v>3094</v>
      </c>
      <c r="J10" s="30" t="s">
        <v>3095</v>
      </c>
      <c r="K10" s="30" t="s">
        <v>3096</v>
      </c>
      <c r="L10" s="30" t="s">
        <v>3097</v>
      </c>
      <c r="M10" s="30" t="s">
        <v>3098</v>
      </c>
      <c r="N10" s="30" t="s">
        <v>3648</v>
      </c>
      <c r="O10" s="30" t="s">
        <v>3099</v>
      </c>
      <c r="P10" s="30" t="s">
        <v>3100</v>
      </c>
      <c r="Q10" s="30" t="s">
        <v>3101</v>
      </c>
      <c r="R10" s="30" t="s">
        <v>3102</v>
      </c>
      <c r="S10" s="30" t="s">
        <v>3103</v>
      </c>
      <c r="T10" s="30" t="s">
        <v>3104</v>
      </c>
      <c r="U10" s="30" t="s">
        <v>3105</v>
      </c>
      <c r="V10" s="30" t="s">
        <v>3109</v>
      </c>
    </row>
    <row r="11" spans="1:24" s="31" customFormat="1" ht="255" hidden="1" x14ac:dyDescent="0.2">
      <c r="A11" s="31" t="s">
        <v>3106</v>
      </c>
      <c r="B11" s="31" t="s">
        <v>322</v>
      </c>
      <c r="C11" s="31" t="s">
        <v>319</v>
      </c>
      <c r="D11" s="31" t="s">
        <v>55</v>
      </c>
      <c r="E11" s="31" t="s">
        <v>323</v>
      </c>
      <c r="F11" s="31" t="s">
        <v>86</v>
      </c>
      <c r="G11" s="31" t="s">
        <v>3110</v>
      </c>
      <c r="H11" s="31" t="s">
        <v>3111</v>
      </c>
      <c r="I11" s="31" t="s">
        <v>3112</v>
      </c>
      <c r="J11" s="31" t="s">
        <v>3095</v>
      </c>
      <c r="K11" s="31" t="s">
        <v>3533</v>
      </c>
      <c r="L11" s="31" t="s">
        <v>3534</v>
      </c>
      <c r="M11" s="31" t="s">
        <v>3113</v>
      </c>
      <c r="N11" s="31" t="s">
        <v>3649</v>
      </c>
      <c r="O11" s="31" t="s">
        <v>3532</v>
      </c>
      <c r="P11" s="31" t="s">
        <v>3535</v>
      </c>
      <c r="Q11" s="31" t="s">
        <v>3114</v>
      </c>
      <c r="R11" s="31" t="s">
        <v>3536</v>
      </c>
      <c r="S11" s="31" t="s">
        <v>3115</v>
      </c>
      <c r="T11" s="31" t="s">
        <v>3537</v>
      </c>
      <c r="U11" s="31" t="s">
        <v>3539</v>
      </c>
      <c r="V11" s="31" t="s">
        <v>3109</v>
      </c>
      <c r="W11" s="31" t="s">
        <v>3538</v>
      </c>
      <c r="X11" s="31" t="s">
        <v>3549</v>
      </c>
    </row>
    <row r="12" spans="1:24" s="30" customFormat="1" ht="187" hidden="1" x14ac:dyDescent="0.2">
      <c r="A12" s="30" t="s">
        <v>3116</v>
      </c>
      <c r="B12" s="30" t="s">
        <v>2683</v>
      </c>
      <c r="C12" s="30" t="s">
        <v>2680</v>
      </c>
      <c r="D12" s="30" t="s">
        <v>146</v>
      </c>
      <c r="E12" s="30" t="s">
        <v>2684</v>
      </c>
      <c r="F12" s="30" t="s">
        <v>2635</v>
      </c>
      <c r="G12" s="30" t="s">
        <v>3117</v>
      </c>
      <c r="H12" s="30" t="s">
        <v>3118</v>
      </c>
      <c r="I12" s="30" t="s">
        <v>3119</v>
      </c>
      <c r="J12" s="30" t="s">
        <v>3120</v>
      </c>
      <c r="K12" s="30" t="s">
        <v>3121</v>
      </c>
      <c r="L12" s="30" t="s">
        <v>3122</v>
      </c>
      <c r="M12" s="30" t="s">
        <v>3540</v>
      </c>
      <c r="N12" s="30" t="s">
        <v>3650</v>
      </c>
      <c r="O12" s="30" t="s">
        <v>3123</v>
      </c>
      <c r="P12" s="30" t="s">
        <v>3124</v>
      </c>
      <c r="Q12" s="30" t="s">
        <v>3125</v>
      </c>
      <c r="R12" s="30" t="s">
        <v>3126</v>
      </c>
      <c r="S12" s="30" t="s">
        <v>3127</v>
      </c>
      <c r="T12" s="30" t="s">
        <v>3128</v>
      </c>
      <c r="U12" s="30" t="s">
        <v>3129</v>
      </c>
      <c r="V12" s="30" t="s">
        <v>3109</v>
      </c>
    </row>
    <row r="13" spans="1:24" s="31" customFormat="1" ht="187" hidden="1" x14ac:dyDescent="0.2">
      <c r="A13" s="31" t="s">
        <v>3130</v>
      </c>
      <c r="B13" s="31" t="s">
        <v>1487</v>
      </c>
      <c r="C13" s="31" t="s">
        <v>1484</v>
      </c>
      <c r="D13" s="31" t="s">
        <v>176</v>
      </c>
      <c r="E13" s="31" t="s">
        <v>1488</v>
      </c>
      <c r="F13" s="31" t="s">
        <v>86</v>
      </c>
      <c r="G13" s="31" t="s">
        <v>3131</v>
      </c>
      <c r="H13" s="31" t="s">
        <v>3541</v>
      </c>
      <c r="I13" s="31" t="s">
        <v>3132</v>
      </c>
      <c r="J13" s="31" t="s">
        <v>3038</v>
      </c>
      <c r="K13" s="31" t="s">
        <v>3542</v>
      </c>
      <c r="L13" s="31" t="s">
        <v>3543</v>
      </c>
      <c r="M13" s="31" t="s">
        <v>3133</v>
      </c>
      <c r="N13" s="31" t="s">
        <v>3134</v>
      </c>
      <c r="O13" s="31" t="s">
        <v>3544</v>
      </c>
      <c r="P13" s="31" t="s">
        <v>3135</v>
      </c>
      <c r="Q13" s="31" t="s">
        <v>3545</v>
      </c>
      <c r="R13" s="31" t="s">
        <v>3546</v>
      </c>
      <c r="S13" s="31" t="s">
        <v>3136</v>
      </c>
      <c r="T13" s="31" t="s">
        <v>3137</v>
      </c>
      <c r="U13" s="31" t="s">
        <v>3547</v>
      </c>
      <c r="V13" s="31" t="s">
        <v>3109</v>
      </c>
      <c r="W13" s="31" t="s">
        <v>3538</v>
      </c>
      <c r="X13" s="31" t="s">
        <v>3548</v>
      </c>
    </row>
    <row r="14" spans="1:24" s="30" customFormat="1" ht="187" hidden="1" x14ac:dyDescent="0.2">
      <c r="A14" s="30" t="s">
        <v>3138</v>
      </c>
      <c r="B14" s="30" t="s">
        <v>339</v>
      </c>
      <c r="C14" s="30" t="s">
        <v>336</v>
      </c>
      <c r="D14" s="30" t="s">
        <v>176</v>
      </c>
      <c r="E14" s="30" t="s">
        <v>340</v>
      </c>
      <c r="F14" s="30" t="s">
        <v>86</v>
      </c>
      <c r="G14" s="30" t="s">
        <v>3139</v>
      </c>
      <c r="H14" s="30" t="s">
        <v>3140</v>
      </c>
      <c r="I14" s="30" t="s">
        <v>3141</v>
      </c>
      <c r="J14" s="30" t="s">
        <v>3142</v>
      </c>
      <c r="K14" s="30" t="s">
        <v>3143</v>
      </c>
      <c r="L14" s="30" t="s">
        <v>3144</v>
      </c>
      <c r="M14" s="30" t="s">
        <v>3145</v>
      </c>
      <c r="N14" s="30" t="s">
        <v>3651</v>
      </c>
      <c r="O14" s="30" t="s">
        <v>3146</v>
      </c>
      <c r="P14" s="30" t="s">
        <v>3147</v>
      </c>
      <c r="Q14" s="30" t="s">
        <v>3148</v>
      </c>
      <c r="R14" s="30" t="s">
        <v>3149</v>
      </c>
      <c r="S14" s="30" t="s">
        <v>3150</v>
      </c>
      <c r="T14" s="30" t="s">
        <v>3152</v>
      </c>
      <c r="U14" s="30" t="s">
        <v>3151</v>
      </c>
      <c r="V14" s="30" t="s">
        <v>3109</v>
      </c>
    </row>
    <row r="15" spans="1:24" s="30" customFormat="1" ht="187" hidden="1" x14ac:dyDescent="0.2">
      <c r="A15" s="30" t="s">
        <v>3153</v>
      </c>
      <c r="B15" s="30" t="s">
        <v>990</v>
      </c>
      <c r="C15" s="30" t="s">
        <v>987</v>
      </c>
      <c r="D15" s="30" t="s">
        <v>176</v>
      </c>
      <c r="E15" s="30" t="s">
        <v>252</v>
      </c>
      <c r="F15" s="30" t="s">
        <v>86</v>
      </c>
      <c r="G15" s="30" t="s">
        <v>3154</v>
      </c>
      <c r="H15" s="30" t="s">
        <v>3155</v>
      </c>
      <c r="I15" s="30" t="s">
        <v>3156</v>
      </c>
      <c r="J15" s="30" t="s">
        <v>3615</v>
      </c>
      <c r="K15" s="30" t="s">
        <v>3158</v>
      </c>
      <c r="L15" s="30" t="s">
        <v>3159</v>
      </c>
      <c r="M15" s="30" t="s">
        <v>3160</v>
      </c>
      <c r="N15" s="30" t="s">
        <v>3161</v>
      </c>
      <c r="O15" s="30" t="s">
        <v>3162</v>
      </c>
      <c r="P15" s="30" t="s">
        <v>3163</v>
      </c>
      <c r="Q15" s="30" t="s">
        <v>3164</v>
      </c>
      <c r="R15" s="30" t="s">
        <v>3165</v>
      </c>
      <c r="S15" s="30" t="s">
        <v>3166</v>
      </c>
      <c r="T15" s="30" t="s">
        <v>3167</v>
      </c>
      <c r="U15" s="30" t="s">
        <v>3168</v>
      </c>
      <c r="V15" s="30" t="s">
        <v>3109</v>
      </c>
    </row>
    <row r="16" spans="1:24" s="31" customFormat="1" ht="187" hidden="1" x14ac:dyDescent="0.2">
      <c r="A16" s="31" t="s">
        <v>3169</v>
      </c>
      <c r="B16" s="31" t="s">
        <v>489</v>
      </c>
      <c r="C16" s="31" t="s">
        <v>486</v>
      </c>
      <c r="D16" s="31" t="s">
        <v>121</v>
      </c>
      <c r="E16" s="31" t="s">
        <v>122</v>
      </c>
      <c r="F16" s="31" t="s">
        <v>86</v>
      </c>
      <c r="G16" s="31" t="s">
        <v>3170</v>
      </c>
      <c r="H16" s="31" t="s">
        <v>3550</v>
      </c>
      <c r="I16" s="31" t="s">
        <v>3171</v>
      </c>
      <c r="J16" s="31" t="s">
        <v>3157</v>
      </c>
      <c r="K16" s="31" t="s">
        <v>3551</v>
      </c>
      <c r="L16" s="31" t="s">
        <v>3552</v>
      </c>
      <c r="M16" s="31" t="s">
        <v>3553</v>
      </c>
      <c r="N16" s="31" t="s">
        <v>3652</v>
      </c>
      <c r="O16" s="31" t="s">
        <v>3172</v>
      </c>
      <c r="P16" s="31" t="s">
        <v>3173</v>
      </c>
      <c r="Q16" s="31" t="s">
        <v>3554</v>
      </c>
      <c r="R16" s="31" t="s">
        <v>3174</v>
      </c>
      <c r="S16" s="31" t="s">
        <v>3175</v>
      </c>
      <c r="T16" s="31" t="s">
        <v>3176</v>
      </c>
      <c r="U16" s="31" t="s">
        <v>3555</v>
      </c>
      <c r="V16" s="31" t="s">
        <v>3109</v>
      </c>
      <c r="W16" s="31" t="s">
        <v>3538</v>
      </c>
      <c r="X16" s="31" t="s">
        <v>3556</v>
      </c>
    </row>
    <row r="17" spans="1:24" s="19" customFormat="1" ht="51" hidden="1" x14ac:dyDescent="0.2">
      <c r="A17" s="19" t="s">
        <v>3177</v>
      </c>
      <c r="B17" s="19" t="s">
        <v>2317</v>
      </c>
      <c r="C17" s="19" t="s">
        <v>2314</v>
      </c>
      <c r="D17" s="19" t="s">
        <v>146</v>
      </c>
      <c r="E17" s="19" t="s">
        <v>830</v>
      </c>
      <c r="F17" s="19" t="s">
        <v>2313</v>
      </c>
      <c r="U17" s="19" t="s">
        <v>2881</v>
      </c>
      <c r="V17" s="19" t="s">
        <v>3109</v>
      </c>
    </row>
    <row r="18" spans="1:24" s="30" customFormat="1" ht="170" hidden="1" x14ac:dyDescent="0.2">
      <c r="A18" s="30" t="s">
        <v>3178</v>
      </c>
      <c r="B18" s="30" t="s">
        <v>1047</v>
      </c>
      <c r="C18" s="30" t="s">
        <v>1044</v>
      </c>
      <c r="D18" s="30" t="s">
        <v>176</v>
      </c>
      <c r="E18" s="30" t="s">
        <v>1048</v>
      </c>
      <c r="F18" s="30" t="s">
        <v>86</v>
      </c>
      <c r="G18" s="30" t="s">
        <v>3179</v>
      </c>
      <c r="H18" s="30" t="s">
        <v>3180</v>
      </c>
      <c r="I18" s="30" t="s">
        <v>3181</v>
      </c>
      <c r="J18" s="30" t="s">
        <v>3184</v>
      </c>
      <c r="K18" s="30" t="s">
        <v>3558</v>
      </c>
      <c r="L18" s="30" t="s">
        <v>3182</v>
      </c>
      <c r="M18" s="30" t="s">
        <v>3183</v>
      </c>
      <c r="N18" s="30" t="s">
        <v>3653</v>
      </c>
      <c r="O18" s="30" t="s">
        <v>3185</v>
      </c>
      <c r="P18" s="30" t="s">
        <v>3186</v>
      </c>
      <c r="Q18" s="30" t="s">
        <v>3557</v>
      </c>
      <c r="R18" s="30" t="s">
        <v>3187</v>
      </c>
      <c r="S18" s="30" t="s">
        <v>3188</v>
      </c>
      <c r="T18" s="30" t="s">
        <v>3189</v>
      </c>
      <c r="U18" s="30" t="s">
        <v>3190</v>
      </c>
      <c r="V18" s="30" t="s">
        <v>3109</v>
      </c>
    </row>
    <row r="19" spans="1:24" s="30" customFormat="1" ht="238" x14ac:dyDescent="0.2">
      <c r="A19" s="30" t="s">
        <v>3191</v>
      </c>
      <c r="B19" s="30" t="s">
        <v>1214</v>
      </c>
      <c r="C19" s="30" t="s">
        <v>1211</v>
      </c>
      <c r="D19" s="30" t="s">
        <v>176</v>
      </c>
      <c r="E19" s="30" t="s">
        <v>368</v>
      </c>
      <c r="F19" s="30" t="s">
        <v>86</v>
      </c>
      <c r="G19" s="30" t="s">
        <v>3192</v>
      </c>
      <c r="H19" s="30" t="s">
        <v>3193</v>
      </c>
      <c r="I19" s="30" t="s">
        <v>3194</v>
      </c>
      <c r="J19" s="30" t="s">
        <v>3195</v>
      </c>
      <c r="K19" s="30" t="s">
        <v>3559</v>
      </c>
      <c r="L19" s="30" t="s">
        <v>3196</v>
      </c>
      <c r="M19" s="30" t="s">
        <v>3197</v>
      </c>
      <c r="N19" s="30" t="s">
        <v>3654</v>
      </c>
      <c r="O19" s="30" t="s">
        <v>3198</v>
      </c>
      <c r="P19" s="30" t="s">
        <v>3199</v>
      </c>
      <c r="Q19" s="30" t="s">
        <v>3200</v>
      </c>
      <c r="R19" s="30" t="s">
        <v>3201</v>
      </c>
      <c r="S19" s="30" t="s">
        <v>3202</v>
      </c>
      <c r="T19" s="30" t="s">
        <v>3203</v>
      </c>
      <c r="U19" s="30" t="s">
        <v>3204</v>
      </c>
      <c r="V19" s="30" t="s">
        <v>3109</v>
      </c>
    </row>
    <row r="20" spans="1:24" s="30" customFormat="1" ht="238" hidden="1" x14ac:dyDescent="0.2">
      <c r="A20" s="30" t="s">
        <v>3205</v>
      </c>
      <c r="B20" s="30" t="s">
        <v>2241</v>
      </c>
      <c r="C20" s="30" t="s">
        <v>2238</v>
      </c>
      <c r="D20" s="30" t="s">
        <v>146</v>
      </c>
      <c r="E20" s="30" t="s">
        <v>2242</v>
      </c>
      <c r="F20" s="30" t="s">
        <v>2260</v>
      </c>
      <c r="G20" s="30" t="s">
        <v>3206</v>
      </c>
      <c r="H20" s="30" t="s">
        <v>3207</v>
      </c>
      <c r="I20" s="30" t="s">
        <v>3208</v>
      </c>
      <c r="J20" s="30" t="s">
        <v>3209</v>
      </c>
      <c r="K20" s="30" t="s">
        <v>3210</v>
      </c>
      <c r="L20" s="30" t="s">
        <v>3211</v>
      </c>
      <c r="M20" s="30" t="s">
        <v>3212</v>
      </c>
      <c r="N20" s="30" t="s">
        <v>3213</v>
      </c>
      <c r="O20" s="30" t="s">
        <v>3214</v>
      </c>
      <c r="P20" s="30" t="s">
        <v>3215</v>
      </c>
      <c r="Q20" s="30" t="s">
        <v>3560</v>
      </c>
      <c r="R20" s="30" t="s">
        <v>3216</v>
      </c>
      <c r="S20" s="30" t="s">
        <v>3217</v>
      </c>
      <c r="T20" s="30" t="s">
        <v>3218</v>
      </c>
      <c r="U20" s="30" t="s">
        <v>3219</v>
      </c>
      <c r="V20" s="30" t="s">
        <v>3109</v>
      </c>
    </row>
    <row r="21" spans="1:24" s="30" customFormat="1" ht="255" x14ac:dyDescent="0.2">
      <c r="A21" s="30" t="s">
        <v>3669</v>
      </c>
      <c r="B21" s="30" t="s">
        <v>2479</v>
      </c>
      <c r="C21" s="30" t="s">
        <v>2476</v>
      </c>
      <c r="D21" s="30" t="s">
        <v>146</v>
      </c>
      <c r="E21" s="30" t="s">
        <v>923</v>
      </c>
      <c r="F21" s="30" t="s">
        <v>2313</v>
      </c>
      <c r="G21" s="30" t="s">
        <v>3220</v>
      </c>
      <c r="H21" s="30" t="s">
        <v>3561</v>
      </c>
      <c r="I21" s="30" t="s">
        <v>3221</v>
      </c>
      <c r="J21" s="30" t="s">
        <v>3222</v>
      </c>
      <c r="K21" s="30" t="s">
        <v>3562</v>
      </c>
      <c r="L21" s="30" t="s">
        <v>3223</v>
      </c>
      <c r="M21" s="30" t="s">
        <v>3224</v>
      </c>
      <c r="N21" s="30" t="s">
        <v>3655</v>
      </c>
      <c r="O21" s="30" t="s">
        <v>3563</v>
      </c>
      <c r="P21" s="30" t="s">
        <v>3225</v>
      </c>
      <c r="Q21" s="30" t="s">
        <v>3226</v>
      </c>
      <c r="R21" s="30" t="s">
        <v>3227</v>
      </c>
      <c r="S21" s="30" t="s">
        <v>3228</v>
      </c>
      <c r="T21" s="30" t="s">
        <v>3229</v>
      </c>
      <c r="U21" s="30" t="s">
        <v>3230</v>
      </c>
      <c r="V21" s="30" t="s">
        <v>3109</v>
      </c>
    </row>
    <row r="22" spans="1:24" s="19" customFormat="1" ht="51" hidden="1" x14ac:dyDescent="0.2">
      <c r="A22" s="19" t="s">
        <v>3231</v>
      </c>
      <c r="B22" s="19" t="s">
        <v>1248</v>
      </c>
      <c r="C22" s="19" t="s">
        <v>1245</v>
      </c>
      <c r="D22" s="19" t="s">
        <v>146</v>
      </c>
      <c r="E22" s="19" t="s">
        <v>56</v>
      </c>
      <c r="F22" s="19" t="s">
        <v>86</v>
      </c>
      <c r="U22" s="19" t="s">
        <v>2836</v>
      </c>
      <c r="V22" s="19" t="s">
        <v>3109</v>
      </c>
    </row>
    <row r="23" spans="1:24" s="30" customFormat="1" ht="170" x14ac:dyDescent="0.2">
      <c r="A23" s="30" t="s">
        <v>3232</v>
      </c>
      <c r="B23" s="30" t="s">
        <v>1399</v>
      </c>
      <c r="C23" s="30" t="s">
        <v>1396</v>
      </c>
      <c r="D23" s="30" t="s">
        <v>92</v>
      </c>
      <c r="E23" s="30" t="s">
        <v>93</v>
      </c>
      <c r="F23" s="30" t="s">
        <v>86</v>
      </c>
      <c r="G23" s="30" t="s">
        <v>3233</v>
      </c>
      <c r="H23" s="30" t="s">
        <v>3234</v>
      </c>
      <c r="I23" s="30" t="s">
        <v>3235</v>
      </c>
      <c r="J23" s="30" t="s">
        <v>3614</v>
      </c>
      <c r="K23" s="30" t="s">
        <v>3236</v>
      </c>
      <c r="L23" s="30" t="s">
        <v>3237</v>
      </c>
      <c r="M23" s="30" t="s">
        <v>3238</v>
      </c>
      <c r="N23" s="30" t="s">
        <v>3239</v>
      </c>
      <c r="O23" s="30" t="s">
        <v>3565</v>
      </c>
      <c r="P23" s="30" t="s">
        <v>3240</v>
      </c>
      <c r="Q23" s="30" t="s">
        <v>3564</v>
      </c>
      <c r="R23" s="30" t="s">
        <v>3241</v>
      </c>
      <c r="S23" s="30" t="s">
        <v>3242</v>
      </c>
      <c r="T23" s="30" t="s">
        <v>3243</v>
      </c>
      <c r="U23" s="30" t="s">
        <v>3244</v>
      </c>
      <c r="V23" s="30" t="s">
        <v>3109</v>
      </c>
    </row>
    <row r="24" spans="1:24" s="30" customFormat="1" ht="204" x14ac:dyDescent="0.2">
      <c r="A24" s="30" t="s">
        <v>3245</v>
      </c>
      <c r="B24" s="30" t="s">
        <v>367</v>
      </c>
      <c r="C24" s="30" t="s">
        <v>364</v>
      </c>
      <c r="D24" s="30" t="s">
        <v>176</v>
      </c>
      <c r="E24" s="30" t="s">
        <v>368</v>
      </c>
      <c r="F24" s="30" t="s">
        <v>86</v>
      </c>
      <c r="G24" s="30" t="s">
        <v>3246</v>
      </c>
      <c r="H24" s="30" t="s">
        <v>3247</v>
      </c>
      <c r="I24" s="30" t="s">
        <v>3248</v>
      </c>
      <c r="J24" s="30" t="s">
        <v>3038</v>
      </c>
      <c r="K24" s="30" t="s">
        <v>3567</v>
      </c>
      <c r="L24" s="30" t="s">
        <v>3249</v>
      </c>
      <c r="M24" s="30" t="s">
        <v>3250</v>
      </c>
      <c r="N24" s="30" t="s">
        <v>3656</v>
      </c>
      <c r="O24" s="30" t="s">
        <v>3251</v>
      </c>
      <c r="P24" s="30" t="s">
        <v>3252</v>
      </c>
      <c r="Q24" s="30" t="s">
        <v>3566</v>
      </c>
      <c r="R24" s="30" t="s">
        <v>3253</v>
      </c>
      <c r="S24" s="30" t="s">
        <v>3254</v>
      </c>
      <c r="T24" s="30" t="s">
        <v>3255</v>
      </c>
      <c r="U24" s="30" t="s">
        <v>3256</v>
      </c>
      <c r="V24" s="30" t="s">
        <v>3109</v>
      </c>
    </row>
    <row r="25" spans="1:24" s="30" customFormat="1" ht="221" hidden="1" x14ac:dyDescent="0.2">
      <c r="A25" s="30" t="s">
        <v>3257</v>
      </c>
      <c r="B25" s="30" t="s">
        <v>762</v>
      </c>
      <c r="C25" s="30" t="s">
        <v>759</v>
      </c>
      <c r="D25" s="30" t="s">
        <v>176</v>
      </c>
      <c r="E25" s="30" t="s">
        <v>252</v>
      </c>
      <c r="F25" s="30" t="s">
        <v>86</v>
      </c>
      <c r="G25" s="30" t="s">
        <v>3258</v>
      </c>
      <c r="H25" s="30" t="s">
        <v>3259</v>
      </c>
      <c r="I25" s="30" t="s">
        <v>3260</v>
      </c>
      <c r="J25" s="30" t="s">
        <v>3261</v>
      </c>
      <c r="K25" s="30" t="s">
        <v>3569</v>
      </c>
      <c r="L25" s="30" t="s">
        <v>3262</v>
      </c>
      <c r="M25" s="30" t="s">
        <v>3263</v>
      </c>
      <c r="N25" s="30" t="s">
        <v>3657</v>
      </c>
      <c r="O25" s="30" t="s">
        <v>3568</v>
      </c>
      <c r="P25" s="30" t="s">
        <v>3264</v>
      </c>
      <c r="Q25" s="30" t="s">
        <v>3265</v>
      </c>
      <c r="R25" s="30" t="s">
        <v>3266</v>
      </c>
      <c r="S25" s="30" t="s">
        <v>3267</v>
      </c>
      <c r="T25" s="30" t="s">
        <v>3268</v>
      </c>
      <c r="U25" s="30" t="s">
        <v>3269</v>
      </c>
      <c r="V25" s="30" t="s">
        <v>3109</v>
      </c>
    </row>
    <row r="26" spans="1:24" s="31" customFormat="1" ht="306" hidden="1" x14ac:dyDescent="0.2">
      <c r="A26" s="31" t="s">
        <v>3270</v>
      </c>
      <c r="B26" s="31" t="s">
        <v>1845</v>
      </c>
      <c r="C26" s="31" t="s">
        <v>1842</v>
      </c>
      <c r="D26" s="31" t="s">
        <v>146</v>
      </c>
      <c r="E26" s="31" t="s">
        <v>923</v>
      </c>
      <c r="F26" s="31" t="s">
        <v>86</v>
      </c>
      <c r="G26" s="31" t="s">
        <v>3271</v>
      </c>
      <c r="H26" s="31" t="s">
        <v>3272</v>
      </c>
      <c r="I26" s="31" t="s">
        <v>3273</v>
      </c>
      <c r="J26" s="31" t="s">
        <v>3274</v>
      </c>
      <c r="K26" s="31" t="s">
        <v>3275</v>
      </c>
      <c r="L26" s="31" t="s">
        <v>3276</v>
      </c>
      <c r="M26" s="31" t="s">
        <v>3277</v>
      </c>
      <c r="N26" s="31" t="s">
        <v>3572</v>
      </c>
      <c r="O26" s="31" t="s">
        <v>3571</v>
      </c>
      <c r="P26" s="31" t="s">
        <v>3278</v>
      </c>
      <c r="Q26" s="31" t="s">
        <v>3279</v>
      </c>
      <c r="R26" s="31" t="s">
        <v>3280</v>
      </c>
      <c r="S26" s="31" t="s">
        <v>3281</v>
      </c>
      <c r="T26" s="31" t="s">
        <v>3282</v>
      </c>
      <c r="U26" s="31" t="s">
        <v>3283</v>
      </c>
      <c r="V26" s="31" t="s">
        <v>3109</v>
      </c>
      <c r="W26" s="31" t="s">
        <v>3538</v>
      </c>
      <c r="X26" s="31" t="s">
        <v>3570</v>
      </c>
    </row>
    <row r="27" spans="1:24" s="30" customFormat="1" ht="221" hidden="1" x14ac:dyDescent="0.2">
      <c r="A27" s="30" t="s">
        <v>3284</v>
      </c>
      <c r="B27" s="30" t="s">
        <v>671</v>
      </c>
      <c r="C27" s="30" t="s">
        <v>668</v>
      </c>
      <c r="D27" s="30" t="s">
        <v>176</v>
      </c>
      <c r="E27" s="30" t="s">
        <v>672</v>
      </c>
      <c r="F27" s="30" t="s">
        <v>86</v>
      </c>
      <c r="G27" s="30" t="s">
        <v>3285</v>
      </c>
      <c r="H27" s="30" t="s">
        <v>3286</v>
      </c>
      <c r="I27" s="30" t="s">
        <v>3287</v>
      </c>
      <c r="J27" s="30" t="s">
        <v>3288</v>
      </c>
      <c r="K27" s="30" t="s">
        <v>3289</v>
      </c>
      <c r="L27" s="30" t="s">
        <v>3290</v>
      </c>
      <c r="M27" s="30" t="s">
        <v>3291</v>
      </c>
      <c r="N27" s="30" t="s">
        <v>3658</v>
      </c>
      <c r="O27" s="30" t="s">
        <v>3292</v>
      </c>
      <c r="P27" s="30" t="s">
        <v>3293</v>
      </c>
      <c r="Q27" s="30" t="s">
        <v>3294</v>
      </c>
      <c r="R27" s="30" t="s">
        <v>3295</v>
      </c>
      <c r="S27" s="30" t="s">
        <v>3296</v>
      </c>
      <c r="T27" s="30" t="s">
        <v>3297</v>
      </c>
      <c r="U27" s="30" t="s">
        <v>3298</v>
      </c>
      <c r="V27" s="30" t="s">
        <v>3109</v>
      </c>
    </row>
    <row r="28" spans="1:24" s="30" customFormat="1" ht="221" hidden="1" x14ac:dyDescent="0.2">
      <c r="A28" s="30" t="s">
        <v>3299</v>
      </c>
      <c r="B28" s="30" t="s">
        <v>1631</v>
      </c>
      <c r="C28" s="30" t="s">
        <v>1628</v>
      </c>
      <c r="D28" s="30" t="s">
        <v>176</v>
      </c>
      <c r="E28" s="30" t="s">
        <v>1632</v>
      </c>
      <c r="F28" s="30" t="s">
        <v>86</v>
      </c>
      <c r="G28" s="30" t="s">
        <v>3300</v>
      </c>
      <c r="H28" s="30" t="s">
        <v>3301</v>
      </c>
      <c r="I28" s="30" t="s">
        <v>3302</v>
      </c>
      <c r="J28" s="30" t="s">
        <v>3303</v>
      </c>
      <c r="K28" s="30" t="s">
        <v>3304</v>
      </c>
      <c r="L28" s="30" t="s">
        <v>3305</v>
      </c>
      <c r="M28" s="30" t="s">
        <v>3306</v>
      </c>
      <c r="N28" s="30" t="s">
        <v>3659</v>
      </c>
      <c r="O28" s="30" t="s">
        <v>3307</v>
      </c>
      <c r="P28" s="30" t="s">
        <v>3313</v>
      </c>
      <c r="Q28" s="30" t="s">
        <v>3308</v>
      </c>
      <c r="R28" s="30" t="s">
        <v>3309</v>
      </c>
      <c r="S28" s="30" t="s">
        <v>3310</v>
      </c>
      <c r="T28" s="30" t="s">
        <v>3311</v>
      </c>
      <c r="U28" s="30" t="s">
        <v>3312</v>
      </c>
      <c r="V28" s="30" t="s">
        <v>3109</v>
      </c>
    </row>
    <row r="29" spans="1:24" s="30" customFormat="1" ht="238" hidden="1" x14ac:dyDescent="0.2">
      <c r="A29" s="30" t="s">
        <v>3314</v>
      </c>
      <c r="B29" s="30" t="s">
        <v>1071</v>
      </c>
      <c r="C29" s="30" t="s">
        <v>1068</v>
      </c>
      <c r="D29" s="30" t="s">
        <v>146</v>
      </c>
      <c r="E29" s="30" t="s">
        <v>923</v>
      </c>
      <c r="F29" s="30" t="s">
        <v>86</v>
      </c>
      <c r="G29" s="30" t="s">
        <v>3315</v>
      </c>
      <c r="H29" s="30" t="s">
        <v>3316</v>
      </c>
      <c r="I29" s="30" t="s">
        <v>3317</v>
      </c>
      <c r="J29" s="30" t="s">
        <v>3318</v>
      </c>
      <c r="K29" s="30" t="s">
        <v>3319</v>
      </c>
      <c r="L29" s="30" t="s">
        <v>3320</v>
      </c>
      <c r="M29" s="30" t="s">
        <v>3321</v>
      </c>
      <c r="N29" s="30" t="s">
        <v>3660</v>
      </c>
      <c r="O29" s="30" t="s">
        <v>3322</v>
      </c>
      <c r="P29" s="30" t="s">
        <v>3573</v>
      </c>
      <c r="Q29" s="30" t="s">
        <v>3323</v>
      </c>
      <c r="R29" s="30" t="s">
        <v>3324</v>
      </c>
      <c r="S29" s="30" t="s">
        <v>3325</v>
      </c>
      <c r="T29" s="30" t="s">
        <v>3326</v>
      </c>
      <c r="U29" s="30" t="s">
        <v>3327</v>
      </c>
      <c r="V29" s="30" t="s">
        <v>3109</v>
      </c>
    </row>
    <row r="30" spans="1:24" s="31" customFormat="1" ht="289" hidden="1" x14ac:dyDescent="0.2">
      <c r="A30" s="31" t="s">
        <v>3328</v>
      </c>
      <c r="B30" s="31" t="s">
        <v>1899</v>
      </c>
      <c r="C30" s="31" t="s">
        <v>1896</v>
      </c>
      <c r="D30" s="31" t="s">
        <v>121</v>
      </c>
      <c r="E30" s="31" t="s">
        <v>1900</v>
      </c>
      <c r="F30" s="31" t="s">
        <v>86</v>
      </c>
      <c r="G30" s="31" t="s">
        <v>3329</v>
      </c>
      <c r="H30" s="31" t="s">
        <v>3574</v>
      </c>
      <c r="I30" s="31" t="s">
        <v>3575</v>
      </c>
      <c r="J30" s="31" t="s">
        <v>3576</v>
      </c>
      <c r="K30" s="31" t="s">
        <v>3577</v>
      </c>
      <c r="L30" s="31" t="s">
        <v>3578</v>
      </c>
      <c r="M30" s="31" t="s">
        <v>3579</v>
      </c>
      <c r="N30" s="31" t="s">
        <v>3580</v>
      </c>
      <c r="O30" s="31" t="s">
        <v>3581</v>
      </c>
      <c r="P30" s="31" t="s">
        <v>3582</v>
      </c>
      <c r="Q30" s="31" t="s">
        <v>3583</v>
      </c>
      <c r="R30" s="31" t="s">
        <v>3584</v>
      </c>
      <c r="S30" s="31" t="s">
        <v>3585</v>
      </c>
      <c r="T30" s="31" t="s">
        <v>3586</v>
      </c>
      <c r="U30" s="31" t="s">
        <v>3587</v>
      </c>
      <c r="V30" s="31" t="s">
        <v>3109</v>
      </c>
      <c r="W30" s="31" t="s">
        <v>3538</v>
      </c>
      <c r="X30" s="31" t="s">
        <v>3588</v>
      </c>
    </row>
    <row r="31" spans="1:24" s="30" customFormat="1" ht="187" hidden="1" x14ac:dyDescent="0.2">
      <c r="A31" s="30" t="s">
        <v>3330</v>
      </c>
      <c r="B31" s="30" t="s">
        <v>2593</v>
      </c>
      <c r="C31" s="30" t="s">
        <v>2590</v>
      </c>
      <c r="D31" s="30" t="s">
        <v>2594</v>
      </c>
      <c r="E31" s="30" t="s">
        <v>2595</v>
      </c>
      <c r="F31" s="30" t="s">
        <v>2551</v>
      </c>
      <c r="G31" s="30" t="s">
        <v>3331</v>
      </c>
      <c r="H31" s="30" t="s">
        <v>3332</v>
      </c>
      <c r="I31" s="30" t="s">
        <v>3333</v>
      </c>
      <c r="J31" s="30" t="s">
        <v>3589</v>
      </c>
      <c r="K31" s="30" t="s">
        <v>3334</v>
      </c>
      <c r="L31" s="30" t="s">
        <v>3335</v>
      </c>
      <c r="M31" s="30" t="s">
        <v>3336</v>
      </c>
      <c r="N31" s="30" t="s">
        <v>3337</v>
      </c>
      <c r="O31" s="30" t="s">
        <v>3338</v>
      </c>
      <c r="P31" s="30" t="s">
        <v>3339</v>
      </c>
      <c r="Q31" s="30" t="s">
        <v>3340</v>
      </c>
      <c r="R31" s="30" t="s">
        <v>3341</v>
      </c>
      <c r="S31" s="30" t="s">
        <v>3342</v>
      </c>
      <c r="T31" s="30" t="s">
        <v>3343</v>
      </c>
      <c r="U31" s="30" t="s">
        <v>3344</v>
      </c>
      <c r="V31" s="30" t="s">
        <v>3109</v>
      </c>
    </row>
    <row r="32" spans="1:24" s="30" customFormat="1" ht="170" x14ac:dyDescent="0.2">
      <c r="A32" s="30" t="s">
        <v>3345</v>
      </c>
      <c r="B32" s="30" t="s">
        <v>1163</v>
      </c>
      <c r="C32" s="30" t="s">
        <v>1160</v>
      </c>
      <c r="D32" s="30" t="s">
        <v>146</v>
      </c>
      <c r="E32" s="30" t="s">
        <v>1164</v>
      </c>
      <c r="F32" s="30" t="s">
        <v>86</v>
      </c>
      <c r="G32" s="30" t="s">
        <v>3346</v>
      </c>
      <c r="H32" s="30" t="s">
        <v>3347</v>
      </c>
      <c r="I32" s="30" t="s">
        <v>3348</v>
      </c>
      <c r="J32" s="30" t="s">
        <v>3081</v>
      </c>
      <c r="K32" s="30" t="s">
        <v>3349</v>
      </c>
      <c r="L32" s="30" t="s">
        <v>3350</v>
      </c>
      <c r="M32" s="30" t="s">
        <v>3351</v>
      </c>
      <c r="N32" s="30" t="s">
        <v>3352</v>
      </c>
      <c r="O32" s="30" t="s">
        <v>3353</v>
      </c>
      <c r="P32" s="30" t="s">
        <v>3354</v>
      </c>
      <c r="Q32" s="30" t="s">
        <v>3355</v>
      </c>
      <c r="R32" s="30" t="s">
        <v>3356</v>
      </c>
      <c r="S32" s="30" t="s">
        <v>3357</v>
      </c>
      <c r="T32" s="30" t="s">
        <v>3358</v>
      </c>
      <c r="U32" s="30" t="s">
        <v>3359</v>
      </c>
      <c r="V32" s="30" t="s">
        <v>3109</v>
      </c>
    </row>
    <row r="33" spans="1:25" s="19" customFormat="1" ht="34" hidden="1" x14ac:dyDescent="0.2">
      <c r="A33" s="19" t="s">
        <v>3360</v>
      </c>
      <c r="B33" s="19" t="s">
        <v>829</v>
      </c>
      <c r="C33" s="19" t="s">
        <v>826</v>
      </c>
      <c r="D33" s="19" t="s">
        <v>176</v>
      </c>
      <c r="E33" s="19" t="s">
        <v>830</v>
      </c>
      <c r="F33" s="19" t="s">
        <v>86</v>
      </c>
      <c r="U33" s="19" t="s">
        <v>2956</v>
      </c>
      <c r="V33" s="19" t="s">
        <v>3109</v>
      </c>
    </row>
    <row r="34" spans="1:25" s="30" customFormat="1" ht="289" hidden="1" x14ac:dyDescent="0.2">
      <c r="A34" s="30" t="s">
        <v>3361</v>
      </c>
      <c r="B34" s="30" t="s">
        <v>175</v>
      </c>
      <c r="C34" s="30" t="s">
        <v>172</v>
      </c>
      <c r="D34" s="30" t="s">
        <v>176</v>
      </c>
      <c r="E34" s="30" t="s">
        <v>177</v>
      </c>
      <c r="F34" s="30" t="s">
        <v>86</v>
      </c>
      <c r="G34" s="30" t="s">
        <v>3362</v>
      </c>
      <c r="H34" s="30" t="s">
        <v>3363</v>
      </c>
      <c r="I34" s="30" t="s">
        <v>3364</v>
      </c>
      <c r="J34" s="30" t="s">
        <v>3038</v>
      </c>
      <c r="K34" s="30" t="s">
        <v>3365</v>
      </c>
      <c r="L34" s="30" t="s">
        <v>3366</v>
      </c>
      <c r="M34" s="30" t="s">
        <v>3590</v>
      </c>
      <c r="N34" s="30" t="s">
        <v>3661</v>
      </c>
      <c r="O34" s="30" t="s">
        <v>3367</v>
      </c>
      <c r="P34" s="30" t="s">
        <v>3368</v>
      </c>
      <c r="Q34" s="30" t="s">
        <v>3369</v>
      </c>
      <c r="R34" s="30" t="s">
        <v>3370</v>
      </c>
      <c r="S34" s="30" t="s">
        <v>3371</v>
      </c>
      <c r="T34" s="30" t="s">
        <v>3372</v>
      </c>
      <c r="U34" s="30" t="s">
        <v>3373</v>
      </c>
      <c r="V34" s="30" t="s">
        <v>3109</v>
      </c>
    </row>
    <row r="35" spans="1:25" s="30" customFormat="1" ht="238" hidden="1" x14ac:dyDescent="0.2">
      <c r="A35" s="30" t="s">
        <v>3374</v>
      </c>
      <c r="B35" s="30" t="s">
        <v>471</v>
      </c>
      <c r="C35" s="30" t="s">
        <v>468</v>
      </c>
      <c r="D35" s="30" t="s">
        <v>176</v>
      </c>
      <c r="E35" s="30" t="s">
        <v>252</v>
      </c>
      <c r="F35" s="30" t="s">
        <v>86</v>
      </c>
      <c r="G35" s="30" t="s">
        <v>3375</v>
      </c>
      <c r="H35" s="30" t="s">
        <v>3376</v>
      </c>
      <c r="I35" s="30" t="s">
        <v>3377</v>
      </c>
      <c r="J35" s="30" t="s">
        <v>3038</v>
      </c>
      <c r="K35" s="30" t="s">
        <v>3378</v>
      </c>
      <c r="L35" s="30" t="s">
        <v>3379</v>
      </c>
      <c r="M35" s="30" t="s">
        <v>3380</v>
      </c>
      <c r="N35" s="30" t="s">
        <v>3662</v>
      </c>
      <c r="O35" s="30" t="s">
        <v>3381</v>
      </c>
      <c r="P35" s="30" t="s">
        <v>3591</v>
      </c>
      <c r="Q35" s="30" t="s">
        <v>3382</v>
      </c>
      <c r="R35" s="30" t="s">
        <v>3383</v>
      </c>
      <c r="S35" s="30" t="s">
        <v>3384</v>
      </c>
      <c r="T35" s="30" t="s">
        <v>3592</v>
      </c>
      <c r="U35" s="30" t="s">
        <v>3385</v>
      </c>
      <c r="V35" s="30" t="s">
        <v>3109</v>
      </c>
    </row>
    <row r="36" spans="1:25" s="30" customFormat="1" ht="238" x14ac:dyDescent="0.2">
      <c r="A36" s="30" t="s">
        <v>3386</v>
      </c>
      <c r="B36" s="30" t="s">
        <v>251</v>
      </c>
      <c r="C36" s="30" t="s">
        <v>248</v>
      </c>
      <c r="D36" s="30" t="s">
        <v>176</v>
      </c>
      <c r="E36" s="30" t="s">
        <v>252</v>
      </c>
      <c r="F36" s="30" t="s">
        <v>86</v>
      </c>
      <c r="G36" s="30" t="s">
        <v>3387</v>
      </c>
      <c r="H36" s="30" t="s">
        <v>3388</v>
      </c>
      <c r="I36" s="30" t="s">
        <v>3389</v>
      </c>
      <c r="J36" s="30" t="s">
        <v>3390</v>
      </c>
      <c r="K36" s="30" t="s">
        <v>3391</v>
      </c>
      <c r="L36" s="30" t="s">
        <v>3392</v>
      </c>
      <c r="M36" s="30" t="s">
        <v>3393</v>
      </c>
      <c r="N36" s="30" t="s">
        <v>3394</v>
      </c>
      <c r="O36" s="30" t="s">
        <v>3663</v>
      </c>
      <c r="P36" s="30" t="s">
        <v>3594</v>
      </c>
      <c r="Q36" s="30" t="s">
        <v>3593</v>
      </c>
      <c r="R36" s="30" t="s">
        <v>3395</v>
      </c>
      <c r="S36" s="30" t="s">
        <v>3396</v>
      </c>
      <c r="T36" s="30" t="s">
        <v>3397</v>
      </c>
      <c r="U36" s="30" t="s">
        <v>3398</v>
      </c>
      <c r="V36" s="30" t="s">
        <v>3109</v>
      </c>
    </row>
    <row r="37" spans="1:25" s="30" customFormat="1" ht="323" x14ac:dyDescent="0.2">
      <c r="A37" s="30" t="s">
        <v>3412</v>
      </c>
      <c r="B37" s="30" t="s">
        <v>2454</v>
      </c>
      <c r="C37" s="30" t="s">
        <v>2451</v>
      </c>
      <c r="D37" s="30" t="s">
        <v>2455</v>
      </c>
      <c r="E37" s="30" t="s">
        <v>2456</v>
      </c>
      <c r="F37" s="30" t="s">
        <v>2313</v>
      </c>
      <c r="G37" s="30" t="s">
        <v>3399</v>
      </c>
      <c r="H37" s="30" t="s">
        <v>3400</v>
      </c>
      <c r="I37" s="30" t="s">
        <v>3401</v>
      </c>
      <c r="J37" s="30" t="s">
        <v>3402</v>
      </c>
      <c r="K37" s="30" t="s">
        <v>3403</v>
      </c>
      <c r="L37" s="30" t="s">
        <v>3404</v>
      </c>
      <c r="M37" s="30" t="s">
        <v>3405</v>
      </c>
      <c r="N37" s="30" t="s">
        <v>3406</v>
      </c>
      <c r="O37" s="30" t="s">
        <v>3407</v>
      </c>
      <c r="P37" s="30" t="s">
        <v>3596</v>
      </c>
      <c r="Q37" s="30" t="s">
        <v>3595</v>
      </c>
      <c r="R37" s="30" t="s">
        <v>3408</v>
      </c>
      <c r="S37" s="30" t="s">
        <v>3409</v>
      </c>
      <c r="T37" s="30" t="s">
        <v>3410</v>
      </c>
      <c r="U37" s="30" t="s">
        <v>3411</v>
      </c>
      <c r="V37" s="30" t="s">
        <v>3109</v>
      </c>
    </row>
    <row r="38" spans="1:25" s="30" customFormat="1" ht="238" hidden="1" x14ac:dyDescent="0.2">
      <c r="A38" s="30" t="s">
        <v>3668</v>
      </c>
      <c r="B38" s="30" t="s">
        <v>91</v>
      </c>
      <c r="C38" s="30" t="s">
        <v>88</v>
      </c>
      <c r="D38" s="30" t="s">
        <v>92</v>
      </c>
      <c r="E38" s="30" t="s">
        <v>93</v>
      </c>
      <c r="F38" s="30" t="s">
        <v>86</v>
      </c>
      <c r="G38" s="30" t="s">
        <v>3413</v>
      </c>
      <c r="H38" s="30" t="s">
        <v>3414</v>
      </c>
      <c r="I38" s="30" t="s">
        <v>3415</v>
      </c>
      <c r="J38" s="30" t="s">
        <v>3038</v>
      </c>
      <c r="K38" s="30" t="s">
        <v>3416</v>
      </c>
      <c r="L38" s="30" t="s">
        <v>3417</v>
      </c>
      <c r="M38" s="30" t="s">
        <v>3418</v>
      </c>
      <c r="N38" s="30" t="s">
        <v>3419</v>
      </c>
      <c r="O38" s="30" t="s">
        <v>3420</v>
      </c>
      <c r="P38" s="30" t="s">
        <v>3421</v>
      </c>
      <c r="Q38" s="30" t="s">
        <v>3422</v>
      </c>
      <c r="R38" s="30" t="s">
        <v>3423</v>
      </c>
      <c r="S38" s="30" t="s">
        <v>3424</v>
      </c>
      <c r="T38" s="30" t="s">
        <v>3425</v>
      </c>
      <c r="U38" s="30" t="s">
        <v>3426</v>
      </c>
      <c r="V38" s="30" t="s">
        <v>3109</v>
      </c>
    </row>
    <row r="39" spans="1:25" s="30" customFormat="1" ht="289" hidden="1" x14ac:dyDescent="0.2">
      <c r="A39" s="30" t="s">
        <v>3427</v>
      </c>
      <c r="B39" s="30" t="s">
        <v>145</v>
      </c>
      <c r="C39" s="30" t="s">
        <v>142</v>
      </c>
      <c r="D39" s="30" t="s">
        <v>146</v>
      </c>
      <c r="E39" s="30" t="s">
        <v>147</v>
      </c>
      <c r="F39" s="30" t="s">
        <v>86</v>
      </c>
      <c r="G39" s="30" t="s">
        <v>3428</v>
      </c>
      <c r="H39" s="30" t="s">
        <v>3429</v>
      </c>
      <c r="I39" s="30" t="s">
        <v>3430</v>
      </c>
      <c r="J39" s="30" t="s">
        <v>3038</v>
      </c>
      <c r="K39" s="30" t="s">
        <v>3599</v>
      </c>
      <c r="L39" s="30" t="s">
        <v>3431</v>
      </c>
      <c r="M39" s="30" t="s">
        <v>3432</v>
      </c>
      <c r="N39" s="30" t="s">
        <v>3664</v>
      </c>
      <c r="O39" s="30" t="s">
        <v>3597</v>
      </c>
      <c r="P39" s="30" t="s">
        <v>3433</v>
      </c>
      <c r="Q39" s="30" t="s">
        <v>3598</v>
      </c>
      <c r="R39" s="30" t="s">
        <v>3434</v>
      </c>
      <c r="S39" s="30" t="s">
        <v>3435</v>
      </c>
      <c r="T39" s="30" t="s">
        <v>3436</v>
      </c>
      <c r="U39" s="30" t="s">
        <v>3437</v>
      </c>
      <c r="V39" s="30" t="s">
        <v>3109</v>
      </c>
    </row>
    <row r="40" spans="1:25" s="30" customFormat="1" ht="221" hidden="1" x14ac:dyDescent="0.2">
      <c r="A40" s="30" t="s">
        <v>3438</v>
      </c>
      <c r="B40" s="30" t="s">
        <v>2662</v>
      </c>
      <c r="C40" s="30" t="s">
        <v>2659</v>
      </c>
      <c r="D40" s="30" t="s">
        <v>146</v>
      </c>
      <c r="E40" s="30" t="s">
        <v>391</v>
      </c>
      <c r="F40" s="30" t="s">
        <v>2635</v>
      </c>
      <c r="G40" s="30" t="s">
        <v>3439</v>
      </c>
      <c r="H40" s="30" t="s">
        <v>3440</v>
      </c>
      <c r="I40" s="30" t="s">
        <v>3441</v>
      </c>
      <c r="J40" s="30" t="s">
        <v>3038</v>
      </c>
      <c r="K40" s="30" t="s">
        <v>3601</v>
      </c>
      <c r="L40" s="30" t="s">
        <v>3442</v>
      </c>
      <c r="M40" s="30" t="s">
        <v>3443</v>
      </c>
      <c r="N40" s="30" t="s">
        <v>3444</v>
      </c>
      <c r="O40" s="30" t="s">
        <v>3445</v>
      </c>
      <c r="P40" s="30" t="s">
        <v>3446</v>
      </c>
      <c r="Q40" s="30" t="s">
        <v>3600</v>
      </c>
      <c r="R40" s="30" t="s">
        <v>3447</v>
      </c>
      <c r="S40" s="30" t="s">
        <v>3448</v>
      </c>
      <c r="T40" s="30" t="s">
        <v>3449</v>
      </c>
      <c r="U40" s="30" t="s">
        <v>3450</v>
      </c>
      <c r="V40" s="30" t="s">
        <v>3109</v>
      </c>
    </row>
    <row r="41" spans="1:25" s="30" customFormat="1" ht="356" x14ac:dyDescent="0.2">
      <c r="A41" s="30" t="s">
        <v>3451</v>
      </c>
      <c r="B41" s="30" t="s">
        <v>1922</v>
      </c>
      <c r="C41" s="30" t="s">
        <v>1919</v>
      </c>
      <c r="D41" s="30" t="s">
        <v>1879</v>
      </c>
      <c r="E41" s="30" t="s">
        <v>1923</v>
      </c>
      <c r="F41" s="30" t="s">
        <v>86</v>
      </c>
      <c r="G41" s="30" t="s">
        <v>3452</v>
      </c>
      <c r="H41" s="30" t="s">
        <v>3453</v>
      </c>
      <c r="I41" s="30" t="s">
        <v>3666</v>
      </c>
      <c r="J41" s="30" t="s">
        <v>3665</v>
      </c>
      <c r="K41" s="30" t="s">
        <v>3454</v>
      </c>
      <c r="L41" s="30" t="s">
        <v>3455</v>
      </c>
      <c r="M41" s="30" t="s">
        <v>3456</v>
      </c>
      <c r="N41" s="30" t="s">
        <v>3457</v>
      </c>
      <c r="O41" s="30" t="s">
        <v>3458</v>
      </c>
      <c r="P41" s="30" t="s">
        <v>3459</v>
      </c>
      <c r="Q41" s="30" t="s">
        <v>3602</v>
      </c>
      <c r="R41" s="30" t="s">
        <v>3460</v>
      </c>
      <c r="S41" s="30" t="s">
        <v>3461</v>
      </c>
      <c r="T41" s="30" t="s">
        <v>3462</v>
      </c>
      <c r="U41" s="30" t="s">
        <v>3463</v>
      </c>
      <c r="V41" s="30" t="s">
        <v>3109</v>
      </c>
      <c r="W41" s="30" t="s">
        <v>3538</v>
      </c>
      <c r="X41" s="30" t="s">
        <v>3667</v>
      </c>
    </row>
    <row r="42" spans="1:25" s="30" customFormat="1" ht="238" hidden="1" x14ac:dyDescent="0.2">
      <c r="A42" s="30" t="s">
        <v>3464</v>
      </c>
      <c r="B42" s="30" t="s">
        <v>1822</v>
      </c>
      <c r="C42" s="30" t="s">
        <v>1819</v>
      </c>
      <c r="D42" s="30" t="s">
        <v>92</v>
      </c>
      <c r="E42" s="30" t="s">
        <v>1164</v>
      </c>
      <c r="F42" s="30" t="s">
        <v>86</v>
      </c>
      <c r="G42" s="30" t="s">
        <v>3465</v>
      </c>
      <c r="H42" s="30" t="s">
        <v>3466</v>
      </c>
      <c r="I42" s="30" t="s">
        <v>3467</v>
      </c>
      <c r="J42" s="30" t="s">
        <v>3468</v>
      </c>
      <c r="K42" s="30" t="s">
        <v>3469</v>
      </c>
      <c r="L42" s="30" t="s">
        <v>3470</v>
      </c>
      <c r="M42" s="30" t="s">
        <v>3471</v>
      </c>
      <c r="N42" s="30" t="s">
        <v>3472</v>
      </c>
      <c r="O42" s="30" t="s">
        <v>3473</v>
      </c>
      <c r="P42" s="30" t="s">
        <v>3474</v>
      </c>
      <c r="Q42" s="30" t="s">
        <v>3603</v>
      </c>
      <c r="R42" s="30" t="s">
        <v>3475</v>
      </c>
      <c r="S42" s="30" t="s">
        <v>3476</v>
      </c>
      <c r="T42" s="30" t="s">
        <v>3477</v>
      </c>
      <c r="U42" s="30" t="s">
        <v>3478</v>
      </c>
      <c r="V42" s="30" t="s">
        <v>3109</v>
      </c>
    </row>
    <row r="43" spans="1:25" s="31" customFormat="1" ht="306" hidden="1" x14ac:dyDescent="0.2">
      <c r="A43" s="31" t="s">
        <v>3479</v>
      </c>
      <c r="B43" s="31" t="s">
        <v>1580</v>
      </c>
      <c r="C43" s="31" t="s">
        <v>1577</v>
      </c>
      <c r="D43" s="31" t="s">
        <v>55</v>
      </c>
      <c r="E43" s="31" t="s">
        <v>1581</v>
      </c>
      <c r="F43" s="31" t="s">
        <v>86</v>
      </c>
      <c r="G43" s="31" t="s">
        <v>3480</v>
      </c>
      <c r="H43" s="31" t="s">
        <v>3481</v>
      </c>
      <c r="I43" s="31" t="s">
        <v>3605</v>
      </c>
      <c r="J43" s="31" t="s">
        <v>3604</v>
      </c>
      <c r="K43" s="31" t="s">
        <v>3606</v>
      </c>
      <c r="L43" s="31" t="s">
        <v>3607</v>
      </c>
      <c r="M43" s="31" t="s">
        <v>3482</v>
      </c>
      <c r="N43" s="31" t="s">
        <v>3608</v>
      </c>
      <c r="O43" s="31" t="s">
        <v>3483</v>
      </c>
      <c r="P43" s="31" t="s">
        <v>3609</v>
      </c>
      <c r="Q43" s="31" t="s">
        <v>3613</v>
      </c>
      <c r="R43" s="31" t="s">
        <v>3610</v>
      </c>
      <c r="S43" s="31" t="s">
        <v>3484</v>
      </c>
      <c r="T43" s="31" t="s">
        <v>3611</v>
      </c>
      <c r="U43" s="31" t="s">
        <v>3485</v>
      </c>
      <c r="V43" s="31" t="s">
        <v>3109</v>
      </c>
      <c r="W43" s="31" t="s">
        <v>3538</v>
      </c>
      <c r="X43" s="31" t="s">
        <v>3612</v>
      </c>
      <c r="Y43" s="33" t="s">
        <v>3620</v>
      </c>
    </row>
    <row r="44" spans="1:25" s="31" customFormat="1" ht="204" hidden="1" x14ac:dyDescent="0.2">
      <c r="A44" s="31" t="s">
        <v>3486</v>
      </c>
      <c r="B44" s="31" t="s">
        <v>1766</v>
      </c>
      <c r="C44" s="31" t="s">
        <v>1577</v>
      </c>
      <c r="D44" s="31" t="s">
        <v>146</v>
      </c>
      <c r="E44" s="31" t="s">
        <v>923</v>
      </c>
      <c r="F44" s="31" t="s">
        <v>86</v>
      </c>
      <c r="G44" s="31" t="s">
        <v>3480</v>
      </c>
      <c r="H44" s="31" t="s">
        <v>3487</v>
      </c>
      <c r="I44" s="31" t="s">
        <v>3616</v>
      </c>
      <c r="J44" s="31" t="s">
        <v>3604</v>
      </c>
      <c r="K44" s="31" t="s">
        <v>3617</v>
      </c>
      <c r="L44" s="31" t="s">
        <v>3488</v>
      </c>
      <c r="M44" s="31" t="s">
        <v>3489</v>
      </c>
      <c r="N44" s="31" t="s">
        <v>3618</v>
      </c>
      <c r="O44" s="31" t="s">
        <v>3490</v>
      </c>
      <c r="P44" s="31" t="s">
        <v>3491</v>
      </c>
      <c r="Q44" s="31" t="s">
        <v>3492</v>
      </c>
      <c r="R44" s="31" t="s">
        <v>3493</v>
      </c>
      <c r="S44" s="31" t="s">
        <v>3494</v>
      </c>
      <c r="T44" s="31" t="s">
        <v>3495</v>
      </c>
      <c r="U44" s="31" t="s">
        <v>3496</v>
      </c>
      <c r="V44" s="31" t="s">
        <v>3109</v>
      </c>
      <c r="W44" s="31" t="s">
        <v>3538</v>
      </c>
      <c r="X44" s="31" t="s">
        <v>3619</v>
      </c>
      <c r="Y44" s="34"/>
    </row>
    <row r="45" spans="1:25" s="31" customFormat="1" ht="289" hidden="1" x14ac:dyDescent="0.2">
      <c r="A45" s="31" t="s">
        <v>3497</v>
      </c>
      <c r="B45" s="31" t="s">
        <v>741</v>
      </c>
      <c r="C45" s="31" t="s">
        <v>738</v>
      </c>
      <c r="D45" s="31" t="s">
        <v>92</v>
      </c>
      <c r="E45" s="31" t="s">
        <v>742</v>
      </c>
      <c r="F45" s="31" t="s">
        <v>86</v>
      </c>
      <c r="G45" s="31" t="s">
        <v>3498</v>
      </c>
      <c r="H45" s="31" t="s">
        <v>3499</v>
      </c>
      <c r="I45" s="31" t="s">
        <v>3623</v>
      </c>
      <c r="J45" s="31" t="s">
        <v>3622</v>
      </c>
      <c r="K45" s="31" t="s">
        <v>3629</v>
      </c>
      <c r="L45" s="31" t="s">
        <v>3624</v>
      </c>
      <c r="M45" s="31" t="s">
        <v>3625</v>
      </c>
      <c r="N45" s="31" t="s">
        <v>3626</v>
      </c>
      <c r="O45" s="31" t="s">
        <v>3500</v>
      </c>
      <c r="P45" s="31" t="s">
        <v>3501</v>
      </c>
      <c r="Q45" s="31" t="s">
        <v>3502</v>
      </c>
      <c r="R45" s="31" t="s">
        <v>3503</v>
      </c>
      <c r="S45" s="31" t="s">
        <v>3627</v>
      </c>
      <c r="T45" s="31" t="s">
        <v>3504</v>
      </c>
      <c r="U45" s="31" t="s">
        <v>3628</v>
      </c>
      <c r="V45" s="31" t="s">
        <v>3109</v>
      </c>
      <c r="W45" s="31" t="s">
        <v>3538</v>
      </c>
      <c r="X45" s="31" t="s">
        <v>3621</v>
      </c>
    </row>
    <row r="46" spans="1:25" s="19" customFormat="1" ht="17" hidden="1" x14ac:dyDescent="0.2">
      <c r="A46" s="19" t="s">
        <v>3505</v>
      </c>
      <c r="B46" s="19" t="s">
        <v>1128</v>
      </c>
      <c r="C46" s="19" t="s">
        <v>1125</v>
      </c>
      <c r="D46" s="19" t="s">
        <v>146</v>
      </c>
      <c r="E46" s="19" t="s">
        <v>1129</v>
      </c>
      <c r="F46" s="19" t="s">
        <v>86</v>
      </c>
      <c r="U46" s="19" t="s">
        <v>2860</v>
      </c>
      <c r="V46" s="19" t="s">
        <v>3109</v>
      </c>
    </row>
    <row r="47" spans="1:25" s="31" customFormat="1" ht="221" hidden="1" x14ac:dyDescent="0.2">
      <c r="A47" s="31" t="s">
        <v>3506</v>
      </c>
      <c r="B47" s="31" t="s">
        <v>1307</v>
      </c>
      <c r="C47" s="31" t="s">
        <v>1304</v>
      </c>
      <c r="D47" s="31" t="s">
        <v>146</v>
      </c>
      <c r="E47" s="31" t="s">
        <v>1308</v>
      </c>
      <c r="F47" s="31" t="s">
        <v>86</v>
      </c>
      <c r="G47" s="31" t="s">
        <v>3507</v>
      </c>
      <c r="H47" s="31" t="s">
        <v>3635</v>
      </c>
      <c r="I47" s="31" t="s">
        <v>3508</v>
      </c>
      <c r="J47" s="31" t="s">
        <v>3038</v>
      </c>
      <c r="K47" s="31" t="s">
        <v>3636</v>
      </c>
      <c r="L47" s="31" t="s">
        <v>3634</v>
      </c>
      <c r="M47" s="31" t="s">
        <v>3509</v>
      </c>
      <c r="N47" s="31" t="s">
        <v>3633</v>
      </c>
      <c r="O47" s="31" t="s">
        <v>3510</v>
      </c>
      <c r="P47" s="31" t="s">
        <v>3511</v>
      </c>
      <c r="Q47" s="31" t="s">
        <v>3630</v>
      </c>
      <c r="R47" s="31" t="s">
        <v>3632</v>
      </c>
      <c r="S47" s="31" t="s">
        <v>3512</v>
      </c>
      <c r="T47" s="31" t="s">
        <v>3513</v>
      </c>
      <c r="U47" s="31" t="s">
        <v>3514</v>
      </c>
      <c r="V47" s="31" t="s">
        <v>3109</v>
      </c>
      <c r="W47" s="31" t="s">
        <v>3538</v>
      </c>
      <c r="X47" s="31" t="s">
        <v>3631</v>
      </c>
    </row>
    <row r="48" spans="1:25" s="30" customFormat="1" ht="187" hidden="1" x14ac:dyDescent="0.2">
      <c r="A48" s="30" t="s">
        <v>3515</v>
      </c>
      <c r="B48" s="30" t="s">
        <v>573</v>
      </c>
      <c r="C48" s="30" t="s">
        <v>570</v>
      </c>
      <c r="D48" s="30" t="s">
        <v>176</v>
      </c>
      <c r="E48" s="30" t="s">
        <v>252</v>
      </c>
      <c r="F48" s="30" t="s">
        <v>86</v>
      </c>
      <c r="G48" s="30" t="s">
        <v>3516</v>
      </c>
      <c r="H48" s="30" t="s">
        <v>3517</v>
      </c>
      <c r="I48" s="30" t="s">
        <v>3518</v>
      </c>
      <c r="J48" s="30" t="s">
        <v>3519</v>
      </c>
      <c r="K48" s="30" t="s">
        <v>3639</v>
      </c>
      <c r="L48" s="30" t="s">
        <v>3520</v>
      </c>
      <c r="M48" s="30" t="s">
        <v>3638</v>
      </c>
      <c r="N48" s="30" t="s">
        <v>3521</v>
      </c>
      <c r="O48" s="30" t="s">
        <v>3522</v>
      </c>
      <c r="P48" s="30" t="s">
        <v>3523</v>
      </c>
      <c r="Q48" s="30" t="s">
        <v>3637</v>
      </c>
      <c r="R48" s="30" t="s">
        <v>3524</v>
      </c>
      <c r="S48" s="30" t="s">
        <v>3525</v>
      </c>
      <c r="T48" s="30" t="s">
        <v>3526</v>
      </c>
      <c r="U48" s="30" t="s">
        <v>3527</v>
      </c>
      <c r="V48" s="30" t="s">
        <v>3109</v>
      </c>
    </row>
  </sheetData>
  <autoFilter ref="A1:A48" xr:uid="{E1C55CAC-BCE0-7842-A5FA-DAD4490DC97C}">
    <filterColumn colId="0">
      <filters>
        <filter val="liu_2"/>
        <filter val="liu2"/>
        <filter val="lu"/>
        <filter val="lu2"/>
        <filter val="shi"/>
        <filter val="xu"/>
        <filter val="xu2"/>
        <filter val="zhang"/>
      </filters>
    </filterColumn>
  </autoFilter>
  <mergeCells count="1">
    <mergeCell ref="Y43:Y4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F6187-F3AC-EC4C-AE9E-EFAC11DABFE3}">
  <sheetPr filterMode="1"/>
  <dimension ref="A1:Y48"/>
  <sheetViews>
    <sheetView zoomScale="140" zoomScaleNormal="200" workbookViewId="0">
      <pane xSplit="1" topLeftCell="B1" activePane="topRight" state="frozen"/>
      <selection pane="topRight" activeCell="B38" sqref="B38"/>
    </sheetView>
  </sheetViews>
  <sheetFormatPr baseColWidth="10" defaultRowHeight="16" x14ac:dyDescent="0.2"/>
  <cols>
    <col min="1" max="1" width="13.6640625" style="10" customWidth="1"/>
    <col min="2" max="2" width="105.83203125" style="10" bestFit="1" customWidth="1"/>
    <col min="3" max="3" width="63.83203125" style="10" bestFit="1" customWidth="1"/>
    <col min="4" max="4" width="10.83203125" style="10"/>
    <col min="5" max="5" width="163.6640625" style="10" bestFit="1" customWidth="1"/>
    <col min="6" max="6" width="10.83203125" style="10"/>
    <col min="7" max="7" width="14.5" style="10" customWidth="1"/>
    <col min="8" max="8" width="35.83203125" style="10" customWidth="1"/>
    <col min="9" max="9" width="25.5" style="10" bestFit="1" customWidth="1"/>
    <col min="10" max="10" width="39.6640625" style="10" bestFit="1" customWidth="1"/>
    <col min="11" max="11" width="33.5" style="10" customWidth="1"/>
    <col min="12" max="12" width="51.33203125" style="10" customWidth="1"/>
    <col min="13" max="13" width="36.6640625" style="10" customWidth="1"/>
    <col min="14" max="14" width="103.6640625" style="10" bestFit="1" customWidth="1"/>
    <col min="15" max="15" width="29" style="10" customWidth="1"/>
    <col min="16" max="16" width="18.1640625" style="10" customWidth="1"/>
    <col min="17" max="17" width="23.5" style="10" customWidth="1"/>
    <col min="18" max="18" width="34.5" style="10" customWidth="1"/>
    <col min="19" max="19" width="36.83203125" style="10" customWidth="1"/>
    <col min="20" max="20" width="35.1640625" style="10" customWidth="1"/>
    <col min="21" max="21" width="49.83203125" style="10" customWidth="1"/>
    <col min="22" max="23" width="10.83203125" style="10"/>
    <col min="24" max="24" width="28.83203125" style="10" customWidth="1"/>
    <col min="25" max="16384" width="10.83203125" style="10"/>
  </cols>
  <sheetData>
    <row r="1" spans="1:24" s="29" customFormat="1" ht="34" x14ac:dyDescent="0.2">
      <c r="A1" s="29" t="s">
        <v>2973</v>
      </c>
      <c r="B1" s="29" t="s">
        <v>2974</v>
      </c>
      <c r="C1" s="29" t="s">
        <v>2975</v>
      </c>
      <c r="D1" s="29" t="s">
        <v>2976</v>
      </c>
      <c r="E1" s="29" t="s">
        <v>2977</v>
      </c>
      <c r="F1" s="29" t="s">
        <v>2978</v>
      </c>
      <c r="G1" s="29" t="s">
        <v>2989</v>
      </c>
      <c r="H1" s="29" t="s">
        <v>2980</v>
      </c>
      <c r="I1" s="29" t="s">
        <v>2995</v>
      </c>
      <c r="J1" s="29" t="s">
        <v>2992</v>
      </c>
      <c r="K1" s="29" t="s">
        <v>2981</v>
      </c>
      <c r="L1" s="29" t="s">
        <v>2982</v>
      </c>
      <c r="M1" s="29" t="s">
        <v>2983</v>
      </c>
      <c r="N1" s="29" t="s">
        <v>2993</v>
      </c>
      <c r="O1" s="29" t="s">
        <v>2984</v>
      </c>
      <c r="P1" s="29" t="s">
        <v>2991</v>
      </c>
      <c r="Q1" s="29" t="s">
        <v>2996</v>
      </c>
      <c r="R1" s="29" t="s">
        <v>2985</v>
      </c>
      <c r="S1" s="29" t="s">
        <v>2986</v>
      </c>
      <c r="T1" s="29" t="s">
        <v>2987</v>
      </c>
      <c r="U1" s="29" t="s">
        <v>2979</v>
      </c>
      <c r="V1" s="29" t="s">
        <v>3107</v>
      </c>
    </row>
    <row r="2" spans="1:24" s="30" customFormat="1" ht="170" hidden="1" x14ac:dyDescent="0.2">
      <c r="A2" s="30" t="s">
        <v>2988</v>
      </c>
      <c r="B2" s="30" t="s">
        <v>886</v>
      </c>
      <c r="C2" s="30" t="s">
        <v>883</v>
      </c>
      <c r="D2" s="30" t="s">
        <v>146</v>
      </c>
      <c r="E2" s="30" t="s">
        <v>887</v>
      </c>
      <c r="F2" s="30" t="s">
        <v>86</v>
      </c>
      <c r="G2" s="30" t="s">
        <v>2990</v>
      </c>
      <c r="H2" s="30" t="s">
        <v>2997</v>
      </c>
      <c r="I2" s="30" t="s">
        <v>2998</v>
      </c>
      <c r="J2" s="30" t="s">
        <v>1685</v>
      </c>
      <c r="K2" s="30" t="s">
        <v>3023</v>
      </c>
      <c r="L2" s="30" t="s">
        <v>2999</v>
      </c>
      <c r="M2" s="30" t="s">
        <v>3000</v>
      </c>
      <c r="N2" s="30" t="s">
        <v>3640</v>
      </c>
      <c r="O2" s="30" t="s">
        <v>2994</v>
      </c>
      <c r="P2" s="30" t="s">
        <v>3006</v>
      </c>
      <c r="Q2" s="30" t="s">
        <v>3005</v>
      </c>
      <c r="R2" s="30" t="s">
        <v>3001</v>
      </c>
      <c r="S2" s="30" t="s">
        <v>3002</v>
      </c>
      <c r="T2" s="30" t="s">
        <v>3003</v>
      </c>
      <c r="U2" s="30" t="s">
        <v>3004</v>
      </c>
      <c r="V2" s="30" t="s">
        <v>3108</v>
      </c>
    </row>
    <row r="3" spans="1:24" s="30" customFormat="1" ht="170" hidden="1" x14ac:dyDescent="0.2">
      <c r="A3" s="30" t="s">
        <v>3007</v>
      </c>
      <c r="B3" s="30" t="s">
        <v>1709</v>
      </c>
      <c r="C3" s="30" t="s">
        <v>1706</v>
      </c>
      <c r="D3" s="30" t="s">
        <v>92</v>
      </c>
      <c r="E3" s="30" t="s">
        <v>1710</v>
      </c>
      <c r="F3" s="30" t="s">
        <v>86</v>
      </c>
      <c r="G3" s="30" t="s">
        <v>3008</v>
      </c>
      <c r="H3" s="30" t="s">
        <v>3009</v>
      </c>
      <c r="I3" s="30" t="s">
        <v>3010</v>
      </c>
      <c r="J3" s="30" t="s">
        <v>1685</v>
      </c>
      <c r="K3" s="30" t="s">
        <v>3022</v>
      </c>
      <c r="L3" s="30" t="s">
        <v>3011</v>
      </c>
      <c r="M3" s="30" t="s">
        <v>3012</v>
      </c>
      <c r="N3" s="30" t="s">
        <v>3641</v>
      </c>
      <c r="O3" s="30" t="s">
        <v>3013</v>
      </c>
      <c r="P3" s="30" t="s">
        <v>3014</v>
      </c>
      <c r="Q3" s="30" t="s">
        <v>3020</v>
      </c>
      <c r="R3" s="30" t="s">
        <v>3015</v>
      </c>
      <c r="S3" s="30" t="s">
        <v>3016</v>
      </c>
      <c r="T3" s="30" t="s">
        <v>3017</v>
      </c>
      <c r="U3" s="30" t="s">
        <v>3018</v>
      </c>
      <c r="V3" s="30" t="s">
        <v>3108</v>
      </c>
    </row>
    <row r="4" spans="1:24" s="30" customFormat="1" ht="170" x14ac:dyDescent="0.2">
      <c r="A4" s="30" t="s">
        <v>3019</v>
      </c>
      <c r="B4" s="30" t="s">
        <v>1436</v>
      </c>
      <c r="C4" s="30" t="s">
        <v>1433</v>
      </c>
      <c r="D4" s="30" t="s">
        <v>146</v>
      </c>
      <c r="E4" s="30" t="s">
        <v>1437</v>
      </c>
      <c r="F4" s="30" t="s">
        <v>86</v>
      </c>
      <c r="G4" s="30" t="s">
        <v>3021</v>
      </c>
      <c r="H4" s="30" t="s">
        <v>3024</v>
      </c>
      <c r="I4" s="30" t="s">
        <v>3025</v>
      </c>
      <c r="J4" s="30" t="s">
        <v>1685</v>
      </c>
      <c r="K4" s="30" t="s">
        <v>3026</v>
      </c>
      <c r="L4" s="30" t="s">
        <v>3027</v>
      </c>
      <c r="M4" s="30" t="s">
        <v>3644</v>
      </c>
      <c r="N4" s="30" t="s">
        <v>3642</v>
      </c>
      <c r="O4" s="30" t="s">
        <v>3028</v>
      </c>
      <c r="P4" s="30" t="s">
        <v>3029</v>
      </c>
      <c r="Q4" s="30" t="s">
        <v>3643</v>
      </c>
      <c r="R4" s="30" t="s">
        <v>3030</v>
      </c>
      <c r="S4" s="30" t="s">
        <v>3031</v>
      </c>
      <c r="T4" s="30" t="s">
        <v>3032</v>
      </c>
      <c r="U4" s="30" t="s">
        <v>3033</v>
      </c>
      <c r="V4" s="30" t="s">
        <v>3108</v>
      </c>
    </row>
    <row r="5" spans="1:24" s="30" customFormat="1" ht="136" hidden="1" x14ac:dyDescent="0.2">
      <c r="A5" s="30" t="s">
        <v>3034</v>
      </c>
      <c r="B5" s="30" t="s">
        <v>904</v>
      </c>
      <c r="C5" s="30" t="s">
        <v>901</v>
      </c>
      <c r="D5" s="30" t="s">
        <v>146</v>
      </c>
      <c r="E5" s="30" t="s">
        <v>905</v>
      </c>
      <c r="F5" s="30" t="s">
        <v>86</v>
      </c>
      <c r="G5" s="30" t="s">
        <v>3035</v>
      </c>
      <c r="H5" s="30" t="s">
        <v>3036</v>
      </c>
      <c r="I5" s="30" t="s">
        <v>3037</v>
      </c>
      <c r="J5" s="30" t="s">
        <v>3038</v>
      </c>
      <c r="K5" s="30" t="s">
        <v>3039</v>
      </c>
      <c r="L5" s="30" t="s">
        <v>3040</v>
      </c>
      <c r="M5" s="30" t="s">
        <v>3041</v>
      </c>
      <c r="N5" s="30" t="s">
        <v>3042</v>
      </c>
      <c r="O5" s="30" t="s">
        <v>3043</v>
      </c>
      <c r="P5" s="30" t="s">
        <v>3044</v>
      </c>
      <c r="Q5" s="30" t="s">
        <v>3045</v>
      </c>
      <c r="R5" s="30" t="s">
        <v>3046</v>
      </c>
      <c r="S5" s="30" t="s">
        <v>3047</v>
      </c>
      <c r="T5" s="30" t="s">
        <v>3048</v>
      </c>
      <c r="U5" s="30" t="s">
        <v>3049</v>
      </c>
      <c r="V5" s="30" t="s">
        <v>3108</v>
      </c>
    </row>
    <row r="6" spans="1:24" s="30" customFormat="1" ht="204" x14ac:dyDescent="0.2">
      <c r="A6" s="30" t="s">
        <v>3050</v>
      </c>
      <c r="B6" s="30" t="s">
        <v>2027</v>
      </c>
      <c r="C6" s="30" t="s">
        <v>2024</v>
      </c>
      <c r="D6" s="30" t="s">
        <v>92</v>
      </c>
      <c r="E6" s="30" t="s">
        <v>252</v>
      </c>
      <c r="F6" s="30" t="s">
        <v>86</v>
      </c>
      <c r="G6" s="30" t="s">
        <v>3051</v>
      </c>
      <c r="H6" s="30" t="s">
        <v>3645</v>
      </c>
      <c r="I6" s="30" t="s">
        <v>3052</v>
      </c>
      <c r="J6" s="30" t="s">
        <v>3053</v>
      </c>
      <c r="K6" s="30" t="s">
        <v>3054</v>
      </c>
      <c r="L6" s="30" t="s">
        <v>3055</v>
      </c>
      <c r="M6" s="30" t="s">
        <v>3056</v>
      </c>
      <c r="N6" s="30" t="s">
        <v>3646</v>
      </c>
      <c r="O6" s="30" t="s">
        <v>3057</v>
      </c>
      <c r="P6" s="30" t="s">
        <v>3058</v>
      </c>
      <c r="Q6" s="30" t="s">
        <v>3059</v>
      </c>
      <c r="R6" s="30" t="s">
        <v>3060</v>
      </c>
      <c r="S6" s="30" t="s">
        <v>3061</v>
      </c>
      <c r="T6" s="30" t="s">
        <v>3062</v>
      </c>
      <c r="U6" s="30" t="s">
        <v>3063</v>
      </c>
      <c r="V6" s="30" t="s">
        <v>3108</v>
      </c>
    </row>
    <row r="7" spans="1:24" s="19" customFormat="1" ht="17" hidden="1" x14ac:dyDescent="0.2">
      <c r="A7" s="19" t="s">
        <v>3064</v>
      </c>
      <c r="B7" s="19" t="s">
        <v>1797</v>
      </c>
      <c r="C7" s="19" t="s">
        <v>1794</v>
      </c>
      <c r="D7" s="19" t="s">
        <v>176</v>
      </c>
      <c r="E7" s="19" t="s">
        <v>830</v>
      </c>
      <c r="F7" s="19" t="s">
        <v>86</v>
      </c>
    </row>
    <row r="8" spans="1:24" s="30" customFormat="1" ht="136" hidden="1" x14ac:dyDescent="0.2">
      <c r="A8" s="30" t="s">
        <v>3065</v>
      </c>
      <c r="B8" s="30" t="s">
        <v>2723</v>
      </c>
      <c r="C8" s="30" t="s">
        <v>2720</v>
      </c>
      <c r="D8" s="30" t="s">
        <v>176</v>
      </c>
      <c r="E8" s="30" t="s">
        <v>454</v>
      </c>
      <c r="F8" s="30" t="s">
        <v>2635</v>
      </c>
      <c r="G8" s="30" t="s">
        <v>3066</v>
      </c>
      <c r="H8" s="30" t="s">
        <v>3067</v>
      </c>
      <c r="I8" s="30" t="s">
        <v>3068</v>
      </c>
      <c r="J8" s="30" t="s">
        <v>3038</v>
      </c>
      <c r="K8" s="30" t="s">
        <v>3069</v>
      </c>
      <c r="L8" s="30" t="s">
        <v>3070</v>
      </c>
      <c r="M8" s="30" t="s">
        <v>3529</v>
      </c>
      <c r="N8" s="30" t="s">
        <v>3071</v>
      </c>
      <c r="O8" s="30" t="s">
        <v>3072</v>
      </c>
      <c r="P8" s="30" t="s">
        <v>3528</v>
      </c>
      <c r="Q8" s="30" t="s">
        <v>3073</v>
      </c>
      <c r="R8" s="30" t="s">
        <v>3074</v>
      </c>
      <c r="S8" s="30" t="s">
        <v>3075</v>
      </c>
      <c r="T8" s="30" t="s">
        <v>3076</v>
      </c>
      <c r="U8" s="30" t="s">
        <v>3077</v>
      </c>
      <c r="V8" s="30" t="s">
        <v>3108</v>
      </c>
    </row>
    <row r="9" spans="1:24" s="30" customFormat="1" ht="136" hidden="1" x14ac:dyDescent="0.2">
      <c r="A9" s="30" t="s">
        <v>3078</v>
      </c>
      <c r="B9" s="30" t="s">
        <v>2261</v>
      </c>
      <c r="C9" s="30" t="s">
        <v>553</v>
      </c>
      <c r="D9" s="30" t="s">
        <v>146</v>
      </c>
      <c r="E9" s="30" t="s">
        <v>229</v>
      </c>
      <c r="F9" s="30" t="s">
        <v>2260</v>
      </c>
      <c r="G9" s="30" t="s">
        <v>3079</v>
      </c>
      <c r="H9" s="30" t="s">
        <v>3531</v>
      </c>
      <c r="I9" s="30" t="s">
        <v>3080</v>
      </c>
      <c r="J9" s="30" t="s">
        <v>3081</v>
      </c>
      <c r="K9" s="30" t="s">
        <v>3082</v>
      </c>
      <c r="L9" s="30" t="s">
        <v>3083</v>
      </c>
      <c r="M9" s="30" t="s">
        <v>3084</v>
      </c>
      <c r="N9" s="30" t="s">
        <v>3647</v>
      </c>
      <c r="O9" s="30" t="s">
        <v>3085</v>
      </c>
      <c r="P9" s="30" t="s">
        <v>3086</v>
      </c>
      <c r="Q9" s="30" t="s">
        <v>3087</v>
      </c>
      <c r="R9" s="30" t="s">
        <v>3530</v>
      </c>
      <c r="S9" s="30" t="s">
        <v>3088</v>
      </c>
      <c r="T9" s="30" t="s">
        <v>3089</v>
      </c>
      <c r="U9" s="30" t="s">
        <v>3090</v>
      </c>
      <c r="V9" s="30" t="s">
        <v>3108</v>
      </c>
    </row>
    <row r="10" spans="1:24" s="30" customFormat="1" ht="238" x14ac:dyDescent="0.2">
      <c r="A10" s="30" t="s">
        <v>3091</v>
      </c>
      <c r="B10" s="30" t="s">
        <v>627</v>
      </c>
      <c r="C10" s="30" t="s">
        <v>624</v>
      </c>
      <c r="D10" s="30" t="s">
        <v>176</v>
      </c>
      <c r="E10" s="30" t="s">
        <v>628</v>
      </c>
      <c r="F10" s="30" t="s">
        <v>86</v>
      </c>
      <c r="G10" s="30" t="s">
        <v>3092</v>
      </c>
      <c r="H10" s="30" t="s">
        <v>3093</v>
      </c>
      <c r="I10" s="30" t="s">
        <v>3094</v>
      </c>
      <c r="J10" s="30" t="s">
        <v>3095</v>
      </c>
      <c r="K10" s="30" t="s">
        <v>3096</v>
      </c>
      <c r="L10" s="30" t="s">
        <v>3097</v>
      </c>
      <c r="M10" s="30" t="s">
        <v>3098</v>
      </c>
      <c r="N10" s="30" t="s">
        <v>3648</v>
      </c>
      <c r="O10" s="30" t="s">
        <v>3099</v>
      </c>
      <c r="P10" s="30" t="s">
        <v>3100</v>
      </c>
      <c r="Q10" s="30" t="s">
        <v>3101</v>
      </c>
      <c r="R10" s="30" t="s">
        <v>3102</v>
      </c>
      <c r="S10" s="30" t="s">
        <v>3103</v>
      </c>
      <c r="T10" s="30" t="s">
        <v>3104</v>
      </c>
      <c r="U10" s="30" t="s">
        <v>3105</v>
      </c>
      <c r="V10" s="30" t="s">
        <v>3109</v>
      </c>
    </row>
    <row r="11" spans="1:24" s="31" customFormat="1" ht="255" hidden="1" x14ac:dyDescent="0.2">
      <c r="A11" s="31" t="s">
        <v>3106</v>
      </c>
      <c r="B11" s="31" t="s">
        <v>322</v>
      </c>
      <c r="C11" s="31" t="s">
        <v>319</v>
      </c>
      <c r="D11" s="31" t="s">
        <v>55</v>
      </c>
      <c r="E11" s="31" t="s">
        <v>323</v>
      </c>
      <c r="F11" s="31" t="s">
        <v>86</v>
      </c>
      <c r="G11" s="31" t="s">
        <v>3110</v>
      </c>
      <c r="H11" s="31" t="s">
        <v>3111</v>
      </c>
      <c r="I11" s="31" t="s">
        <v>3112</v>
      </c>
      <c r="J11" s="31" t="s">
        <v>3095</v>
      </c>
      <c r="K11" s="31" t="s">
        <v>3533</v>
      </c>
      <c r="L11" s="31" t="s">
        <v>3534</v>
      </c>
      <c r="M11" s="31" t="s">
        <v>3113</v>
      </c>
      <c r="N11" s="31" t="s">
        <v>3649</v>
      </c>
      <c r="O11" s="31" t="s">
        <v>3532</v>
      </c>
      <c r="P11" s="31" t="s">
        <v>3535</v>
      </c>
      <c r="Q11" s="31" t="s">
        <v>3114</v>
      </c>
      <c r="R11" s="31" t="s">
        <v>3536</v>
      </c>
      <c r="S11" s="31" t="s">
        <v>3115</v>
      </c>
      <c r="T11" s="31" t="s">
        <v>3537</v>
      </c>
      <c r="U11" s="31" t="s">
        <v>3539</v>
      </c>
      <c r="V11" s="31" t="s">
        <v>3109</v>
      </c>
      <c r="W11" s="31" t="s">
        <v>3538</v>
      </c>
      <c r="X11" s="31" t="s">
        <v>3549</v>
      </c>
    </row>
    <row r="12" spans="1:24" s="30" customFormat="1" ht="187" hidden="1" x14ac:dyDescent="0.2">
      <c r="A12" s="30" t="s">
        <v>3116</v>
      </c>
      <c r="B12" s="30" t="s">
        <v>2683</v>
      </c>
      <c r="C12" s="30" t="s">
        <v>2680</v>
      </c>
      <c r="D12" s="30" t="s">
        <v>146</v>
      </c>
      <c r="E12" s="30" t="s">
        <v>2684</v>
      </c>
      <c r="F12" s="30" t="s">
        <v>2635</v>
      </c>
      <c r="G12" s="30" t="s">
        <v>3117</v>
      </c>
      <c r="H12" s="30" t="s">
        <v>3118</v>
      </c>
      <c r="I12" s="30" t="s">
        <v>3119</v>
      </c>
      <c r="J12" s="30" t="s">
        <v>3120</v>
      </c>
      <c r="K12" s="30" t="s">
        <v>3121</v>
      </c>
      <c r="L12" s="30" t="s">
        <v>3122</v>
      </c>
      <c r="M12" s="30" t="s">
        <v>3540</v>
      </c>
      <c r="N12" s="30" t="s">
        <v>3650</v>
      </c>
      <c r="O12" s="30" t="s">
        <v>3123</v>
      </c>
      <c r="P12" s="30" t="s">
        <v>3124</v>
      </c>
      <c r="Q12" s="30" t="s">
        <v>3125</v>
      </c>
      <c r="R12" s="30" t="s">
        <v>3126</v>
      </c>
      <c r="S12" s="30" t="s">
        <v>3127</v>
      </c>
      <c r="T12" s="30" t="s">
        <v>3128</v>
      </c>
      <c r="U12" s="30" t="s">
        <v>3129</v>
      </c>
      <c r="V12" s="30" t="s">
        <v>3109</v>
      </c>
    </row>
    <row r="13" spans="1:24" s="31" customFormat="1" ht="187" hidden="1" x14ac:dyDescent="0.2">
      <c r="A13" s="31" t="s">
        <v>3130</v>
      </c>
      <c r="B13" s="31" t="s">
        <v>1487</v>
      </c>
      <c r="C13" s="31" t="s">
        <v>1484</v>
      </c>
      <c r="D13" s="31" t="s">
        <v>176</v>
      </c>
      <c r="E13" s="31" t="s">
        <v>1488</v>
      </c>
      <c r="F13" s="31" t="s">
        <v>86</v>
      </c>
      <c r="G13" s="31" t="s">
        <v>3131</v>
      </c>
      <c r="H13" s="31" t="s">
        <v>3541</v>
      </c>
      <c r="I13" s="31" t="s">
        <v>3132</v>
      </c>
      <c r="J13" s="31" t="s">
        <v>3038</v>
      </c>
      <c r="K13" s="31" t="s">
        <v>3542</v>
      </c>
      <c r="L13" s="31" t="s">
        <v>3543</v>
      </c>
      <c r="M13" s="31" t="s">
        <v>3133</v>
      </c>
      <c r="N13" s="31" t="s">
        <v>3134</v>
      </c>
      <c r="O13" s="31" t="s">
        <v>3544</v>
      </c>
      <c r="P13" s="31" t="s">
        <v>3135</v>
      </c>
      <c r="Q13" s="31" t="s">
        <v>3545</v>
      </c>
      <c r="R13" s="31" t="s">
        <v>3546</v>
      </c>
      <c r="S13" s="31" t="s">
        <v>3136</v>
      </c>
      <c r="T13" s="31" t="s">
        <v>3137</v>
      </c>
      <c r="U13" s="31" t="s">
        <v>3547</v>
      </c>
      <c r="V13" s="31" t="s">
        <v>3109</v>
      </c>
      <c r="W13" s="31" t="s">
        <v>3538</v>
      </c>
      <c r="X13" s="31" t="s">
        <v>3548</v>
      </c>
    </row>
    <row r="14" spans="1:24" s="30" customFormat="1" ht="187" hidden="1" x14ac:dyDescent="0.2">
      <c r="A14" s="30" t="s">
        <v>3138</v>
      </c>
      <c r="B14" s="30" t="s">
        <v>339</v>
      </c>
      <c r="C14" s="30" t="s">
        <v>336</v>
      </c>
      <c r="D14" s="30" t="s">
        <v>176</v>
      </c>
      <c r="E14" s="30" t="s">
        <v>340</v>
      </c>
      <c r="F14" s="30" t="s">
        <v>86</v>
      </c>
      <c r="G14" s="30" t="s">
        <v>3139</v>
      </c>
      <c r="H14" s="30" t="s">
        <v>3140</v>
      </c>
      <c r="I14" s="30" t="s">
        <v>3141</v>
      </c>
      <c r="J14" s="30" t="s">
        <v>3142</v>
      </c>
      <c r="K14" s="30" t="s">
        <v>3143</v>
      </c>
      <c r="L14" s="30" t="s">
        <v>3144</v>
      </c>
      <c r="M14" s="30" t="s">
        <v>3145</v>
      </c>
      <c r="N14" s="30" t="s">
        <v>3651</v>
      </c>
      <c r="O14" s="30" t="s">
        <v>3146</v>
      </c>
      <c r="P14" s="30" t="s">
        <v>3147</v>
      </c>
      <c r="Q14" s="30" t="s">
        <v>3148</v>
      </c>
      <c r="R14" s="30" t="s">
        <v>3149</v>
      </c>
      <c r="S14" s="30" t="s">
        <v>3150</v>
      </c>
      <c r="T14" s="30" t="s">
        <v>3152</v>
      </c>
      <c r="U14" s="30" t="s">
        <v>3151</v>
      </c>
      <c r="V14" s="30" t="s">
        <v>3109</v>
      </c>
    </row>
    <row r="15" spans="1:24" s="30" customFormat="1" ht="187" hidden="1" x14ac:dyDescent="0.2">
      <c r="A15" s="30" t="s">
        <v>3153</v>
      </c>
      <c r="B15" s="30" t="s">
        <v>990</v>
      </c>
      <c r="C15" s="30" t="s">
        <v>987</v>
      </c>
      <c r="D15" s="30" t="s">
        <v>176</v>
      </c>
      <c r="E15" s="30" t="s">
        <v>252</v>
      </c>
      <c r="F15" s="30" t="s">
        <v>86</v>
      </c>
      <c r="G15" s="30" t="s">
        <v>3154</v>
      </c>
      <c r="H15" s="30" t="s">
        <v>3155</v>
      </c>
      <c r="I15" s="30" t="s">
        <v>3156</v>
      </c>
      <c r="J15" s="30" t="s">
        <v>3615</v>
      </c>
      <c r="K15" s="30" t="s">
        <v>3158</v>
      </c>
      <c r="L15" s="30" t="s">
        <v>3159</v>
      </c>
      <c r="M15" s="30" t="s">
        <v>3160</v>
      </c>
      <c r="N15" s="30" t="s">
        <v>3161</v>
      </c>
      <c r="O15" s="30" t="s">
        <v>3162</v>
      </c>
      <c r="P15" s="30" t="s">
        <v>3163</v>
      </c>
      <c r="Q15" s="30" t="s">
        <v>3164</v>
      </c>
      <c r="R15" s="30" t="s">
        <v>3165</v>
      </c>
      <c r="S15" s="30" t="s">
        <v>3166</v>
      </c>
      <c r="T15" s="30" t="s">
        <v>3167</v>
      </c>
      <c r="U15" s="30" t="s">
        <v>3168</v>
      </c>
      <c r="V15" s="30" t="s">
        <v>3109</v>
      </c>
    </row>
    <row r="16" spans="1:24" s="31" customFormat="1" ht="187" hidden="1" x14ac:dyDescent="0.2">
      <c r="A16" s="31" t="s">
        <v>3169</v>
      </c>
      <c r="B16" s="31" t="s">
        <v>489</v>
      </c>
      <c r="C16" s="31" t="s">
        <v>486</v>
      </c>
      <c r="D16" s="31" t="s">
        <v>121</v>
      </c>
      <c r="E16" s="31" t="s">
        <v>122</v>
      </c>
      <c r="F16" s="31" t="s">
        <v>86</v>
      </c>
      <c r="G16" s="31" t="s">
        <v>3170</v>
      </c>
      <c r="H16" s="31" t="s">
        <v>3550</v>
      </c>
      <c r="I16" s="31" t="s">
        <v>3171</v>
      </c>
      <c r="J16" s="31" t="s">
        <v>3157</v>
      </c>
      <c r="K16" s="31" t="s">
        <v>3551</v>
      </c>
      <c r="L16" s="31" t="s">
        <v>3552</v>
      </c>
      <c r="M16" s="31" t="s">
        <v>3553</v>
      </c>
      <c r="N16" s="31" t="s">
        <v>3652</v>
      </c>
      <c r="O16" s="31" t="s">
        <v>3172</v>
      </c>
      <c r="P16" s="31" t="s">
        <v>3173</v>
      </c>
      <c r="Q16" s="31" t="s">
        <v>3554</v>
      </c>
      <c r="R16" s="31" t="s">
        <v>3174</v>
      </c>
      <c r="S16" s="31" t="s">
        <v>3175</v>
      </c>
      <c r="T16" s="31" t="s">
        <v>3176</v>
      </c>
      <c r="U16" s="31" t="s">
        <v>3555</v>
      </c>
      <c r="V16" s="31" t="s">
        <v>3109</v>
      </c>
      <c r="W16" s="31" t="s">
        <v>3538</v>
      </c>
      <c r="X16" s="31" t="s">
        <v>3556</v>
      </c>
    </row>
    <row r="17" spans="1:24" s="19" customFormat="1" ht="51" hidden="1" x14ac:dyDescent="0.2">
      <c r="A17" s="19" t="s">
        <v>3177</v>
      </c>
      <c r="B17" s="19" t="s">
        <v>2317</v>
      </c>
      <c r="C17" s="19" t="s">
        <v>2314</v>
      </c>
      <c r="D17" s="19" t="s">
        <v>146</v>
      </c>
      <c r="E17" s="19" t="s">
        <v>830</v>
      </c>
      <c r="F17" s="19" t="s">
        <v>2313</v>
      </c>
      <c r="U17" s="19" t="s">
        <v>2881</v>
      </c>
      <c r="V17" s="19" t="s">
        <v>3109</v>
      </c>
    </row>
    <row r="18" spans="1:24" s="30" customFormat="1" ht="170" hidden="1" x14ac:dyDescent="0.2">
      <c r="A18" s="30" t="s">
        <v>3178</v>
      </c>
      <c r="B18" s="30" t="s">
        <v>1047</v>
      </c>
      <c r="C18" s="30" t="s">
        <v>1044</v>
      </c>
      <c r="D18" s="30" t="s">
        <v>176</v>
      </c>
      <c r="E18" s="30" t="s">
        <v>1048</v>
      </c>
      <c r="F18" s="30" t="s">
        <v>86</v>
      </c>
      <c r="G18" s="30" t="s">
        <v>3179</v>
      </c>
      <c r="H18" s="30" t="s">
        <v>3180</v>
      </c>
      <c r="I18" s="30" t="s">
        <v>3181</v>
      </c>
      <c r="J18" s="30" t="s">
        <v>3184</v>
      </c>
      <c r="K18" s="30" t="s">
        <v>3558</v>
      </c>
      <c r="L18" s="30" t="s">
        <v>3182</v>
      </c>
      <c r="M18" s="30" t="s">
        <v>3183</v>
      </c>
      <c r="N18" s="30" t="s">
        <v>3653</v>
      </c>
      <c r="O18" s="30" t="s">
        <v>3185</v>
      </c>
      <c r="P18" s="30" t="s">
        <v>3186</v>
      </c>
      <c r="Q18" s="30" t="s">
        <v>3557</v>
      </c>
      <c r="R18" s="30" t="s">
        <v>3187</v>
      </c>
      <c r="S18" s="30" t="s">
        <v>3188</v>
      </c>
      <c r="T18" s="30" t="s">
        <v>3189</v>
      </c>
      <c r="U18" s="30" t="s">
        <v>3190</v>
      </c>
      <c r="V18" s="30" t="s">
        <v>3109</v>
      </c>
    </row>
    <row r="19" spans="1:24" s="30" customFormat="1" ht="238" hidden="1" x14ac:dyDescent="0.2">
      <c r="A19" s="30" t="s">
        <v>3191</v>
      </c>
      <c r="B19" s="30" t="s">
        <v>1214</v>
      </c>
      <c r="C19" s="30" t="s">
        <v>1211</v>
      </c>
      <c r="D19" s="30" t="s">
        <v>176</v>
      </c>
      <c r="E19" s="30" t="s">
        <v>368</v>
      </c>
      <c r="F19" s="30" t="s">
        <v>86</v>
      </c>
      <c r="G19" s="30" t="s">
        <v>3192</v>
      </c>
      <c r="H19" s="30" t="s">
        <v>3193</v>
      </c>
      <c r="I19" s="30" t="s">
        <v>3194</v>
      </c>
      <c r="J19" s="30" t="s">
        <v>3195</v>
      </c>
      <c r="K19" s="30" t="s">
        <v>3559</v>
      </c>
      <c r="L19" s="30" t="s">
        <v>3196</v>
      </c>
      <c r="M19" s="30" t="s">
        <v>3197</v>
      </c>
      <c r="N19" s="30" t="s">
        <v>3654</v>
      </c>
      <c r="O19" s="30" t="s">
        <v>3198</v>
      </c>
      <c r="P19" s="30" t="s">
        <v>3199</v>
      </c>
      <c r="Q19" s="30" t="s">
        <v>3200</v>
      </c>
      <c r="R19" s="30" t="s">
        <v>3201</v>
      </c>
      <c r="S19" s="30" t="s">
        <v>3202</v>
      </c>
      <c r="T19" s="30" t="s">
        <v>3203</v>
      </c>
      <c r="U19" s="30" t="s">
        <v>3204</v>
      </c>
      <c r="V19" s="30" t="s">
        <v>3109</v>
      </c>
    </row>
    <row r="20" spans="1:24" s="30" customFormat="1" ht="238" x14ac:dyDescent="0.2">
      <c r="A20" s="30" t="s">
        <v>3205</v>
      </c>
      <c r="B20" s="30" t="s">
        <v>2241</v>
      </c>
      <c r="C20" s="30" t="s">
        <v>2238</v>
      </c>
      <c r="D20" s="30" t="s">
        <v>146</v>
      </c>
      <c r="E20" s="30" t="s">
        <v>2242</v>
      </c>
      <c r="F20" s="30" t="s">
        <v>2260</v>
      </c>
      <c r="G20" s="30" t="s">
        <v>3206</v>
      </c>
      <c r="H20" s="30" t="s">
        <v>3207</v>
      </c>
      <c r="I20" s="30" t="s">
        <v>3208</v>
      </c>
      <c r="J20" s="30" t="s">
        <v>3209</v>
      </c>
      <c r="K20" s="30" t="s">
        <v>3210</v>
      </c>
      <c r="L20" s="30" t="s">
        <v>3211</v>
      </c>
      <c r="M20" s="30" t="s">
        <v>3212</v>
      </c>
      <c r="N20" s="30" t="s">
        <v>3213</v>
      </c>
      <c r="O20" s="30" t="s">
        <v>3214</v>
      </c>
      <c r="P20" s="30" t="s">
        <v>3215</v>
      </c>
      <c r="Q20" s="30" t="s">
        <v>3560</v>
      </c>
      <c r="R20" s="30" t="s">
        <v>3216</v>
      </c>
      <c r="S20" s="30" t="s">
        <v>3217</v>
      </c>
      <c r="T20" s="30" t="s">
        <v>3218</v>
      </c>
      <c r="U20" s="30" t="s">
        <v>3219</v>
      </c>
      <c r="V20" s="30" t="s">
        <v>3109</v>
      </c>
    </row>
    <row r="21" spans="1:24" s="30" customFormat="1" ht="255" hidden="1" x14ac:dyDescent="0.2">
      <c r="A21" s="30" t="s">
        <v>3669</v>
      </c>
      <c r="B21" s="30" t="s">
        <v>2479</v>
      </c>
      <c r="C21" s="30" t="s">
        <v>2476</v>
      </c>
      <c r="D21" s="30" t="s">
        <v>146</v>
      </c>
      <c r="E21" s="30" t="s">
        <v>923</v>
      </c>
      <c r="F21" s="30" t="s">
        <v>2313</v>
      </c>
      <c r="G21" s="30" t="s">
        <v>3220</v>
      </c>
      <c r="H21" s="30" t="s">
        <v>3561</v>
      </c>
      <c r="I21" s="30" t="s">
        <v>3221</v>
      </c>
      <c r="J21" s="30" t="s">
        <v>3222</v>
      </c>
      <c r="K21" s="30" t="s">
        <v>3562</v>
      </c>
      <c r="L21" s="30" t="s">
        <v>3223</v>
      </c>
      <c r="M21" s="30" t="s">
        <v>3224</v>
      </c>
      <c r="N21" s="30" t="s">
        <v>3655</v>
      </c>
      <c r="O21" s="30" t="s">
        <v>3563</v>
      </c>
      <c r="P21" s="30" t="s">
        <v>3225</v>
      </c>
      <c r="Q21" s="30" t="s">
        <v>3226</v>
      </c>
      <c r="R21" s="30" t="s">
        <v>3227</v>
      </c>
      <c r="S21" s="30" t="s">
        <v>3228</v>
      </c>
      <c r="T21" s="30" t="s">
        <v>3229</v>
      </c>
      <c r="U21" s="30" t="s">
        <v>3230</v>
      </c>
      <c r="V21" s="30" t="s">
        <v>3109</v>
      </c>
    </row>
    <row r="22" spans="1:24" s="19" customFormat="1" ht="51" hidden="1" x14ac:dyDescent="0.2">
      <c r="A22" s="19" t="s">
        <v>3231</v>
      </c>
      <c r="B22" s="19" t="s">
        <v>1248</v>
      </c>
      <c r="C22" s="19" t="s">
        <v>1245</v>
      </c>
      <c r="D22" s="19" t="s">
        <v>146</v>
      </c>
      <c r="E22" s="19" t="s">
        <v>56</v>
      </c>
      <c r="F22" s="19" t="s">
        <v>86</v>
      </c>
      <c r="U22" s="19" t="s">
        <v>2836</v>
      </c>
      <c r="V22" s="19" t="s">
        <v>3109</v>
      </c>
    </row>
    <row r="23" spans="1:24" s="30" customFormat="1" ht="170" hidden="1" x14ac:dyDescent="0.2">
      <c r="A23" s="30" t="s">
        <v>3232</v>
      </c>
      <c r="B23" s="30" t="s">
        <v>1399</v>
      </c>
      <c r="C23" s="30" t="s">
        <v>1396</v>
      </c>
      <c r="D23" s="30" t="s">
        <v>92</v>
      </c>
      <c r="E23" s="30" t="s">
        <v>93</v>
      </c>
      <c r="F23" s="30" t="s">
        <v>86</v>
      </c>
      <c r="G23" s="30" t="s">
        <v>3233</v>
      </c>
      <c r="H23" s="30" t="s">
        <v>3234</v>
      </c>
      <c r="I23" s="30" t="s">
        <v>3235</v>
      </c>
      <c r="J23" s="30" t="s">
        <v>3614</v>
      </c>
      <c r="K23" s="30" t="s">
        <v>3236</v>
      </c>
      <c r="L23" s="30" t="s">
        <v>3237</v>
      </c>
      <c r="M23" s="30" t="s">
        <v>3238</v>
      </c>
      <c r="N23" s="30" t="s">
        <v>3239</v>
      </c>
      <c r="O23" s="30" t="s">
        <v>3565</v>
      </c>
      <c r="P23" s="30" t="s">
        <v>3240</v>
      </c>
      <c r="Q23" s="30" t="s">
        <v>3564</v>
      </c>
      <c r="R23" s="30" t="s">
        <v>3241</v>
      </c>
      <c r="S23" s="30" t="s">
        <v>3242</v>
      </c>
      <c r="T23" s="30" t="s">
        <v>3243</v>
      </c>
      <c r="U23" s="30" t="s">
        <v>3244</v>
      </c>
      <c r="V23" s="30" t="s">
        <v>3109</v>
      </c>
    </row>
    <row r="24" spans="1:24" s="30" customFormat="1" ht="204" hidden="1" x14ac:dyDescent="0.2">
      <c r="A24" s="30" t="s">
        <v>3245</v>
      </c>
      <c r="B24" s="30" t="s">
        <v>367</v>
      </c>
      <c r="C24" s="30" t="s">
        <v>364</v>
      </c>
      <c r="D24" s="30" t="s">
        <v>176</v>
      </c>
      <c r="E24" s="30" t="s">
        <v>368</v>
      </c>
      <c r="F24" s="30" t="s">
        <v>86</v>
      </c>
      <c r="G24" s="30" t="s">
        <v>3246</v>
      </c>
      <c r="H24" s="30" t="s">
        <v>3247</v>
      </c>
      <c r="I24" s="30" t="s">
        <v>3248</v>
      </c>
      <c r="J24" s="30" t="s">
        <v>3038</v>
      </c>
      <c r="K24" s="30" t="s">
        <v>3567</v>
      </c>
      <c r="L24" s="30" t="s">
        <v>3249</v>
      </c>
      <c r="M24" s="30" t="s">
        <v>3250</v>
      </c>
      <c r="N24" s="30" t="s">
        <v>3656</v>
      </c>
      <c r="O24" s="30" t="s">
        <v>3251</v>
      </c>
      <c r="P24" s="30" t="s">
        <v>3252</v>
      </c>
      <c r="Q24" s="30" t="s">
        <v>3566</v>
      </c>
      <c r="R24" s="30" t="s">
        <v>3253</v>
      </c>
      <c r="S24" s="30" t="s">
        <v>3254</v>
      </c>
      <c r="T24" s="30" t="s">
        <v>3255</v>
      </c>
      <c r="U24" s="30" t="s">
        <v>3256</v>
      </c>
      <c r="V24" s="30" t="s">
        <v>3109</v>
      </c>
    </row>
    <row r="25" spans="1:24" s="30" customFormat="1" ht="221" hidden="1" x14ac:dyDescent="0.2">
      <c r="A25" s="30" t="s">
        <v>3257</v>
      </c>
      <c r="B25" s="30" t="s">
        <v>762</v>
      </c>
      <c r="C25" s="30" t="s">
        <v>759</v>
      </c>
      <c r="D25" s="30" t="s">
        <v>176</v>
      </c>
      <c r="E25" s="30" t="s">
        <v>252</v>
      </c>
      <c r="F25" s="30" t="s">
        <v>86</v>
      </c>
      <c r="G25" s="30" t="s">
        <v>3258</v>
      </c>
      <c r="H25" s="30" t="s">
        <v>3259</v>
      </c>
      <c r="I25" s="30" t="s">
        <v>3260</v>
      </c>
      <c r="J25" s="30" t="s">
        <v>3261</v>
      </c>
      <c r="K25" s="30" t="s">
        <v>3569</v>
      </c>
      <c r="L25" s="30" t="s">
        <v>3262</v>
      </c>
      <c r="M25" s="30" t="s">
        <v>3263</v>
      </c>
      <c r="N25" s="30" t="s">
        <v>3657</v>
      </c>
      <c r="O25" s="30" t="s">
        <v>3568</v>
      </c>
      <c r="P25" s="30" t="s">
        <v>3264</v>
      </c>
      <c r="Q25" s="30" t="s">
        <v>3265</v>
      </c>
      <c r="R25" s="30" t="s">
        <v>3266</v>
      </c>
      <c r="S25" s="30" t="s">
        <v>3267</v>
      </c>
      <c r="T25" s="30" t="s">
        <v>3268</v>
      </c>
      <c r="U25" s="30" t="s">
        <v>3269</v>
      </c>
      <c r="V25" s="30" t="s">
        <v>3109</v>
      </c>
    </row>
    <row r="26" spans="1:24" s="31" customFormat="1" ht="306" hidden="1" x14ac:dyDescent="0.2">
      <c r="A26" s="31" t="s">
        <v>3270</v>
      </c>
      <c r="B26" s="31" t="s">
        <v>1845</v>
      </c>
      <c r="C26" s="31" t="s">
        <v>1842</v>
      </c>
      <c r="D26" s="31" t="s">
        <v>146</v>
      </c>
      <c r="E26" s="31" t="s">
        <v>923</v>
      </c>
      <c r="F26" s="31" t="s">
        <v>86</v>
      </c>
      <c r="G26" s="31" t="s">
        <v>3271</v>
      </c>
      <c r="H26" s="31" t="s">
        <v>3272</v>
      </c>
      <c r="I26" s="31" t="s">
        <v>3273</v>
      </c>
      <c r="J26" s="31" t="s">
        <v>3274</v>
      </c>
      <c r="K26" s="31" t="s">
        <v>3275</v>
      </c>
      <c r="L26" s="31" t="s">
        <v>3276</v>
      </c>
      <c r="M26" s="31" t="s">
        <v>3277</v>
      </c>
      <c r="N26" s="31" t="s">
        <v>3572</v>
      </c>
      <c r="O26" s="31" t="s">
        <v>3571</v>
      </c>
      <c r="P26" s="31" t="s">
        <v>3278</v>
      </c>
      <c r="Q26" s="31" t="s">
        <v>3279</v>
      </c>
      <c r="R26" s="31" t="s">
        <v>3280</v>
      </c>
      <c r="S26" s="31" t="s">
        <v>3281</v>
      </c>
      <c r="T26" s="31" t="s">
        <v>3282</v>
      </c>
      <c r="U26" s="31" t="s">
        <v>3283</v>
      </c>
      <c r="V26" s="31" t="s">
        <v>3109</v>
      </c>
      <c r="W26" s="31" t="s">
        <v>3538</v>
      </c>
      <c r="X26" s="31" t="s">
        <v>3570</v>
      </c>
    </row>
    <row r="27" spans="1:24" s="30" customFormat="1" ht="221" x14ac:dyDescent="0.2">
      <c r="A27" s="30" t="s">
        <v>3284</v>
      </c>
      <c r="B27" s="30" t="s">
        <v>671</v>
      </c>
      <c r="C27" s="30" t="s">
        <v>668</v>
      </c>
      <c r="D27" s="30" t="s">
        <v>176</v>
      </c>
      <c r="E27" s="30" t="s">
        <v>672</v>
      </c>
      <c r="F27" s="30" t="s">
        <v>86</v>
      </c>
      <c r="G27" s="30" t="s">
        <v>3285</v>
      </c>
      <c r="H27" s="30" t="s">
        <v>3286</v>
      </c>
      <c r="I27" s="30" t="s">
        <v>3287</v>
      </c>
      <c r="J27" s="30" t="s">
        <v>3288</v>
      </c>
      <c r="K27" s="30" t="s">
        <v>3289</v>
      </c>
      <c r="L27" s="30" t="s">
        <v>3290</v>
      </c>
      <c r="M27" s="30" t="s">
        <v>3291</v>
      </c>
      <c r="N27" s="30" t="s">
        <v>3658</v>
      </c>
      <c r="O27" s="30" t="s">
        <v>3292</v>
      </c>
      <c r="P27" s="30" t="s">
        <v>3293</v>
      </c>
      <c r="Q27" s="30" t="s">
        <v>3294</v>
      </c>
      <c r="R27" s="30" t="s">
        <v>3295</v>
      </c>
      <c r="S27" s="30" t="s">
        <v>3296</v>
      </c>
      <c r="T27" s="30" t="s">
        <v>3297</v>
      </c>
      <c r="U27" s="30" t="s">
        <v>3298</v>
      </c>
      <c r="V27" s="30" t="s">
        <v>3109</v>
      </c>
    </row>
    <row r="28" spans="1:24" s="30" customFormat="1" ht="221" hidden="1" x14ac:dyDescent="0.2">
      <c r="A28" s="30" t="s">
        <v>3299</v>
      </c>
      <c r="B28" s="30" t="s">
        <v>1631</v>
      </c>
      <c r="C28" s="30" t="s">
        <v>1628</v>
      </c>
      <c r="D28" s="30" t="s">
        <v>176</v>
      </c>
      <c r="E28" s="30" t="s">
        <v>1632</v>
      </c>
      <c r="F28" s="30" t="s">
        <v>86</v>
      </c>
      <c r="G28" s="30" t="s">
        <v>3300</v>
      </c>
      <c r="H28" s="30" t="s">
        <v>3301</v>
      </c>
      <c r="I28" s="30" t="s">
        <v>3302</v>
      </c>
      <c r="J28" s="30" t="s">
        <v>3303</v>
      </c>
      <c r="K28" s="30" t="s">
        <v>3304</v>
      </c>
      <c r="L28" s="30" t="s">
        <v>3305</v>
      </c>
      <c r="M28" s="30" t="s">
        <v>3306</v>
      </c>
      <c r="N28" s="30" t="s">
        <v>3659</v>
      </c>
      <c r="O28" s="30" t="s">
        <v>3307</v>
      </c>
      <c r="P28" s="30" t="s">
        <v>3313</v>
      </c>
      <c r="Q28" s="30" t="s">
        <v>3308</v>
      </c>
      <c r="R28" s="30" t="s">
        <v>3309</v>
      </c>
      <c r="S28" s="30" t="s">
        <v>3310</v>
      </c>
      <c r="T28" s="30" t="s">
        <v>3311</v>
      </c>
      <c r="U28" s="30" t="s">
        <v>3312</v>
      </c>
      <c r="V28" s="30" t="s">
        <v>3109</v>
      </c>
    </row>
    <row r="29" spans="1:24" s="30" customFormat="1" ht="238" hidden="1" x14ac:dyDescent="0.2">
      <c r="A29" s="30" t="s">
        <v>3314</v>
      </c>
      <c r="B29" s="30" t="s">
        <v>1071</v>
      </c>
      <c r="C29" s="30" t="s">
        <v>1068</v>
      </c>
      <c r="D29" s="30" t="s">
        <v>146</v>
      </c>
      <c r="E29" s="30" t="s">
        <v>923</v>
      </c>
      <c r="F29" s="30" t="s">
        <v>86</v>
      </c>
      <c r="G29" s="30" t="s">
        <v>3315</v>
      </c>
      <c r="H29" s="30" t="s">
        <v>3316</v>
      </c>
      <c r="I29" s="30" t="s">
        <v>3317</v>
      </c>
      <c r="J29" s="30" t="s">
        <v>3318</v>
      </c>
      <c r="K29" s="30" t="s">
        <v>3319</v>
      </c>
      <c r="L29" s="30" t="s">
        <v>3320</v>
      </c>
      <c r="M29" s="30" t="s">
        <v>3321</v>
      </c>
      <c r="N29" s="30" t="s">
        <v>3660</v>
      </c>
      <c r="O29" s="30" t="s">
        <v>3322</v>
      </c>
      <c r="P29" s="30" t="s">
        <v>3573</v>
      </c>
      <c r="Q29" s="30" t="s">
        <v>3323</v>
      </c>
      <c r="R29" s="30" t="s">
        <v>3324</v>
      </c>
      <c r="S29" s="30" t="s">
        <v>3325</v>
      </c>
      <c r="T29" s="30" t="s">
        <v>3326</v>
      </c>
      <c r="U29" s="30" t="s">
        <v>3327</v>
      </c>
      <c r="V29" s="30" t="s">
        <v>3109</v>
      </c>
    </row>
    <row r="30" spans="1:24" s="31" customFormat="1" ht="289" hidden="1" x14ac:dyDescent="0.2">
      <c r="A30" s="31" t="s">
        <v>3328</v>
      </c>
      <c r="B30" s="31" t="s">
        <v>1899</v>
      </c>
      <c r="C30" s="31" t="s">
        <v>1896</v>
      </c>
      <c r="D30" s="31" t="s">
        <v>121</v>
      </c>
      <c r="E30" s="31" t="s">
        <v>1900</v>
      </c>
      <c r="F30" s="31" t="s">
        <v>86</v>
      </c>
      <c r="G30" s="31" t="s">
        <v>3329</v>
      </c>
      <c r="H30" s="31" t="s">
        <v>3574</v>
      </c>
      <c r="I30" s="31" t="s">
        <v>3575</v>
      </c>
      <c r="J30" s="31" t="s">
        <v>3576</v>
      </c>
      <c r="K30" s="31" t="s">
        <v>3577</v>
      </c>
      <c r="L30" s="31" t="s">
        <v>3578</v>
      </c>
      <c r="M30" s="31" t="s">
        <v>3579</v>
      </c>
      <c r="N30" s="31" t="s">
        <v>3580</v>
      </c>
      <c r="O30" s="31" t="s">
        <v>3581</v>
      </c>
      <c r="P30" s="31" t="s">
        <v>3582</v>
      </c>
      <c r="Q30" s="31" t="s">
        <v>3583</v>
      </c>
      <c r="R30" s="31" t="s">
        <v>3584</v>
      </c>
      <c r="S30" s="31" t="s">
        <v>3585</v>
      </c>
      <c r="T30" s="31" t="s">
        <v>3586</v>
      </c>
      <c r="U30" s="31" t="s">
        <v>3587</v>
      </c>
      <c r="V30" s="31" t="s">
        <v>3109</v>
      </c>
      <c r="W30" s="31" t="s">
        <v>3538</v>
      </c>
      <c r="X30" s="31" t="s">
        <v>3588</v>
      </c>
    </row>
    <row r="31" spans="1:24" s="30" customFormat="1" ht="187" hidden="1" x14ac:dyDescent="0.2">
      <c r="A31" s="30" t="s">
        <v>3330</v>
      </c>
      <c r="B31" s="30" t="s">
        <v>2593</v>
      </c>
      <c r="C31" s="30" t="s">
        <v>2590</v>
      </c>
      <c r="D31" s="30" t="s">
        <v>2594</v>
      </c>
      <c r="E31" s="30" t="s">
        <v>2595</v>
      </c>
      <c r="F31" s="30" t="s">
        <v>2551</v>
      </c>
      <c r="G31" s="30" t="s">
        <v>3331</v>
      </c>
      <c r="H31" s="30" t="s">
        <v>3332</v>
      </c>
      <c r="I31" s="30" t="s">
        <v>3333</v>
      </c>
      <c r="J31" s="30" t="s">
        <v>3589</v>
      </c>
      <c r="K31" s="30" t="s">
        <v>3334</v>
      </c>
      <c r="L31" s="30" t="s">
        <v>3335</v>
      </c>
      <c r="M31" s="30" t="s">
        <v>3336</v>
      </c>
      <c r="N31" s="30" t="s">
        <v>3337</v>
      </c>
      <c r="O31" s="30" t="s">
        <v>3338</v>
      </c>
      <c r="P31" s="30" t="s">
        <v>3339</v>
      </c>
      <c r="Q31" s="30" t="s">
        <v>3340</v>
      </c>
      <c r="R31" s="30" t="s">
        <v>3341</v>
      </c>
      <c r="S31" s="30" t="s">
        <v>3342</v>
      </c>
      <c r="T31" s="30" t="s">
        <v>3343</v>
      </c>
      <c r="U31" s="30" t="s">
        <v>3344</v>
      </c>
      <c r="V31" s="30" t="s">
        <v>3109</v>
      </c>
    </row>
    <row r="32" spans="1:24" s="30" customFormat="1" ht="170" hidden="1" x14ac:dyDescent="0.2">
      <c r="A32" s="30" t="s">
        <v>3345</v>
      </c>
      <c r="B32" s="30" t="s">
        <v>1163</v>
      </c>
      <c r="C32" s="30" t="s">
        <v>1160</v>
      </c>
      <c r="D32" s="30" t="s">
        <v>146</v>
      </c>
      <c r="E32" s="30" t="s">
        <v>1164</v>
      </c>
      <c r="F32" s="30" t="s">
        <v>86</v>
      </c>
      <c r="G32" s="30" t="s">
        <v>3346</v>
      </c>
      <c r="H32" s="30" t="s">
        <v>3347</v>
      </c>
      <c r="I32" s="30" t="s">
        <v>3348</v>
      </c>
      <c r="J32" s="30" t="s">
        <v>3081</v>
      </c>
      <c r="K32" s="30" t="s">
        <v>3349</v>
      </c>
      <c r="L32" s="30" t="s">
        <v>3350</v>
      </c>
      <c r="M32" s="30" t="s">
        <v>3351</v>
      </c>
      <c r="N32" s="30" t="s">
        <v>3352</v>
      </c>
      <c r="O32" s="30" t="s">
        <v>3353</v>
      </c>
      <c r="P32" s="30" t="s">
        <v>3354</v>
      </c>
      <c r="Q32" s="30" t="s">
        <v>3355</v>
      </c>
      <c r="R32" s="30" t="s">
        <v>3356</v>
      </c>
      <c r="S32" s="30" t="s">
        <v>3357</v>
      </c>
      <c r="T32" s="30" t="s">
        <v>3358</v>
      </c>
      <c r="U32" s="30" t="s">
        <v>3359</v>
      </c>
      <c r="V32" s="30" t="s">
        <v>3109</v>
      </c>
    </row>
    <row r="33" spans="1:25" s="19" customFormat="1" ht="34" hidden="1" x14ac:dyDescent="0.2">
      <c r="A33" s="19" t="s">
        <v>3360</v>
      </c>
      <c r="B33" s="19" t="s">
        <v>829</v>
      </c>
      <c r="C33" s="19" t="s">
        <v>826</v>
      </c>
      <c r="D33" s="19" t="s">
        <v>176</v>
      </c>
      <c r="E33" s="19" t="s">
        <v>830</v>
      </c>
      <c r="F33" s="19" t="s">
        <v>86</v>
      </c>
      <c r="U33" s="19" t="s">
        <v>2956</v>
      </c>
      <c r="V33" s="19" t="s">
        <v>3109</v>
      </c>
    </row>
    <row r="34" spans="1:25" s="30" customFormat="1" ht="289" hidden="1" x14ac:dyDescent="0.2">
      <c r="A34" s="30" t="s">
        <v>3361</v>
      </c>
      <c r="B34" s="30" t="s">
        <v>175</v>
      </c>
      <c r="C34" s="30" t="s">
        <v>172</v>
      </c>
      <c r="D34" s="30" t="s">
        <v>176</v>
      </c>
      <c r="E34" s="30" t="s">
        <v>177</v>
      </c>
      <c r="F34" s="30" t="s">
        <v>86</v>
      </c>
      <c r="G34" s="30" t="s">
        <v>3362</v>
      </c>
      <c r="H34" s="30" t="s">
        <v>3363</v>
      </c>
      <c r="I34" s="30" t="s">
        <v>3364</v>
      </c>
      <c r="J34" s="30" t="s">
        <v>3038</v>
      </c>
      <c r="K34" s="30" t="s">
        <v>3365</v>
      </c>
      <c r="L34" s="30" t="s">
        <v>3366</v>
      </c>
      <c r="M34" s="30" t="s">
        <v>3590</v>
      </c>
      <c r="N34" s="30" t="s">
        <v>3661</v>
      </c>
      <c r="O34" s="30" t="s">
        <v>3367</v>
      </c>
      <c r="P34" s="30" t="s">
        <v>3368</v>
      </c>
      <c r="Q34" s="30" t="s">
        <v>3369</v>
      </c>
      <c r="R34" s="30" t="s">
        <v>3370</v>
      </c>
      <c r="S34" s="30" t="s">
        <v>3371</v>
      </c>
      <c r="T34" s="30" t="s">
        <v>3372</v>
      </c>
      <c r="U34" s="30" t="s">
        <v>3373</v>
      </c>
      <c r="V34" s="30" t="s">
        <v>3109</v>
      </c>
    </row>
    <row r="35" spans="1:25" s="30" customFormat="1" ht="238" hidden="1" x14ac:dyDescent="0.2">
      <c r="A35" s="30" t="s">
        <v>3374</v>
      </c>
      <c r="B35" s="30" t="s">
        <v>471</v>
      </c>
      <c r="C35" s="30" t="s">
        <v>468</v>
      </c>
      <c r="D35" s="30" t="s">
        <v>176</v>
      </c>
      <c r="E35" s="30" t="s">
        <v>252</v>
      </c>
      <c r="F35" s="30" t="s">
        <v>86</v>
      </c>
      <c r="G35" s="30" t="s">
        <v>3375</v>
      </c>
      <c r="H35" s="30" t="s">
        <v>3376</v>
      </c>
      <c r="I35" s="30" t="s">
        <v>3377</v>
      </c>
      <c r="J35" s="30" t="s">
        <v>3038</v>
      </c>
      <c r="K35" s="30" t="s">
        <v>3378</v>
      </c>
      <c r="L35" s="30" t="s">
        <v>3379</v>
      </c>
      <c r="M35" s="30" t="s">
        <v>3380</v>
      </c>
      <c r="N35" s="30" t="s">
        <v>3662</v>
      </c>
      <c r="O35" s="30" t="s">
        <v>3381</v>
      </c>
      <c r="P35" s="30" t="s">
        <v>3591</v>
      </c>
      <c r="Q35" s="30" t="s">
        <v>3382</v>
      </c>
      <c r="R35" s="30" t="s">
        <v>3383</v>
      </c>
      <c r="S35" s="30" t="s">
        <v>3384</v>
      </c>
      <c r="T35" s="30" t="s">
        <v>3592</v>
      </c>
      <c r="U35" s="30" t="s">
        <v>3385</v>
      </c>
      <c r="V35" s="30" t="s">
        <v>3109</v>
      </c>
    </row>
    <row r="36" spans="1:25" s="30" customFormat="1" ht="238" hidden="1" x14ac:dyDescent="0.2">
      <c r="A36" s="30" t="s">
        <v>3386</v>
      </c>
      <c r="B36" s="30" t="s">
        <v>251</v>
      </c>
      <c r="C36" s="30" t="s">
        <v>248</v>
      </c>
      <c r="D36" s="30" t="s">
        <v>176</v>
      </c>
      <c r="E36" s="30" t="s">
        <v>252</v>
      </c>
      <c r="F36" s="30" t="s">
        <v>86</v>
      </c>
      <c r="G36" s="30" t="s">
        <v>3387</v>
      </c>
      <c r="H36" s="30" t="s">
        <v>3388</v>
      </c>
      <c r="I36" s="30" t="s">
        <v>3389</v>
      </c>
      <c r="J36" s="30" t="s">
        <v>3390</v>
      </c>
      <c r="K36" s="30" t="s">
        <v>3391</v>
      </c>
      <c r="L36" s="30" t="s">
        <v>3392</v>
      </c>
      <c r="M36" s="30" t="s">
        <v>3393</v>
      </c>
      <c r="N36" s="30" t="s">
        <v>3394</v>
      </c>
      <c r="O36" s="30" t="s">
        <v>3663</v>
      </c>
      <c r="P36" s="30" t="s">
        <v>3594</v>
      </c>
      <c r="Q36" s="30" t="s">
        <v>3593</v>
      </c>
      <c r="R36" s="30" t="s">
        <v>3395</v>
      </c>
      <c r="S36" s="30" t="s">
        <v>3396</v>
      </c>
      <c r="T36" s="30" t="s">
        <v>3397</v>
      </c>
      <c r="U36" s="30" t="s">
        <v>3398</v>
      </c>
      <c r="V36" s="30" t="s">
        <v>3109</v>
      </c>
    </row>
    <row r="37" spans="1:25" s="30" customFormat="1" ht="323" hidden="1" x14ac:dyDescent="0.2">
      <c r="A37" s="30" t="s">
        <v>3412</v>
      </c>
      <c r="B37" s="30" t="s">
        <v>2454</v>
      </c>
      <c r="C37" s="30" t="s">
        <v>2451</v>
      </c>
      <c r="D37" s="30" t="s">
        <v>2455</v>
      </c>
      <c r="E37" s="30" t="s">
        <v>2456</v>
      </c>
      <c r="F37" s="30" t="s">
        <v>2313</v>
      </c>
      <c r="G37" s="30" t="s">
        <v>3399</v>
      </c>
      <c r="H37" s="30" t="s">
        <v>3400</v>
      </c>
      <c r="I37" s="30" t="s">
        <v>3401</v>
      </c>
      <c r="J37" s="30" t="s">
        <v>3402</v>
      </c>
      <c r="K37" s="30" t="s">
        <v>3403</v>
      </c>
      <c r="L37" s="30" t="s">
        <v>3404</v>
      </c>
      <c r="M37" s="30" t="s">
        <v>3405</v>
      </c>
      <c r="N37" s="30" t="s">
        <v>3406</v>
      </c>
      <c r="O37" s="30" t="s">
        <v>3407</v>
      </c>
      <c r="P37" s="30" t="s">
        <v>3596</v>
      </c>
      <c r="Q37" s="30" t="s">
        <v>3595</v>
      </c>
      <c r="R37" s="30" t="s">
        <v>3408</v>
      </c>
      <c r="S37" s="30" t="s">
        <v>3409</v>
      </c>
      <c r="T37" s="30" t="s">
        <v>3410</v>
      </c>
      <c r="U37" s="30" t="s">
        <v>3411</v>
      </c>
      <c r="V37" s="30" t="s">
        <v>3109</v>
      </c>
    </row>
    <row r="38" spans="1:25" s="30" customFormat="1" ht="238" hidden="1" x14ac:dyDescent="0.2">
      <c r="A38" s="30" t="s">
        <v>3668</v>
      </c>
      <c r="B38" s="30" t="s">
        <v>91</v>
      </c>
      <c r="C38" s="30" t="s">
        <v>88</v>
      </c>
      <c r="D38" s="30" t="s">
        <v>92</v>
      </c>
      <c r="E38" s="30" t="s">
        <v>93</v>
      </c>
      <c r="F38" s="30" t="s">
        <v>86</v>
      </c>
      <c r="G38" s="30" t="s">
        <v>3413</v>
      </c>
      <c r="H38" s="30" t="s">
        <v>3414</v>
      </c>
      <c r="I38" s="30" t="s">
        <v>3415</v>
      </c>
      <c r="J38" s="30" t="s">
        <v>3038</v>
      </c>
      <c r="K38" s="30" t="s">
        <v>3416</v>
      </c>
      <c r="L38" s="30" t="s">
        <v>3417</v>
      </c>
      <c r="M38" s="30" t="s">
        <v>3418</v>
      </c>
      <c r="N38" s="30" t="s">
        <v>3419</v>
      </c>
      <c r="O38" s="30" t="s">
        <v>3420</v>
      </c>
      <c r="P38" s="30" t="s">
        <v>3421</v>
      </c>
      <c r="Q38" s="30" t="s">
        <v>3422</v>
      </c>
      <c r="R38" s="30" t="s">
        <v>3423</v>
      </c>
      <c r="S38" s="30" t="s">
        <v>3424</v>
      </c>
      <c r="T38" s="30" t="s">
        <v>3425</v>
      </c>
      <c r="U38" s="30" t="s">
        <v>3426</v>
      </c>
      <c r="V38" s="30" t="s">
        <v>3109</v>
      </c>
    </row>
    <row r="39" spans="1:25" s="30" customFormat="1" ht="289" x14ac:dyDescent="0.2">
      <c r="A39" s="30" t="s">
        <v>3427</v>
      </c>
      <c r="B39" s="30" t="s">
        <v>145</v>
      </c>
      <c r="C39" s="30" t="s">
        <v>142</v>
      </c>
      <c r="D39" s="30" t="s">
        <v>146</v>
      </c>
      <c r="E39" s="30" t="s">
        <v>147</v>
      </c>
      <c r="F39" s="30" t="s">
        <v>86</v>
      </c>
      <c r="G39" s="30" t="s">
        <v>3428</v>
      </c>
      <c r="H39" s="30" t="s">
        <v>3429</v>
      </c>
      <c r="I39" s="30" t="s">
        <v>3430</v>
      </c>
      <c r="J39" s="30" t="s">
        <v>3038</v>
      </c>
      <c r="K39" s="30" t="s">
        <v>3599</v>
      </c>
      <c r="L39" s="30" t="s">
        <v>3431</v>
      </c>
      <c r="M39" s="30" t="s">
        <v>3432</v>
      </c>
      <c r="N39" s="30" t="s">
        <v>3664</v>
      </c>
      <c r="O39" s="30" t="s">
        <v>3597</v>
      </c>
      <c r="P39" s="30" t="s">
        <v>3433</v>
      </c>
      <c r="Q39" s="30" t="s">
        <v>3598</v>
      </c>
      <c r="R39" s="30" t="s">
        <v>3434</v>
      </c>
      <c r="S39" s="30" t="s">
        <v>3435</v>
      </c>
      <c r="T39" s="30" t="s">
        <v>3436</v>
      </c>
      <c r="U39" s="30" t="s">
        <v>3437</v>
      </c>
      <c r="V39" s="30" t="s">
        <v>3109</v>
      </c>
    </row>
    <row r="40" spans="1:25" s="30" customFormat="1" ht="221" hidden="1" x14ac:dyDescent="0.2">
      <c r="A40" s="30" t="s">
        <v>3438</v>
      </c>
      <c r="B40" s="30" t="s">
        <v>2662</v>
      </c>
      <c r="C40" s="30" t="s">
        <v>2659</v>
      </c>
      <c r="D40" s="30" t="s">
        <v>146</v>
      </c>
      <c r="E40" s="30" t="s">
        <v>391</v>
      </c>
      <c r="F40" s="30" t="s">
        <v>2635</v>
      </c>
      <c r="G40" s="30" t="s">
        <v>3439</v>
      </c>
      <c r="H40" s="30" t="s">
        <v>3440</v>
      </c>
      <c r="I40" s="30" t="s">
        <v>3441</v>
      </c>
      <c r="J40" s="30" t="s">
        <v>3038</v>
      </c>
      <c r="K40" s="30" t="s">
        <v>3601</v>
      </c>
      <c r="L40" s="30" t="s">
        <v>3442</v>
      </c>
      <c r="M40" s="30" t="s">
        <v>3443</v>
      </c>
      <c r="N40" s="30" t="s">
        <v>3444</v>
      </c>
      <c r="O40" s="30" t="s">
        <v>3445</v>
      </c>
      <c r="P40" s="30" t="s">
        <v>3446</v>
      </c>
      <c r="Q40" s="30" t="s">
        <v>3600</v>
      </c>
      <c r="R40" s="30" t="s">
        <v>3447</v>
      </c>
      <c r="S40" s="30" t="s">
        <v>3448</v>
      </c>
      <c r="T40" s="30" t="s">
        <v>3449</v>
      </c>
      <c r="U40" s="30" t="s">
        <v>3450</v>
      </c>
      <c r="V40" s="30" t="s">
        <v>3109</v>
      </c>
    </row>
    <row r="41" spans="1:25" s="30" customFormat="1" ht="356" hidden="1" x14ac:dyDescent="0.2">
      <c r="A41" s="30" t="s">
        <v>3451</v>
      </c>
      <c r="B41" s="30" t="s">
        <v>1922</v>
      </c>
      <c r="C41" s="30" t="s">
        <v>1919</v>
      </c>
      <c r="D41" s="30" t="s">
        <v>1879</v>
      </c>
      <c r="E41" s="30" t="s">
        <v>1923</v>
      </c>
      <c r="F41" s="30" t="s">
        <v>86</v>
      </c>
      <c r="G41" s="30" t="s">
        <v>3452</v>
      </c>
      <c r="H41" s="30" t="s">
        <v>3453</v>
      </c>
      <c r="I41" s="30" t="s">
        <v>3666</v>
      </c>
      <c r="J41" s="30" t="s">
        <v>3665</v>
      </c>
      <c r="K41" s="30" t="s">
        <v>3454</v>
      </c>
      <c r="L41" s="30" t="s">
        <v>3455</v>
      </c>
      <c r="M41" s="30" t="s">
        <v>3456</v>
      </c>
      <c r="N41" s="30" t="s">
        <v>3457</v>
      </c>
      <c r="O41" s="30" t="s">
        <v>3458</v>
      </c>
      <c r="P41" s="30" t="s">
        <v>3459</v>
      </c>
      <c r="Q41" s="30" t="s">
        <v>3602</v>
      </c>
      <c r="R41" s="30" t="s">
        <v>3460</v>
      </c>
      <c r="S41" s="30" t="s">
        <v>3461</v>
      </c>
      <c r="T41" s="30" t="s">
        <v>3462</v>
      </c>
      <c r="U41" s="30" t="s">
        <v>3463</v>
      </c>
      <c r="V41" s="30" t="s">
        <v>3109</v>
      </c>
      <c r="W41" s="30" t="s">
        <v>3538</v>
      </c>
      <c r="X41" s="30" t="s">
        <v>3667</v>
      </c>
    </row>
    <row r="42" spans="1:25" s="30" customFormat="1" ht="238" hidden="1" x14ac:dyDescent="0.2">
      <c r="A42" s="30" t="s">
        <v>3464</v>
      </c>
      <c r="B42" s="30" t="s">
        <v>1822</v>
      </c>
      <c r="C42" s="30" t="s">
        <v>1819</v>
      </c>
      <c r="D42" s="30" t="s">
        <v>92</v>
      </c>
      <c r="E42" s="30" t="s">
        <v>1164</v>
      </c>
      <c r="F42" s="30" t="s">
        <v>86</v>
      </c>
      <c r="G42" s="30" t="s">
        <v>3465</v>
      </c>
      <c r="H42" s="30" t="s">
        <v>3466</v>
      </c>
      <c r="I42" s="30" t="s">
        <v>3467</v>
      </c>
      <c r="J42" s="30" t="s">
        <v>3468</v>
      </c>
      <c r="K42" s="30" t="s">
        <v>3469</v>
      </c>
      <c r="L42" s="30" t="s">
        <v>3470</v>
      </c>
      <c r="M42" s="30" t="s">
        <v>3471</v>
      </c>
      <c r="N42" s="30" t="s">
        <v>3472</v>
      </c>
      <c r="O42" s="30" t="s">
        <v>3473</v>
      </c>
      <c r="P42" s="30" t="s">
        <v>3474</v>
      </c>
      <c r="Q42" s="30" t="s">
        <v>3603</v>
      </c>
      <c r="R42" s="30" t="s">
        <v>3475</v>
      </c>
      <c r="S42" s="30" t="s">
        <v>3476</v>
      </c>
      <c r="T42" s="30" t="s">
        <v>3477</v>
      </c>
      <c r="U42" s="30" t="s">
        <v>3478</v>
      </c>
      <c r="V42" s="30" t="s">
        <v>3109</v>
      </c>
    </row>
    <row r="43" spans="1:25" s="31" customFormat="1" ht="306" hidden="1" x14ac:dyDescent="0.2">
      <c r="A43" s="31" t="s">
        <v>3479</v>
      </c>
      <c r="B43" s="31" t="s">
        <v>1580</v>
      </c>
      <c r="C43" s="31" t="s">
        <v>1577</v>
      </c>
      <c r="D43" s="31" t="s">
        <v>55</v>
      </c>
      <c r="E43" s="31" t="s">
        <v>1581</v>
      </c>
      <c r="F43" s="31" t="s">
        <v>86</v>
      </c>
      <c r="G43" s="31" t="s">
        <v>3480</v>
      </c>
      <c r="H43" s="31" t="s">
        <v>3481</v>
      </c>
      <c r="I43" s="31" t="s">
        <v>3605</v>
      </c>
      <c r="J43" s="31" t="s">
        <v>3604</v>
      </c>
      <c r="K43" s="31" t="s">
        <v>3606</v>
      </c>
      <c r="L43" s="31" t="s">
        <v>3607</v>
      </c>
      <c r="M43" s="31" t="s">
        <v>3482</v>
      </c>
      <c r="N43" s="31" t="s">
        <v>3608</v>
      </c>
      <c r="O43" s="31" t="s">
        <v>3483</v>
      </c>
      <c r="P43" s="31" t="s">
        <v>3609</v>
      </c>
      <c r="Q43" s="31" t="s">
        <v>3613</v>
      </c>
      <c r="R43" s="31" t="s">
        <v>3610</v>
      </c>
      <c r="S43" s="31" t="s">
        <v>3484</v>
      </c>
      <c r="T43" s="31" t="s">
        <v>3611</v>
      </c>
      <c r="U43" s="31" t="s">
        <v>3485</v>
      </c>
      <c r="V43" s="31" t="s">
        <v>3109</v>
      </c>
      <c r="W43" s="31" t="s">
        <v>3538</v>
      </c>
      <c r="X43" s="31" t="s">
        <v>3612</v>
      </c>
      <c r="Y43" s="33" t="s">
        <v>3620</v>
      </c>
    </row>
    <row r="44" spans="1:25" s="31" customFormat="1" ht="204" hidden="1" x14ac:dyDescent="0.2">
      <c r="A44" s="31" t="s">
        <v>3486</v>
      </c>
      <c r="B44" s="31" t="s">
        <v>1766</v>
      </c>
      <c r="C44" s="31" t="s">
        <v>1577</v>
      </c>
      <c r="D44" s="31" t="s">
        <v>146</v>
      </c>
      <c r="E44" s="31" t="s">
        <v>923</v>
      </c>
      <c r="F44" s="31" t="s">
        <v>86</v>
      </c>
      <c r="G44" s="31" t="s">
        <v>3480</v>
      </c>
      <c r="H44" s="31" t="s">
        <v>3487</v>
      </c>
      <c r="I44" s="31" t="s">
        <v>3616</v>
      </c>
      <c r="J44" s="31" t="s">
        <v>3604</v>
      </c>
      <c r="K44" s="31" t="s">
        <v>3617</v>
      </c>
      <c r="L44" s="31" t="s">
        <v>3488</v>
      </c>
      <c r="M44" s="31" t="s">
        <v>3489</v>
      </c>
      <c r="N44" s="31" t="s">
        <v>3618</v>
      </c>
      <c r="O44" s="31" t="s">
        <v>3490</v>
      </c>
      <c r="P44" s="31" t="s">
        <v>3491</v>
      </c>
      <c r="Q44" s="31" t="s">
        <v>3492</v>
      </c>
      <c r="R44" s="31" t="s">
        <v>3493</v>
      </c>
      <c r="S44" s="31" t="s">
        <v>3494</v>
      </c>
      <c r="T44" s="31" t="s">
        <v>3495</v>
      </c>
      <c r="U44" s="31" t="s">
        <v>3496</v>
      </c>
      <c r="V44" s="31" t="s">
        <v>3109</v>
      </c>
      <c r="W44" s="31" t="s">
        <v>3538</v>
      </c>
      <c r="X44" s="31" t="s">
        <v>3619</v>
      </c>
      <c r="Y44" s="34"/>
    </row>
    <row r="45" spans="1:25" s="31" customFormat="1" ht="289" hidden="1" x14ac:dyDescent="0.2">
      <c r="A45" s="31" t="s">
        <v>3497</v>
      </c>
      <c r="B45" s="31" t="s">
        <v>741</v>
      </c>
      <c r="C45" s="31" t="s">
        <v>738</v>
      </c>
      <c r="D45" s="31" t="s">
        <v>92</v>
      </c>
      <c r="E45" s="31" t="s">
        <v>742</v>
      </c>
      <c r="F45" s="31" t="s">
        <v>86</v>
      </c>
      <c r="G45" s="31" t="s">
        <v>3498</v>
      </c>
      <c r="H45" s="31" t="s">
        <v>3499</v>
      </c>
      <c r="I45" s="31" t="s">
        <v>3623</v>
      </c>
      <c r="J45" s="31" t="s">
        <v>3622</v>
      </c>
      <c r="K45" s="31" t="s">
        <v>3629</v>
      </c>
      <c r="L45" s="31" t="s">
        <v>3624</v>
      </c>
      <c r="M45" s="31" t="s">
        <v>3625</v>
      </c>
      <c r="N45" s="31" t="s">
        <v>3626</v>
      </c>
      <c r="O45" s="31" t="s">
        <v>3500</v>
      </c>
      <c r="P45" s="31" t="s">
        <v>3501</v>
      </c>
      <c r="Q45" s="31" t="s">
        <v>3502</v>
      </c>
      <c r="R45" s="31" t="s">
        <v>3503</v>
      </c>
      <c r="S45" s="31" t="s">
        <v>3627</v>
      </c>
      <c r="T45" s="31" t="s">
        <v>3504</v>
      </c>
      <c r="U45" s="31" t="s">
        <v>3628</v>
      </c>
      <c r="V45" s="31" t="s">
        <v>3109</v>
      </c>
      <c r="W45" s="31" t="s">
        <v>3538</v>
      </c>
      <c r="X45" s="31" t="s">
        <v>3621</v>
      </c>
    </row>
    <row r="46" spans="1:25" s="19" customFormat="1" ht="17" hidden="1" x14ac:dyDescent="0.2">
      <c r="A46" s="19" t="s">
        <v>3505</v>
      </c>
      <c r="B46" s="19" t="s">
        <v>1128</v>
      </c>
      <c r="C46" s="19" t="s">
        <v>1125</v>
      </c>
      <c r="D46" s="19" t="s">
        <v>146</v>
      </c>
      <c r="E46" s="19" t="s">
        <v>1129</v>
      </c>
      <c r="F46" s="19" t="s">
        <v>86</v>
      </c>
      <c r="U46" s="19" t="s">
        <v>2860</v>
      </c>
      <c r="V46" s="19" t="s">
        <v>3109</v>
      </c>
    </row>
    <row r="47" spans="1:25" s="31" customFormat="1" ht="221" hidden="1" x14ac:dyDescent="0.2">
      <c r="A47" s="31" t="s">
        <v>3506</v>
      </c>
      <c r="B47" s="31" t="s">
        <v>1307</v>
      </c>
      <c r="C47" s="31" t="s">
        <v>1304</v>
      </c>
      <c r="D47" s="31" t="s">
        <v>146</v>
      </c>
      <c r="E47" s="31" t="s">
        <v>1308</v>
      </c>
      <c r="F47" s="31" t="s">
        <v>86</v>
      </c>
      <c r="G47" s="31" t="s">
        <v>3507</v>
      </c>
      <c r="H47" s="31" t="s">
        <v>3635</v>
      </c>
      <c r="I47" s="31" t="s">
        <v>3508</v>
      </c>
      <c r="J47" s="31" t="s">
        <v>3038</v>
      </c>
      <c r="K47" s="31" t="s">
        <v>3636</v>
      </c>
      <c r="L47" s="31" t="s">
        <v>3634</v>
      </c>
      <c r="M47" s="31" t="s">
        <v>3509</v>
      </c>
      <c r="N47" s="31" t="s">
        <v>3633</v>
      </c>
      <c r="O47" s="31" t="s">
        <v>3510</v>
      </c>
      <c r="P47" s="31" t="s">
        <v>3511</v>
      </c>
      <c r="Q47" s="31" t="s">
        <v>3630</v>
      </c>
      <c r="R47" s="31" t="s">
        <v>3632</v>
      </c>
      <c r="S47" s="31" t="s">
        <v>3512</v>
      </c>
      <c r="T47" s="31" t="s">
        <v>3513</v>
      </c>
      <c r="U47" s="31" t="s">
        <v>3514</v>
      </c>
      <c r="V47" s="31" t="s">
        <v>3109</v>
      </c>
      <c r="W47" s="31" t="s">
        <v>3538</v>
      </c>
      <c r="X47" s="31" t="s">
        <v>3631</v>
      </c>
    </row>
    <row r="48" spans="1:25" s="30" customFormat="1" ht="187" hidden="1" x14ac:dyDescent="0.2">
      <c r="A48" s="30" t="s">
        <v>3515</v>
      </c>
      <c r="B48" s="30" t="s">
        <v>573</v>
      </c>
      <c r="C48" s="30" t="s">
        <v>570</v>
      </c>
      <c r="D48" s="30" t="s">
        <v>176</v>
      </c>
      <c r="E48" s="30" t="s">
        <v>252</v>
      </c>
      <c r="F48" s="30" t="s">
        <v>86</v>
      </c>
      <c r="G48" s="30" t="s">
        <v>3516</v>
      </c>
      <c r="H48" s="30" t="s">
        <v>3517</v>
      </c>
      <c r="I48" s="30" t="s">
        <v>3518</v>
      </c>
      <c r="J48" s="30" t="s">
        <v>3519</v>
      </c>
      <c r="K48" s="30" t="s">
        <v>3639</v>
      </c>
      <c r="L48" s="30" t="s">
        <v>3520</v>
      </c>
      <c r="M48" s="30" t="s">
        <v>3638</v>
      </c>
      <c r="N48" s="30" t="s">
        <v>3521</v>
      </c>
      <c r="O48" s="30" t="s">
        <v>3522</v>
      </c>
      <c r="P48" s="30" t="s">
        <v>3523</v>
      </c>
      <c r="Q48" s="30" t="s">
        <v>3637</v>
      </c>
      <c r="R48" s="30" t="s">
        <v>3524</v>
      </c>
      <c r="S48" s="30" t="s">
        <v>3525</v>
      </c>
      <c r="T48" s="30" t="s">
        <v>3526</v>
      </c>
      <c r="U48" s="30" t="s">
        <v>3527</v>
      </c>
      <c r="V48" s="30" t="s">
        <v>3109</v>
      </c>
    </row>
  </sheetData>
  <autoFilter ref="A1:A48" xr:uid="{E1C55CAC-BCE0-7842-A5FA-DAD4490DC97C}">
    <filterColumn colId="0">
      <filters>
        <filter val="chen"/>
        <filter val="chia"/>
        <filter val="halike"/>
        <filter val="liu"/>
        <filter val="miao"/>
        <filter val="yu"/>
      </filters>
    </filterColumn>
  </autoFilter>
  <mergeCells count="1">
    <mergeCell ref="Y43:Y4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Study selection</vt:lpstr>
      <vt:lpstr>Statistics</vt:lpstr>
      <vt:lpstr>Data extraction (2)</vt:lpstr>
      <vt:lpstr>Prompt</vt:lpstr>
      <vt:lpstr>Distant Supervision</vt:lpstr>
      <vt:lpstr>Meta-learning</vt:lpstr>
      <vt:lpstr>Self-Supervised</vt:lpstr>
      <vt:lpstr>Transfer learning</vt:lpstr>
      <vt:lpstr>Data Augmentation</vt:lpstr>
      <vt:lpstr>'Study selection'!total_reducido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 PARDO FERRERA</dc:creator>
  <cp:lastModifiedBy>JOEL PARDO FERRERA</cp:lastModifiedBy>
  <dcterms:created xsi:type="dcterms:W3CDTF">2025-03-13T16:17:42Z</dcterms:created>
  <dcterms:modified xsi:type="dcterms:W3CDTF">2025-04-18T21:34:40Z</dcterms:modified>
</cp:coreProperties>
</file>